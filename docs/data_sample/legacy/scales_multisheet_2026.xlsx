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Другие компьютеры\Компьютер\Коммерческая деятельность\Выполнение условий\"/>
    </mc:Choice>
  </mc:AlternateContent>
  <xr:revisionPtr revIDLastSave="0" documentId="13_ncr:1_{E3A05ADF-5E5A-431D-B919-3EF2568BF6BD}" xr6:coauthVersionLast="47" xr6:coauthVersionMax="47" xr10:uidLastSave="{00000000-0000-0000-0000-000000000000}"/>
  <bookViews>
    <workbookView xWindow="-98" yWindow="-98" windowWidth="21795" windowHeight="13875" tabRatio="886" firstSheet="1" activeTab="4" xr2:uid="{815BC9E3-BA50-4A7D-A67D-B8FF7D158BF8}"/>
  </bookViews>
  <sheets>
    <sheet name="Лист1" sheetId="1" state="hidden" r:id="rId1"/>
    <sheet name="КТ" sheetId="21" r:id="rId2"/>
    <sheet name="НоваПак" sheetId="2" r:id="rId3"/>
    <sheet name="КСП" sheetId="3" r:id="rId4"/>
    <sheet name="Богатовъ Торговый Дом, Челябинс" sheetId="4" r:id="rId5"/>
    <sheet name="Лист3" sheetId="20" state="hidden" r:id="rId6"/>
    <sheet name="Лист2" sheetId="19" state="hidden" r:id="rId7"/>
    <sheet name="ABS" sheetId="7" r:id="rId8"/>
    <sheet name="Deling fod" sheetId="8" r:id="rId9"/>
    <sheet name="VitLine" sheetId="9" r:id="rId10"/>
    <sheet name="Universal meat" sheetId="10" r:id="rId11"/>
    <sheet name="KNA" sheetId="11" r:id="rId12"/>
    <sheet name="LUCKY &amp; S CO" sheetId="12" r:id="rId13"/>
    <sheet name="Сейитлиев" sheetId="13" r:id="rId14"/>
    <sheet name="Ingreda" sheetId="14" r:id="rId15"/>
    <sheet name="CLIPSOMAC" sheetId="15" state="hidden" r:id="rId16"/>
    <sheet name="Tida Tech" sheetId="16" state="hidden" r:id="rId17"/>
    <sheet name="Ari Makina" sheetId="17" state="hidden" r:id="rId18"/>
    <sheet name="Кабири Хучанд ООО" sheetId="18" r:id="rId19"/>
    <sheet name="Flexo Food Ltd, Грузия" sheetId="22" r:id="rId20"/>
    <sheet name="ГИНАП, Армения" sheetId="23" r:id="rId2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23" l="1"/>
  <c r="E4" i="23"/>
  <c r="D4" i="22"/>
  <c r="E4" i="22"/>
  <c r="J17" i="23" l="1"/>
  <c r="I17" i="23"/>
  <c r="H17" i="23"/>
  <c r="G17" i="23"/>
  <c r="F17" i="23"/>
  <c r="E17" i="23"/>
  <c r="J18" i="22"/>
  <c r="I18" i="22"/>
  <c r="H18" i="22"/>
  <c r="G18" i="22"/>
  <c r="F18" i="22"/>
  <c r="E18" i="22"/>
  <c r="J18" i="18"/>
  <c r="I18" i="18"/>
  <c r="H18" i="18"/>
  <c r="G18" i="18"/>
  <c r="F18" i="18"/>
  <c r="E18" i="18"/>
  <c r="J18" i="14"/>
  <c r="I18" i="14"/>
  <c r="H18" i="14"/>
  <c r="G18" i="14"/>
  <c r="F18" i="14"/>
  <c r="E18" i="14"/>
  <c r="J18" i="13"/>
  <c r="I18" i="13"/>
  <c r="H18" i="13"/>
  <c r="G18" i="13"/>
  <c r="F18" i="13"/>
  <c r="E18" i="13"/>
  <c r="J18" i="12"/>
  <c r="I18" i="12"/>
  <c r="H18" i="12"/>
  <c r="G18" i="12"/>
  <c r="F18" i="12"/>
  <c r="E18" i="12"/>
  <c r="J17" i="11"/>
  <c r="I17" i="11"/>
  <c r="H17" i="11"/>
  <c r="G17" i="11"/>
  <c r="F17" i="11"/>
  <c r="E17" i="11"/>
  <c r="J18" i="10"/>
  <c r="I18" i="10"/>
  <c r="H18" i="10"/>
  <c r="G18" i="10"/>
  <c r="F18" i="10"/>
  <c r="E18" i="10"/>
  <c r="J17" i="9"/>
  <c r="I17" i="9"/>
  <c r="H17" i="9"/>
  <c r="G17" i="9"/>
  <c r="F17" i="9"/>
  <c r="E17" i="9"/>
  <c r="J17" i="8"/>
  <c r="I17" i="8"/>
  <c r="H17" i="8"/>
  <c r="G17" i="8"/>
  <c r="F17" i="8"/>
  <c r="E17" i="8"/>
  <c r="J17" i="7"/>
  <c r="I17" i="7"/>
  <c r="H17" i="7"/>
  <c r="G17" i="7"/>
  <c r="F17" i="7"/>
  <c r="E17" i="7"/>
  <c r="J18" i="4"/>
  <c r="I18" i="4"/>
  <c r="H18" i="4"/>
  <c r="G18" i="4"/>
  <c r="F18" i="4"/>
  <c r="E18" i="4"/>
  <c r="J18" i="3"/>
  <c r="I18" i="3"/>
  <c r="H18" i="3"/>
  <c r="G18" i="3"/>
  <c r="F18" i="3"/>
  <c r="E18" i="3"/>
  <c r="J18" i="2"/>
  <c r="I18" i="2"/>
  <c r="H18" i="2"/>
  <c r="G18" i="2"/>
  <c r="F18" i="2"/>
  <c r="E18" i="2"/>
  <c r="J18" i="21"/>
  <c r="I18" i="21"/>
  <c r="H18" i="21"/>
  <c r="G18" i="21"/>
  <c r="F18" i="21"/>
  <c r="E18" i="21"/>
  <c r="F4" i="23" l="1"/>
  <c r="G4" i="23" s="1"/>
  <c r="F4" i="22"/>
  <c r="G4" i="22" s="1"/>
  <c r="F4" i="18"/>
  <c r="F4" i="14"/>
  <c r="F4" i="13"/>
  <c r="F4" i="12"/>
  <c r="F4" i="11"/>
  <c r="F4" i="10"/>
  <c r="F4" i="9"/>
  <c r="F4" i="8"/>
  <c r="F4" i="7"/>
  <c r="F4" i="4"/>
  <c r="F4" i="3"/>
  <c r="F4" i="2"/>
  <c r="F4" i="21"/>
  <c r="G4" i="21" l="1"/>
  <c r="G4" i="18"/>
  <c r="E14" i="20" l="1"/>
  <c r="E12" i="20"/>
  <c r="E7" i="20"/>
  <c r="E21" i="20" s="1"/>
  <c r="E6" i="20"/>
  <c r="E20" i="20" s="1"/>
  <c r="E5" i="20"/>
  <c r="D4" i="20"/>
  <c r="D18" i="20" s="1"/>
  <c r="C4" i="20"/>
  <c r="C18" i="20" s="1"/>
  <c r="E7" i="19"/>
  <c r="E5" i="19"/>
  <c r="E11" i="20" l="1"/>
  <c r="F11" i="20" s="1"/>
  <c r="E4" i="20"/>
  <c r="E4" i="19"/>
  <c r="F4" i="19" s="1"/>
  <c r="E19" i="20"/>
  <c r="F4" i="20"/>
  <c r="E18" i="20"/>
  <c r="F18" i="20" s="1"/>
  <c r="F7" i="16" l="1"/>
  <c r="F6" i="16"/>
  <c r="F5" i="16"/>
  <c r="F4" i="15"/>
  <c r="G4" i="15" s="1"/>
  <c r="F6" i="15"/>
  <c r="G4" i="11"/>
  <c r="G4" i="17"/>
  <c r="G4" i="16"/>
  <c r="G4" i="14"/>
  <c r="G4" i="13"/>
  <c r="G4" i="12"/>
  <c r="G4" i="10"/>
  <c r="G4" i="9" l="1"/>
  <c r="G4" i="3"/>
  <c r="G4" i="8"/>
  <c r="G4" i="4"/>
  <c r="G4" i="2"/>
  <c r="G4" i="7"/>
  <c r="E28" i="1"/>
  <c r="D28" i="1"/>
  <c r="E24" i="1"/>
  <c r="F64" i="1" s="1"/>
  <c r="I64" i="1" s="1"/>
  <c r="I63" i="1" s="1"/>
  <c r="D24" i="1"/>
  <c r="E20" i="1"/>
  <c r="F56" i="1" s="1"/>
  <c r="D20" i="1"/>
  <c r="E16" i="1"/>
  <c r="D16" i="1"/>
  <c r="E12" i="1"/>
  <c r="F49" i="1" s="1"/>
  <c r="I49" i="1" s="1"/>
  <c r="D12" i="1"/>
  <c r="E8" i="1"/>
  <c r="F45" i="1" s="1"/>
  <c r="I45" i="1" s="1"/>
  <c r="D8" i="1"/>
  <c r="E4" i="1"/>
  <c r="D4" i="1"/>
  <c r="F67" i="1"/>
  <c r="G66" i="1"/>
  <c r="G63" i="1"/>
  <c r="I62" i="1"/>
  <c r="F61" i="1"/>
  <c r="F59" i="1" s="1"/>
  <c r="G59" i="1" s="1"/>
  <c r="I60" i="1"/>
  <c r="G55" i="1"/>
  <c r="F54" i="1"/>
  <c r="F52" i="1"/>
  <c r="G48" i="1"/>
  <c r="G44" i="1"/>
  <c r="F43" i="1"/>
  <c r="I43" i="1" s="1"/>
  <c r="I42" i="1"/>
  <c r="F41" i="1"/>
  <c r="I41" i="1" s="1"/>
  <c r="F39" i="1"/>
  <c r="F38" i="1"/>
  <c r="I38" i="1" s="1"/>
  <c r="F37" i="1"/>
  <c r="I37" i="1" s="1"/>
  <c r="F31" i="1"/>
  <c r="I31" i="1" s="1"/>
  <c r="F30" i="1"/>
  <c r="I30" i="1" s="1"/>
  <c r="F27" i="1"/>
  <c r="F24" i="1" s="1"/>
  <c r="I26" i="1"/>
  <c r="I25" i="1"/>
  <c r="F23" i="1"/>
  <c r="I23" i="1" s="1"/>
  <c r="F22" i="1"/>
  <c r="I22" i="1" s="1"/>
  <c r="F21" i="1"/>
  <c r="I21" i="1" s="1"/>
  <c r="F19" i="1"/>
  <c r="I19" i="1" s="1"/>
  <c r="F18" i="1"/>
  <c r="I18" i="1" s="1"/>
  <c r="F17" i="1"/>
  <c r="I17" i="1" s="1"/>
  <c r="F15" i="1"/>
  <c r="I15" i="1" s="1"/>
  <c r="F14" i="1"/>
  <c r="I14" i="1" s="1"/>
  <c r="F13" i="1"/>
  <c r="I13" i="1" s="1"/>
  <c r="F11" i="1"/>
  <c r="I11" i="1" s="1"/>
  <c r="F10" i="1"/>
  <c r="I10" i="1" s="1"/>
  <c r="F9" i="1"/>
  <c r="I9" i="1" s="1"/>
  <c r="F7" i="1"/>
  <c r="I7" i="1" s="1"/>
  <c r="F6" i="1"/>
  <c r="I6" i="1" s="1"/>
  <c r="F5" i="1"/>
  <c r="I5" i="1" s="1"/>
  <c r="I20" i="1" l="1"/>
  <c r="F68" i="1"/>
  <c r="F69" i="1" s="1"/>
  <c r="I61" i="1"/>
  <c r="I59" i="1" s="1"/>
  <c r="F16" i="1"/>
  <c r="G16" i="1" s="1"/>
  <c r="I16" i="1"/>
  <c r="F28" i="1"/>
  <c r="G28" i="1" s="1"/>
  <c r="F36" i="1"/>
  <c r="G36" i="1" s="1"/>
  <c r="F8" i="1"/>
  <c r="G8" i="1" s="1"/>
  <c r="F4" i="1"/>
  <c r="F20" i="1"/>
  <c r="G24" i="1"/>
  <c r="F12" i="1"/>
  <c r="I56" i="1"/>
  <c r="F57" i="1"/>
  <c r="F50" i="1"/>
  <c r="F46" i="1"/>
  <c r="I46" i="1" s="1"/>
  <c r="I44" i="1" s="1"/>
  <c r="G4" i="1"/>
  <c r="G20" i="1"/>
  <c r="I4" i="1"/>
  <c r="I8" i="1"/>
  <c r="I67" i="1"/>
  <c r="I28" i="1"/>
  <c r="I40" i="1"/>
  <c r="I12" i="1"/>
  <c r="I39" i="1"/>
  <c r="I36" i="1" s="1"/>
  <c r="I27" i="1"/>
  <c r="I24" i="1" s="1"/>
  <c r="F40" i="1"/>
  <c r="G40" i="1" s="1"/>
  <c r="I68" i="1"/>
  <c r="G12" i="1"/>
  <c r="G52" i="1"/>
  <c r="F47" i="1" l="1"/>
  <c r="I66" i="1"/>
  <c r="F70" i="1"/>
  <c r="G70" i="1" s="1"/>
  <c r="F58" i="1"/>
  <c r="I57" i="1"/>
  <c r="I55" i="1" s="1"/>
  <c r="F51" i="1"/>
  <c r="I50" i="1"/>
  <c r="I48" i="1" s="1"/>
  <c r="G32" i="1" l="1"/>
  <c r="F33" i="1"/>
  <c r="I33" i="1" s="1"/>
  <c r="F34" i="1" l="1"/>
  <c r="F35" i="1" l="1"/>
  <c r="I34" i="1"/>
  <c r="I32" i="1" s="1"/>
  <c r="I70" i="1" s="1"/>
</calcChain>
</file>

<file path=xl/sharedStrings.xml><?xml version="1.0" encoding="utf-8"?>
<sst xmlns="http://schemas.openxmlformats.org/spreadsheetml/2006/main" count="1125" uniqueCount="108">
  <si>
    <t xml:space="preserve"> </t>
  </si>
  <si>
    <t>Выручка 2023</t>
  </si>
  <si>
    <t>Выручка 2024</t>
  </si>
  <si>
    <t>План 2025</t>
  </si>
  <si>
    <t>Прирост П/Ф</t>
  </si>
  <si>
    <t>Вознаграждение</t>
  </si>
  <si>
    <t>НоваПак</t>
  </si>
  <si>
    <t>Запасные части</t>
  </si>
  <si>
    <t>Оборудование</t>
  </si>
  <si>
    <t>Расходные материалы</t>
  </si>
  <si>
    <t>КСП (КОМПО-СП)</t>
  </si>
  <si>
    <t>Богатовъ технолоджис</t>
  </si>
  <si>
    <t>VitLine, Казахстан</t>
  </si>
  <si>
    <t>ASIAN BUSINESS SOLUTIONS, Узбекистан</t>
  </si>
  <si>
    <t>UNIVERSAL MEAT</t>
  </si>
  <si>
    <t>Deling food</t>
  </si>
  <si>
    <t>КОМПО North America Inc</t>
  </si>
  <si>
    <t>Сейитлиев Мердан Иламанович, Туркменистан</t>
  </si>
  <si>
    <t>Богатовъ Торговый Дом, Челябинск</t>
  </si>
  <si>
    <t>LUCKY &amp; S CO, Сербия</t>
  </si>
  <si>
    <t>Ingreda, Молдова</t>
  </si>
  <si>
    <t>CLIPSOMAC, Алжир</t>
  </si>
  <si>
    <t>Tida Tech, Таиланд</t>
  </si>
  <si>
    <t>Кабири Хучанд ООО, Таджикистан</t>
  </si>
  <si>
    <t>Ari Makina, Турция</t>
  </si>
  <si>
    <t>PSG PLUS, Словакия</t>
  </si>
  <si>
    <t>Общий итог</t>
  </si>
  <si>
    <t>Скидка в 1 кв. 2025 ф.г.*</t>
  </si>
  <si>
    <t>* - скидка согласно правил работы ТПС на 2025 ф.г.</t>
  </si>
  <si>
    <r>
      <t>3.1.1</t>
    </r>
    <r>
      <rPr>
        <b/>
        <sz val="12"/>
        <color rgb="FF2B2B2B"/>
        <rFont val="Times New Roman"/>
        <family val="1"/>
        <charset val="204"/>
      </rPr>
      <t xml:space="preserve">. Система предоставления скидок </t>
    </r>
  </si>
  <si>
    <t xml:space="preserve">ОБОРУДОВАНИЕ </t>
  </si>
  <si>
    <t>ОБЪЕМ закупок в тыс. EUR за 6 месяцев</t>
  </si>
  <si>
    <t>до 75</t>
  </si>
  <si>
    <t>75-114</t>
  </si>
  <si>
    <t>115-149</t>
  </si>
  <si>
    <t>150-189</t>
  </si>
  <si>
    <t>190-224</t>
  </si>
  <si>
    <t>225 и более</t>
  </si>
  <si>
    <t>Базовое вознаграждение за Дилерский договор</t>
  </si>
  <si>
    <t>Скидка %</t>
  </si>
  <si>
    <t>Наличие сервисного центра и гарантийное обслуживание</t>
  </si>
  <si>
    <t>Объем закупок МП</t>
  </si>
  <si>
    <t>ИТОГО</t>
  </si>
  <si>
    <t>РАСХОДНЫЕ МАТЕРИАЛЫ ОБЪЕМ закупок в тыс. EUR за 3 месяца (квартал)</t>
  </si>
  <si>
    <t>до 24</t>
  </si>
  <si>
    <t>25-34</t>
  </si>
  <si>
    <t>35-44</t>
  </si>
  <si>
    <t>45-54</t>
  </si>
  <si>
    <t>55-64</t>
  </si>
  <si>
    <t>65 и более</t>
  </si>
  <si>
    <t>Объем закупок РМ</t>
  </si>
  <si>
    <t>Скидка будущего периода, %</t>
  </si>
  <si>
    <t>ЗАПЧАСТИ Отгрузки за 6 месяцев ФГ</t>
  </si>
  <si>
    <t>EUR</t>
  </si>
  <si>
    <t>% скидки</t>
  </si>
  <si>
    <t>отгрузки в диапазоне</t>
  </si>
  <si>
    <t xml:space="preserve">3.1.1. Система предоставления скидок </t>
  </si>
  <si>
    <t>ОБЪЕМ закупок оборудования (тысяч евро) за 3 месяца (квартал)</t>
  </si>
  <si>
    <t>1 Базовое вознаграждение за Дилерский договор</t>
  </si>
  <si>
    <t xml:space="preserve">2.1.1. Сервисный центр </t>
  </si>
  <si>
    <t>2.1.2. Сервисный центр - гарантийное обслуживание</t>
  </si>
  <si>
    <r>
      <t>2</t>
    </r>
    <r>
      <rPr>
        <sz val="10"/>
        <color theme="1"/>
        <rFont val="Calibri"/>
        <family val="2"/>
        <charset val="204"/>
        <scheme val="minor"/>
      </rPr>
      <t>.3 Наличие минимальных складских остатков по оборудованию</t>
    </r>
  </si>
  <si>
    <t>Ретро-скидка %</t>
  </si>
  <si>
    <t>3 Объем закупок МП</t>
  </si>
  <si>
    <t>скидка будущих периодов %</t>
  </si>
  <si>
    <t>ИТОГО по МП:</t>
  </si>
  <si>
    <t>ОБЪЕМ закупок РМ (тысяч евро) за 3 месяца (квартал)</t>
  </si>
  <si>
    <t>75-115</t>
  </si>
  <si>
    <t>115-150</t>
  </si>
  <si>
    <t>150-190</t>
  </si>
  <si>
    <t>190-225</t>
  </si>
  <si>
    <t>Наличие минимальных складских остатков по РМ (синхронизация отчета по остаткам с 1С КОМПО)</t>
  </si>
  <si>
    <t>Скидка будущих периодов, %</t>
  </si>
  <si>
    <t xml:space="preserve"> Объем закупок РМ</t>
  </si>
  <si>
    <t>скидка будущих периодов, %</t>
  </si>
  <si>
    <t xml:space="preserve">СИСТЕМА РАСЧЕТА СКИДКИ ПО ЗАПЧАСТЯМ </t>
  </si>
  <si>
    <t>Отношение объема закупок ЗЧ к парку оборудования, евро / ед. об.</t>
  </si>
  <si>
    <t>Процент скидки</t>
  </si>
  <si>
    <t>без статуса партнера</t>
  </si>
  <si>
    <t>диапазон отношения</t>
  </si>
  <si>
    <t>Система контроля как и система бонусирования работает ежеквартально (до 5го числа месяца, следующего за отчетным кварталом), кроме годового бонуса.</t>
  </si>
  <si>
    <t>Система контроля квартального и годового бонусирования</t>
  </si>
  <si>
    <t>уменьшение бонуса за невыполнение минимальных квартальных показателей закупок по МП (при наличии установленного показателя)</t>
  </si>
  <si>
    <t>скидка будущих периодов квартала, %</t>
  </si>
  <si>
    <t>уменьшение бонуса за невыполнение минимальных квартальных показателей закупок по РМ (при наличии установленного показателя)</t>
  </si>
  <si>
    <t xml:space="preserve"> за несвоевременное предоставление Скользящего прогноза</t>
  </si>
  <si>
    <t>уменьшение бонуса за отказ от зарезервированного оборудования</t>
  </si>
  <si>
    <t>Выполнение плановых показателей года ИТОГО</t>
  </si>
  <si>
    <t>ретро-бонус %</t>
  </si>
  <si>
    <t>! При выполнении годового план продаж (по курсу продаж в евро), ретробонус составляет 1% от совокупного объема продаж</t>
  </si>
  <si>
    <r>
      <t xml:space="preserve">Богатовъ технолоджис </t>
    </r>
    <r>
      <rPr>
        <b/>
        <u/>
        <sz val="12"/>
        <color rgb="FF000000"/>
        <rFont val="Calibri"/>
        <family val="2"/>
        <charset val="204"/>
      </rPr>
      <t>Итого</t>
    </r>
  </si>
  <si>
    <t>только продажи Дистрибутора без учета прямых продаж КОМПО</t>
  </si>
  <si>
    <t>Сервис</t>
  </si>
  <si>
    <t>* - скидка согласно правил работы ТПС на 2026 ф.г.</t>
  </si>
  <si>
    <t>Скидка в 1 кв. 2026 ф.г.*</t>
  </si>
  <si>
    <t>КОМПО Технолоджис</t>
  </si>
  <si>
    <t>Выручка 2025</t>
  </si>
  <si>
    <t>План 2026</t>
  </si>
  <si>
    <t>???</t>
  </si>
  <si>
    <t>ЗАПЧАСТИ Отгрузки за 12 месяцев ФГ</t>
  </si>
  <si>
    <t>индивидуальная скидка</t>
  </si>
  <si>
    <t>Размер бонуса по итогам 2026 г</t>
  </si>
  <si>
    <t>до 10%</t>
  </si>
  <si>
    <t>Flexo Food , Грузия</t>
  </si>
  <si>
    <t>Гинап, Армения</t>
  </si>
  <si>
    <t>* - скидка согласно правил работы ТПС на 2026 ф.г. Действует с момента подписания плана</t>
  </si>
  <si>
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</si>
  <si>
    <r>
      <t>3.1.1</t>
    </r>
    <r>
      <rPr>
        <b/>
        <sz val="10"/>
        <color rgb="FF2B2B2B"/>
        <rFont val="Times New Roman"/>
        <family val="1"/>
        <charset val="204"/>
      </rPr>
      <t xml:space="preserve">. Система предоставления скидок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</si>
</sst>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&quot;€&quot;;\-#,##0\ &quot;€&quot;;#,##0\ &quot;€&quot;"/>
  </numFmts>
  <fonts count="2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</font>
    <font>
      <sz val="12"/>
      <color rgb="FFC65911"/>
      <name val="Calibri"/>
      <family val="2"/>
      <charset val="204"/>
    </font>
    <font>
      <b/>
      <sz val="12"/>
      <name val="Calibri"/>
      <family val="2"/>
      <charset val="204"/>
    </font>
    <font>
      <sz val="12"/>
      <color rgb="FF2B2B2B"/>
      <name val="Times New Roman"/>
      <family val="1"/>
      <charset val="204"/>
    </font>
    <font>
      <b/>
      <sz val="12"/>
      <color rgb="FF2B2B2B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9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i/>
      <sz val="12"/>
      <color rgb="FFC65911"/>
      <name val="Calibri"/>
      <family val="2"/>
      <charset val="204"/>
    </font>
    <font>
      <b/>
      <sz val="9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C65911"/>
      <name val="Calibri"/>
      <family val="2"/>
      <charset val="204"/>
    </font>
    <font>
      <b/>
      <sz val="10"/>
      <name val="Calibri"/>
      <family val="2"/>
      <charset val="204"/>
    </font>
    <font>
      <b/>
      <i/>
      <sz val="10"/>
      <color rgb="FFC6591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color rgb="FF2B2B2B"/>
      <name val="Times New Roman"/>
      <family val="1"/>
      <charset val="204"/>
    </font>
    <font>
      <b/>
      <sz val="10"/>
      <color rgb="FF2B2B2B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FCE4D6"/>
      </top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thin">
        <color rgb="FFF8CBAD"/>
      </top>
      <bottom style="thin">
        <color rgb="FFFFFFFF"/>
      </bottom>
      <diagonal/>
    </border>
    <border>
      <left/>
      <right style="thin">
        <color rgb="FFF8CBAD"/>
      </right>
      <top/>
      <bottom style="thin">
        <color rgb="FFFFFFFF"/>
      </bottom>
      <diagonal/>
    </border>
    <border>
      <left style="thin">
        <color rgb="FFED7D31"/>
      </left>
      <right style="thin">
        <color rgb="FFED7D31"/>
      </right>
      <top/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thin">
        <color rgb="FFFCE4D6"/>
      </top>
      <bottom style="thin">
        <color rgb="FFFCE4D6"/>
      </bottom>
      <diagonal/>
    </border>
    <border>
      <left/>
      <right/>
      <top style="thin">
        <color rgb="FFFCE4D6"/>
      </top>
      <bottom style="thin">
        <color rgb="FFFCE4D6"/>
      </bottom>
      <diagonal/>
    </border>
    <border>
      <left style="thin">
        <color rgb="FFED7D31"/>
      </left>
      <right style="thin">
        <color rgb="FFED7D31"/>
      </right>
      <top style="thin">
        <color rgb="FFF8CBAD"/>
      </top>
      <bottom style="thin">
        <color rgb="FFF8CBAD"/>
      </bottom>
      <diagonal/>
    </border>
    <border>
      <left/>
      <right style="thin">
        <color rgb="FFF8CBAD"/>
      </right>
      <top style="thin">
        <color rgb="FFF8CBAD"/>
      </top>
      <bottom style="thin">
        <color rgb="FFF8CBAD"/>
      </bottom>
      <diagonal/>
    </border>
    <border>
      <left/>
      <right style="thin">
        <color rgb="FFF8CBAD"/>
      </right>
      <top style="thin">
        <color rgb="FFF8CBAD"/>
      </top>
      <bottom style="thin">
        <color rgb="FFFFFFFF"/>
      </bottom>
      <diagonal/>
    </border>
    <border>
      <left/>
      <right/>
      <top style="thin">
        <color rgb="FFFCE4D6"/>
      </top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thin">
        <color rgb="FFED7D31"/>
      </left>
      <right style="thin">
        <color rgb="FFED7D31"/>
      </right>
      <top/>
      <bottom/>
      <diagonal/>
    </border>
    <border>
      <left style="medium">
        <color theme="5" tint="-0.249977111117893"/>
      </left>
      <right style="thin">
        <color rgb="FFED7D31"/>
      </right>
      <top style="medium">
        <color theme="5" tint="-0.249977111117893"/>
      </top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medium">
        <color theme="5" tint="-0.249977111117893"/>
      </top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 style="thin">
        <color rgb="FFFFFFFF"/>
      </bottom>
      <diagonal/>
    </border>
    <border>
      <left style="medium">
        <color theme="5" tint="-0.249977111117893"/>
      </left>
      <right style="thin">
        <color rgb="FFED7D31"/>
      </right>
      <top style="thin">
        <color rgb="FFFCE4D6"/>
      </top>
      <bottom style="thin">
        <color rgb="FFFCE4D6"/>
      </bottom>
      <diagonal/>
    </border>
    <border>
      <left/>
      <right style="medium">
        <color theme="5" tint="-0.249977111117893"/>
      </right>
      <top style="thin">
        <color rgb="FFFCE4D6"/>
      </top>
      <bottom style="thin">
        <color rgb="FFFCE4D6"/>
      </bottom>
      <diagonal/>
    </border>
    <border>
      <left style="medium">
        <color theme="5" tint="-0.249977111117893"/>
      </left>
      <right style="thin">
        <color rgb="FFED7D31"/>
      </right>
      <top style="thin">
        <color rgb="FFF8CBAD"/>
      </top>
      <bottom style="thin">
        <color rgb="FFF8CBAD"/>
      </bottom>
      <diagonal/>
    </border>
    <border>
      <left/>
      <right style="medium">
        <color theme="5" tint="-0.249977111117893"/>
      </right>
      <top style="thin">
        <color rgb="FFF8CBAD"/>
      </top>
      <bottom style="thin">
        <color rgb="FFF8CBAD"/>
      </bottom>
      <diagonal/>
    </border>
    <border>
      <left style="medium">
        <color theme="5" tint="-0.249977111117893"/>
      </left>
      <right style="thin">
        <color rgb="FFED7D31"/>
      </right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rgb="FFED7D31"/>
      </right>
      <top style="thin">
        <color rgb="FFF8CBAD"/>
      </top>
      <bottom style="medium">
        <color theme="5" tint="-0.249977111117893"/>
      </bottom>
      <diagonal/>
    </border>
    <border>
      <left style="thin">
        <color rgb="FFED7D31"/>
      </left>
      <right style="thin">
        <color rgb="FFED7D31"/>
      </right>
      <top style="thin">
        <color rgb="FFF8CBAD"/>
      </top>
      <bottom style="medium">
        <color theme="5" tint="-0.249977111117893"/>
      </bottom>
      <diagonal/>
    </border>
    <border>
      <left style="thin">
        <color rgb="FFED7D31"/>
      </left>
      <right style="thin">
        <color rgb="FFED7D31"/>
      </right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 style="thin">
        <color rgb="FFF8CBAD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rgb="FFED7D31"/>
      </right>
      <top style="medium">
        <color theme="5" tint="-0.249977111117893"/>
      </top>
      <bottom/>
      <diagonal/>
    </border>
    <border>
      <left style="thin">
        <color rgb="FFED7D31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thin">
        <color rgb="FFED7D31"/>
      </right>
      <top style="thin">
        <color rgb="FFF8CBAD"/>
      </top>
      <bottom/>
      <diagonal/>
    </border>
    <border>
      <left style="thin">
        <color rgb="FFED7D31"/>
      </left>
      <right style="thin">
        <color rgb="FFED7D31"/>
      </right>
      <top style="thin">
        <color rgb="FFF8CBAD"/>
      </top>
      <bottom/>
      <diagonal/>
    </border>
    <border>
      <left style="thin">
        <color rgb="FFED7D31"/>
      </left>
      <right style="thin">
        <color rgb="FFED7D31"/>
      </right>
      <top style="thin">
        <color rgb="FFFCE4D6"/>
      </top>
      <bottom/>
      <diagonal/>
    </border>
    <border>
      <left/>
      <right style="medium">
        <color theme="5" tint="-0.249977111117893"/>
      </right>
      <top style="thin">
        <color rgb="FFF8CBAD"/>
      </top>
      <bottom/>
      <diagonal/>
    </border>
    <border>
      <left style="medium">
        <color theme="5" tint="-0.249977111117893"/>
      </left>
      <right style="thin">
        <color rgb="FFED7D31"/>
      </right>
      <top style="medium">
        <color theme="5" tint="-0.249977111117893"/>
      </top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ED7D31"/>
      </left>
      <right/>
      <top style="medium">
        <color theme="5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vertical="center" wrapText="1"/>
    </xf>
    <xf numFmtId="164" fontId="2" fillId="2" borderId="3" xfId="1" applyNumberFormat="1" applyFont="1" applyFill="1" applyBorder="1" applyAlignment="1">
      <alignment vertical="center" wrapText="1"/>
    </xf>
    <xf numFmtId="9" fontId="2" fillId="2" borderId="4" xfId="1" applyFont="1" applyFill="1" applyBorder="1" applyAlignment="1">
      <alignment vertical="center" wrapText="1"/>
    </xf>
    <xf numFmtId="165" fontId="2" fillId="2" borderId="5" xfId="0" applyNumberFormat="1" applyFont="1" applyFill="1" applyBorder="1" applyAlignment="1">
      <alignment vertical="center" wrapText="1"/>
    </xf>
    <xf numFmtId="165" fontId="3" fillId="0" borderId="6" xfId="0" applyNumberFormat="1" applyFont="1" applyFill="1" applyBorder="1" applyAlignment="1">
      <alignment vertical="center" wrapText="1"/>
    </xf>
    <xf numFmtId="164" fontId="3" fillId="0" borderId="6" xfId="1" applyNumberFormat="1" applyFont="1" applyFill="1" applyBorder="1" applyAlignment="1">
      <alignment vertical="center" wrapText="1"/>
    </xf>
    <xf numFmtId="9" fontId="3" fillId="0" borderId="7" xfId="1" applyFont="1" applyFill="1" applyBorder="1" applyAlignment="1">
      <alignment vertical="center" wrapText="1"/>
    </xf>
    <xf numFmtId="165" fontId="3" fillId="0" borderId="8" xfId="0" applyNumberFormat="1" applyFont="1" applyFill="1" applyBorder="1" applyAlignment="1">
      <alignment vertical="center" wrapText="1"/>
    </xf>
    <xf numFmtId="164" fontId="3" fillId="0" borderId="8" xfId="1" applyNumberFormat="1" applyFont="1" applyFill="1" applyBorder="1" applyAlignment="1">
      <alignment vertical="center" wrapText="1"/>
    </xf>
    <xf numFmtId="9" fontId="3" fillId="0" borderId="9" xfId="1" applyFont="1" applyFill="1" applyBorder="1" applyAlignment="1">
      <alignment vertical="center" wrapText="1"/>
    </xf>
    <xf numFmtId="165" fontId="2" fillId="2" borderId="3" xfId="0" applyNumberFormat="1" applyFont="1" applyFill="1" applyBorder="1" applyAlignment="1">
      <alignment vertical="center" wrapText="1"/>
    </xf>
    <xf numFmtId="9" fontId="2" fillId="2" borderId="10" xfId="1" applyFont="1" applyFill="1" applyBorder="1" applyAlignment="1">
      <alignment vertical="center" wrapText="1"/>
    </xf>
    <xf numFmtId="9" fontId="2" fillId="2" borderId="11" xfId="1" applyFont="1" applyFill="1" applyBorder="1" applyAlignment="1">
      <alignment vertical="center" wrapText="1"/>
    </xf>
    <xf numFmtId="165" fontId="2" fillId="0" borderId="12" xfId="0" applyNumberFormat="1" applyFont="1" applyFill="1" applyBorder="1" applyAlignment="1">
      <alignment vertical="center" wrapText="1"/>
    </xf>
    <xf numFmtId="164" fontId="2" fillId="0" borderId="12" xfId="1" applyNumberFormat="1" applyFont="1" applyFill="1" applyBorder="1" applyAlignment="1">
      <alignment vertical="center" wrapText="1"/>
    </xf>
    <xf numFmtId="9" fontId="2" fillId="0" borderId="13" xfId="1" applyFont="1" applyFill="1" applyBorder="1" applyAlignment="1">
      <alignment vertical="center" wrapText="1"/>
    </xf>
    <xf numFmtId="165" fontId="2" fillId="2" borderId="15" xfId="0" applyNumberFormat="1" applyFont="1" applyFill="1" applyBorder="1" applyAlignment="1">
      <alignment vertical="center" wrapText="1"/>
    </xf>
    <xf numFmtId="165" fontId="2" fillId="2" borderId="16" xfId="0" applyNumberFormat="1" applyFont="1" applyFill="1" applyBorder="1" applyAlignment="1">
      <alignment vertical="center" wrapText="1"/>
    </xf>
    <xf numFmtId="9" fontId="2" fillId="2" borderId="18" xfId="1" applyFont="1" applyFill="1" applyBorder="1" applyAlignment="1">
      <alignment vertical="center" wrapText="1"/>
    </xf>
    <xf numFmtId="165" fontId="3" fillId="0" borderId="19" xfId="0" applyNumberFormat="1" applyFont="1" applyFill="1" applyBorder="1" applyAlignment="1">
      <alignment vertical="center" wrapText="1"/>
    </xf>
    <xf numFmtId="9" fontId="3" fillId="0" borderId="20" xfId="1" applyFont="1" applyFill="1" applyBorder="1" applyAlignment="1">
      <alignment vertical="center" wrapText="1"/>
    </xf>
    <xf numFmtId="165" fontId="3" fillId="0" borderId="21" xfId="0" applyNumberFormat="1" applyFont="1" applyFill="1" applyBorder="1" applyAlignment="1">
      <alignment vertical="center" wrapText="1"/>
    </xf>
    <xf numFmtId="9" fontId="3" fillId="0" borderId="22" xfId="1" applyFont="1" applyFill="1" applyBorder="1" applyAlignment="1">
      <alignment vertical="center" wrapText="1"/>
    </xf>
    <xf numFmtId="165" fontId="4" fillId="0" borderId="23" xfId="0" applyNumberFormat="1" applyFont="1" applyFill="1" applyBorder="1" applyAlignment="1">
      <alignment vertical="center" wrapText="1"/>
    </xf>
    <xf numFmtId="0" fontId="0" fillId="0" borderId="24" xfId="0" applyBorder="1"/>
    <xf numFmtId="0" fontId="0" fillId="0" borderId="25" xfId="0" applyBorder="1"/>
    <xf numFmtId="165" fontId="3" fillId="0" borderId="26" xfId="0" applyNumberFormat="1" applyFont="1" applyFill="1" applyBorder="1" applyAlignment="1">
      <alignment vertical="center" wrapText="1"/>
    </xf>
    <xf numFmtId="165" fontId="3" fillId="0" borderId="27" xfId="0" applyNumberFormat="1" applyFont="1" applyFill="1" applyBorder="1" applyAlignment="1">
      <alignment vertical="center" wrapText="1"/>
    </xf>
    <xf numFmtId="9" fontId="3" fillId="0" borderId="29" xfId="1" applyFont="1" applyFill="1" applyBorder="1" applyAlignment="1">
      <alignment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164" fontId="2" fillId="0" borderId="17" xfId="1" applyNumberFormat="1" applyFont="1" applyFill="1" applyBorder="1" applyAlignment="1">
      <alignment horizontal="center" vertical="center" wrapText="1"/>
    </xf>
    <xf numFmtId="9" fontId="2" fillId="0" borderId="31" xfId="1" applyFont="1" applyFill="1" applyBorder="1" applyAlignment="1">
      <alignment horizontal="center" vertical="center" wrapText="1"/>
    </xf>
    <xf numFmtId="165" fontId="3" fillId="0" borderId="32" xfId="0" applyNumberFormat="1" applyFont="1" applyFill="1" applyBorder="1" applyAlignment="1">
      <alignment vertical="center" wrapText="1"/>
    </xf>
    <xf numFmtId="165" fontId="3" fillId="0" borderId="33" xfId="0" applyNumberFormat="1" applyFont="1" applyFill="1" applyBorder="1" applyAlignment="1">
      <alignment vertical="center" wrapText="1"/>
    </xf>
    <xf numFmtId="165" fontId="3" fillId="0" borderId="34" xfId="0" applyNumberFormat="1" applyFont="1" applyFill="1" applyBorder="1" applyAlignment="1">
      <alignment vertical="center" wrapText="1"/>
    </xf>
    <xf numFmtId="9" fontId="3" fillId="0" borderId="35" xfId="1" applyFont="1" applyFill="1" applyBorder="1" applyAlignment="1">
      <alignment vertical="center" wrapText="1"/>
    </xf>
    <xf numFmtId="165" fontId="4" fillId="0" borderId="36" xfId="0" applyNumberFormat="1" applyFont="1" applyFill="1" applyBorder="1" applyAlignment="1">
      <alignment vertical="center" wrapText="1"/>
    </xf>
    <xf numFmtId="0" fontId="0" fillId="0" borderId="37" xfId="0" applyBorder="1"/>
    <xf numFmtId="0" fontId="0" fillId="0" borderId="38" xfId="0" applyBorder="1"/>
    <xf numFmtId="0" fontId="5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8" fillId="0" borderId="40" xfId="0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0" fontId="8" fillId="3" borderId="41" xfId="0" applyFont="1" applyFill="1" applyBorder="1" applyAlignment="1">
      <alignment vertical="center"/>
    </xf>
    <xf numFmtId="0" fontId="8" fillId="3" borderId="43" xfId="0" applyFont="1" applyFill="1" applyBorder="1" applyAlignment="1">
      <alignment vertical="center"/>
    </xf>
    <xf numFmtId="0" fontId="8" fillId="3" borderId="43" xfId="0" applyFont="1" applyFill="1" applyBorder="1" applyAlignment="1">
      <alignment horizontal="right" vertical="center"/>
    </xf>
    <xf numFmtId="0" fontId="8" fillId="3" borderId="41" xfId="0" applyFont="1" applyFill="1" applyBorder="1" applyAlignment="1">
      <alignment vertical="center" wrapText="1"/>
    </xf>
    <xf numFmtId="0" fontId="8" fillId="4" borderId="41" xfId="0" applyFont="1" applyFill="1" applyBorder="1" applyAlignment="1">
      <alignment vertical="center"/>
    </xf>
    <xf numFmtId="0" fontId="8" fillId="4" borderId="43" xfId="0" applyFont="1" applyFill="1" applyBorder="1" applyAlignment="1">
      <alignment vertical="center" wrapText="1"/>
    </xf>
    <xf numFmtId="0" fontId="8" fillId="4" borderId="43" xfId="0" applyFont="1" applyFill="1" applyBorder="1" applyAlignment="1">
      <alignment horizontal="right" vertical="center"/>
    </xf>
    <xf numFmtId="0" fontId="8" fillId="0" borderId="41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9" fillId="0" borderId="43" xfId="0" applyFont="1" applyBorder="1" applyAlignment="1">
      <alignment horizontal="right" vertical="center"/>
    </xf>
    <xf numFmtId="0" fontId="8" fillId="0" borderId="43" xfId="0" applyFont="1" applyBorder="1" applyAlignment="1">
      <alignment horizontal="right" vertical="center"/>
    </xf>
    <xf numFmtId="0" fontId="8" fillId="0" borderId="39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4" borderId="39" xfId="0" applyFont="1" applyFill="1" applyBorder="1" applyAlignment="1">
      <alignment vertical="center"/>
    </xf>
    <xf numFmtId="0" fontId="8" fillId="4" borderId="42" xfId="0" applyFont="1" applyFill="1" applyBorder="1" applyAlignment="1">
      <alignment vertical="center"/>
    </xf>
    <xf numFmtId="0" fontId="8" fillId="0" borderId="41" xfId="0" applyFont="1" applyBorder="1" applyAlignment="1">
      <alignment horizontal="center" vertical="center"/>
    </xf>
    <xf numFmtId="3" fontId="8" fillId="0" borderId="43" xfId="0" applyNumberFormat="1" applyFont="1" applyBorder="1" applyAlignment="1">
      <alignment horizontal="right" vertical="center"/>
    </xf>
    <xf numFmtId="9" fontId="8" fillId="0" borderId="43" xfId="0" applyNumberFormat="1" applyFont="1" applyBorder="1" applyAlignment="1">
      <alignment horizontal="right" vertical="center"/>
    </xf>
    <xf numFmtId="0" fontId="10" fillId="0" borderId="39" xfId="0" applyFont="1" applyBorder="1" applyAlignment="1">
      <alignment vertical="center" wrapText="1"/>
    </xf>
    <xf numFmtId="0" fontId="11" fillId="0" borderId="42" xfId="0" applyFont="1" applyBorder="1" applyAlignment="1">
      <alignment vertical="center" wrapText="1"/>
    </xf>
    <xf numFmtId="0" fontId="10" fillId="0" borderId="42" xfId="0" applyFont="1" applyBorder="1" applyAlignment="1">
      <alignment horizontal="center" vertical="center" wrapText="1"/>
    </xf>
    <xf numFmtId="0" fontId="11" fillId="3" borderId="4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horizontal="right" vertical="center"/>
    </xf>
    <xf numFmtId="0" fontId="11" fillId="5" borderId="41" xfId="0" applyFont="1" applyFill="1" applyBorder="1" applyAlignment="1">
      <alignment vertical="center" wrapText="1"/>
    </xf>
    <xf numFmtId="0" fontId="11" fillId="5" borderId="43" xfId="0" applyFont="1" applyFill="1" applyBorder="1" applyAlignment="1">
      <alignment horizontal="right" vertical="center"/>
    </xf>
    <xf numFmtId="0" fontId="11" fillId="4" borderId="41" xfId="0" applyFont="1" applyFill="1" applyBorder="1" applyAlignment="1">
      <alignment vertical="center" wrapText="1"/>
    </xf>
    <xf numFmtId="0" fontId="11" fillId="4" borderId="43" xfId="0" applyFont="1" applyFill="1" applyBorder="1" applyAlignment="1">
      <alignment vertical="center" wrapText="1"/>
    </xf>
    <xf numFmtId="0" fontId="11" fillId="4" borderId="43" xfId="0" applyFont="1" applyFill="1" applyBorder="1" applyAlignment="1">
      <alignment horizontal="right" vertical="center"/>
    </xf>
    <xf numFmtId="0" fontId="10" fillId="0" borderId="41" xfId="0" applyFont="1" applyBorder="1" applyAlignment="1">
      <alignment vertical="center" wrapText="1"/>
    </xf>
    <xf numFmtId="0" fontId="11" fillId="0" borderId="43" xfId="0" applyFont="1" applyBorder="1" applyAlignment="1">
      <alignment vertical="center" wrapText="1"/>
    </xf>
    <xf numFmtId="0" fontId="10" fillId="0" borderId="43" xfId="0" applyFont="1" applyBorder="1" applyAlignment="1">
      <alignment horizontal="right" vertical="center"/>
    </xf>
    <xf numFmtId="0" fontId="14" fillId="0" borderId="43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/>
    </xf>
    <xf numFmtId="9" fontId="13" fillId="0" borderId="43" xfId="0" applyNumberFormat="1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 wrapText="1"/>
    </xf>
    <xf numFmtId="3" fontId="13" fillId="0" borderId="43" xfId="0" applyNumberFormat="1" applyFont="1" applyBorder="1" applyAlignment="1">
      <alignment horizontal="center" vertical="center" wrapText="1"/>
    </xf>
    <xf numFmtId="0" fontId="15" fillId="0" borderId="39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42" xfId="0" applyFont="1" applyBorder="1" applyAlignment="1">
      <alignment horizontal="right" vertical="center"/>
    </xf>
    <xf numFmtId="0" fontId="12" fillId="6" borderId="41" xfId="0" applyFont="1" applyFill="1" applyBorder="1" applyAlignment="1">
      <alignment vertical="center" wrapText="1"/>
    </xf>
    <xf numFmtId="0" fontId="12" fillId="6" borderId="43" xfId="0" applyFont="1" applyFill="1" applyBorder="1" applyAlignment="1">
      <alignment vertical="center" wrapText="1"/>
    </xf>
    <xf numFmtId="0" fontId="12" fillId="6" borderId="43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vertical="center" wrapText="1"/>
    </xf>
    <xf numFmtId="0" fontId="12" fillId="4" borderId="43" xfId="0" applyFont="1" applyFill="1" applyBorder="1" applyAlignment="1">
      <alignment vertical="center" wrapText="1"/>
    </xf>
    <xf numFmtId="0" fontId="12" fillId="4" borderId="43" xfId="0" applyFont="1" applyFill="1" applyBorder="1" applyAlignment="1">
      <alignment horizontal="center" vertical="center"/>
    </xf>
    <xf numFmtId="165" fontId="17" fillId="0" borderId="23" xfId="0" applyNumberFormat="1" applyFont="1" applyFill="1" applyBorder="1" applyAlignment="1">
      <alignment vertical="center" wrapText="1"/>
    </xf>
    <xf numFmtId="165" fontId="2" fillId="2" borderId="15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8" fillId="7" borderId="43" xfId="0" applyFont="1" applyFill="1" applyBorder="1" applyAlignment="1">
      <alignment horizontal="right" vertical="center"/>
    </xf>
    <xf numFmtId="9" fontId="13" fillId="7" borderId="43" xfId="0" applyNumberFormat="1" applyFont="1" applyFill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right" vertical="center"/>
    </xf>
    <xf numFmtId="0" fontId="11" fillId="7" borderId="43" xfId="0" applyFont="1" applyFill="1" applyBorder="1" applyAlignment="1">
      <alignment horizontal="right" vertical="center"/>
    </xf>
    <xf numFmtId="0" fontId="12" fillId="0" borderId="0" xfId="0" applyFont="1"/>
    <xf numFmtId="0" fontId="19" fillId="0" borderId="30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164" fontId="19" fillId="0" borderId="17" xfId="1" applyNumberFormat="1" applyFont="1" applyFill="1" applyBorder="1" applyAlignment="1">
      <alignment horizontal="center" vertical="center" wrapText="1"/>
    </xf>
    <xf numFmtId="164" fontId="19" fillId="0" borderId="51" xfId="1" applyNumberFormat="1" applyFont="1" applyFill="1" applyBorder="1" applyAlignment="1">
      <alignment horizontal="center" vertical="center" wrapText="1"/>
    </xf>
    <xf numFmtId="9" fontId="19" fillId="0" borderId="31" xfId="1" applyFont="1" applyFill="1" applyBorder="1" applyAlignment="1">
      <alignment horizontal="center" vertical="center" wrapText="1"/>
    </xf>
    <xf numFmtId="165" fontId="19" fillId="2" borderId="15" xfId="0" applyNumberFormat="1" applyFont="1" applyFill="1" applyBorder="1" applyAlignment="1">
      <alignment vertical="center" wrapText="1"/>
    </xf>
    <xf numFmtId="165" fontId="19" fillId="2" borderId="16" xfId="0" applyNumberFormat="1" applyFont="1" applyFill="1" applyBorder="1" applyAlignment="1">
      <alignment vertical="center" wrapText="1"/>
    </xf>
    <xf numFmtId="164" fontId="19" fillId="2" borderId="47" xfId="1" applyNumberFormat="1" applyFont="1" applyFill="1" applyBorder="1" applyAlignment="1">
      <alignment horizontal="center" vertical="center" wrapText="1"/>
    </xf>
    <xf numFmtId="9" fontId="19" fillId="2" borderId="18" xfId="1" applyFont="1" applyFill="1" applyBorder="1" applyAlignment="1">
      <alignment vertical="center" wrapText="1"/>
    </xf>
    <xf numFmtId="165" fontId="20" fillId="0" borderId="19" xfId="0" applyNumberFormat="1" applyFont="1" applyFill="1" applyBorder="1" applyAlignment="1">
      <alignment vertical="center" wrapText="1"/>
    </xf>
    <xf numFmtId="165" fontId="20" fillId="0" borderId="6" xfId="0" applyNumberFormat="1" applyFont="1" applyFill="1" applyBorder="1" applyAlignment="1">
      <alignment vertical="center" wrapText="1"/>
    </xf>
    <xf numFmtId="165" fontId="20" fillId="0" borderId="8" xfId="0" applyNumberFormat="1" applyFont="1" applyFill="1" applyBorder="1" applyAlignment="1">
      <alignment vertical="center" wrapText="1"/>
    </xf>
    <xf numFmtId="164" fontId="19" fillId="2" borderId="0" xfId="1" applyNumberFormat="1" applyFont="1" applyFill="1" applyBorder="1" applyAlignment="1">
      <alignment horizontal="center" vertical="center" wrapText="1"/>
    </xf>
    <xf numFmtId="9" fontId="20" fillId="0" borderId="20" xfId="1" applyFont="1" applyFill="1" applyBorder="1" applyAlignment="1">
      <alignment vertical="center" wrapText="1"/>
    </xf>
    <xf numFmtId="165" fontId="20" fillId="0" borderId="21" xfId="0" applyNumberFormat="1" applyFont="1" applyFill="1" applyBorder="1" applyAlignment="1">
      <alignment vertical="center" wrapText="1"/>
    </xf>
    <xf numFmtId="9" fontId="20" fillId="0" borderId="22" xfId="1" applyFont="1" applyFill="1" applyBorder="1" applyAlignment="1">
      <alignment vertical="center" wrapText="1"/>
    </xf>
    <xf numFmtId="165" fontId="20" fillId="0" borderId="26" xfId="0" applyNumberFormat="1" applyFont="1" applyFill="1" applyBorder="1" applyAlignment="1">
      <alignment vertical="center" wrapText="1"/>
    </xf>
    <xf numFmtId="165" fontId="20" fillId="0" borderId="27" xfId="0" applyNumberFormat="1" applyFont="1" applyFill="1" applyBorder="1" applyAlignment="1">
      <alignment vertical="center" wrapText="1"/>
    </xf>
    <xf numFmtId="164" fontId="19" fillId="2" borderId="24" xfId="1" applyNumberFormat="1" applyFont="1" applyFill="1" applyBorder="1" applyAlignment="1">
      <alignment horizontal="center" vertical="center" wrapText="1"/>
    </xf>
    <xf numFmtId="9" fontId="20" fillId="0" borderId="29" xfId="1" applyFont="1" applyFill="1" applyBorder="1" applyAlignment="1">
      <alignment vertical="center" wrapText="1"/>
    </xf>
    <xf numFmtId="165" fontId="21" fillId="0" borderId="23" xfId="0" applyNumberFormat="1" applyFont="1" applyFill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/>
    <xf numFmtId="0" fontId="23" fillId="0" borderId="0" xfId="0" applyFont="1" applyAlignment="1">
      <alignment horizontal="justify" vertical="center"/>
    </xf>
    <xf numFmtId="0" fontId="13" fillId="0" borderId="4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5" fillId="0" borderId="0" xfId="0" applyFont="1"/>
    <xf numFmtId="0" fontId="24" fillId="0" borderId="0" xfId="0" applyFont="1" applyAlignment="1">
      <alignment horizontal="justify" vertical="center"/>
    </xf>
    <xf numFmtId="0" fontId="26" fillId="0" borderId="40" xfId="0" applyFont="1" applyBorder="1" applyAlignment="1">
      <alignment vertical="center" wrapText="1"/>
    </xf>
    <xf numFmtId="0" fontId="26" fillId="0" borderId="41" xfId="0" applyFont="1" applyBorder="1" applyAlignment="1">
      <alignment vertical="center" wrapText="1"/>
    </xf>
    <xf numFmtId="0" fontId="26" fillId="3" borderId="41" xfId="0" applyFont="1" applyFill="1" applyBorder="1" applyAlignment="1">
      <alignment vertical="center"/>
    </xf>
    <xf numFmtId="0" fontId="26" fillId="3" borderId="43" xfId="0" applyFont="1" applyFill="1" applyBorder="1" applyAlignment="1">
      <alignment vertical="center"/>
    </xf>
    <xf numFmtId="0" fontId="26" fillId="3" borderId="43" xfId="0" applyFont="1" applyFill="1" applyBorder="1" applyAlignment="1">
      <alignment horizontal="right" vertical="center"/>
    </xf>
    <xf numFmtId="0" fontId="26" fillId="3" borderId="41" xfId="0" applyFont="1" applyFill="1" applyBorder="1" applyAlignment="1">
      <alignment vertical="center" wrapText="1"/>
    </xf>
    <xf numFmtId="0" fontId="26" fillId="4" borderId="41" xfId="0" applyFont="1" applyFill="1" applyBorder="1" applyAlignment="1">
      <alignment vertical="center"/>
    </xf>
    <xf numFmtId="0" fontId="26" fillId="4" borderId="43" xfId="0" applyFont="1" applyFill="1" applyBorder="1" applyAlignment="1">
      <alignment vertical="center" wrapText="1"/>
    </xf>
    <xf numFmtId="0" fontId="26" fillId="4" borderId="43" xfId="0" applyFont="1" applyFill="1" applyBorder="1" applyAlignment="1">
      <alignment horizontal="right" vertical="center"/>
    </xf>
    <xf numFmtId="0" fontId="26" fillId="0" borderId="41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13" fillId="0" borderId="43" xfId="0" applyFont="1" applyBorder="1" applyAlignment="1">
      <alignment horizontal="right" vertical="center"/>
    </xf>
    <xf numFmtId="0" fontId="26" fillId="0" borderId="43" xfId="0" applyFont="1" applyBorder="1" applyAlignment="1">
      <alignment horizontal="right" vertical="center"/>
    </xf>
    <xf numFmtId="0" fontId="26" fillId="7" borderId="43" xfId="0" applyFont="1" applyFill="1" applyBorder="1" applyAlignment="1">
      <alignment horizontal="right" vertical="center"/>
    </xf>
    <xf numFmtId="0" fontId="26" fillId="0" borderId="39" xfId="0" applyFont="1" applyBorder="1" applyAlignment="1">
      <alignment vertical="center" wrapText="1"/>
    </xf>
    <xf numFmtId="0" fontId="26" fillId="0" borderId="42" xfId="0" applyFont="1" applyBorder="1" applyAlignment="1">
      <alignment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4" borderId="39" xfId="0" applyFont="1" applyFill="1" applyBorder="1" applyAlignment="1">
      <alignment vertical="center"/>
    </xf>
    <xf numFmtId="0" fontId="26" fillId="4" borderId="42" xfId="0" applyFont="1" applyFill="1" applyBorder="1" applyAlignment="1">
      <alignment vertical="center"/>
    </xf>
    <xf numFmtId="0" fontId="26" fillId="0" borderId="41" xfId="0" applyFont="1" applyBorder="1" applyAlignment="1">
      <alignment horizontal="center" vertical="center"/>
    </xf>
    <xf numFmtId="3" fontId="26" fillId="0" borderId="43" xfId="0" applyNumberFormat="1" applyFont="1" applyBorder="1" applyAlignment="1">
      <alignment horizontal="right" vertical="center"/>
    </xf>
    <xf numFmtId="9" fontId="26" fillId="0" borderId="43" xfId="0" applyNumberFormat="1" applyFont="1" applyBorder="1" applyAlignment="1">
      <alignment horizontal="right" vertical="center"/>
    </xf>
    <xf numFmtId="9" fontId="26" fillId="7" borderId="43" xfId="0" applyNumberFormat="1" applyFont="1" applyFill="1" applyBorder="1" applyAlignment="1">
      <alignment horizontal="right" vertical="center"/>
    </xf>
    <xf numFmtId="3" fontId="26" fillId="0" borderId="49" xfId="0" applyNumberFormat="1" applyFont="1" applyBorder="1" applyAlignment="1">
      <alignment horizontal="right" vertical="center"/>
    </xf>
    <xf numFmtId="3" fontId="26" fillId="0" borderId="39" xfId="0" applyNumberFormat="1" applyFont="1" applyBorder="1" applyAlignment="1">
      <alignment horizontal="right" vertical="center"/>
    </xf>
    <xf numFmtId="9" fontId="26" fillId="0" borderId="49" xfId="0" applyNumberFormat="1" applyFont="1" applyBorder="1" applyAlignment="1">
      <alignment horizontal="right" vertical="center"/>
    </xf>
    <xf numFmtId="0" fontId="26" fillId="0" borderId="50" xfId="0" applyFont="1" applyBorder="1" applyAlignment="1">
      <alignment horizontal="center" vertical="center"/>
    </xf>
    <xf numFmtId="9" fontId="26" fillId="0" borderId="39" xfId="0" applyNumberFormat="1" applyFont="1" applyBorder="1" applyAlignment="1">
      <alignment horizontal="right" vertical="center"/>
    </xf>
    <xf numFmtId="0" fontId="15" fillId="0" borderId="0" xfId="0" applyFont="1" applyAlignment="1">
      <alignment wrapText="1"/>
    </xf>
    <xf numFmtId="9" fontId="20" fillId="0" borderId="29" xfId="1" applyFont="1" applyFill="1" applyBorder="1" applyAlignment="1">
      <alignment horizontal="right" vertical="center" wrapText="1"/>
    </xf>
    <xf numFmtId="9" fontId="26" fillId="7" borderId="39" xfId="0" applyNumberFormat="1" applyFont="1" applyFill="1" applyBorder="1" applyAlignment="1">
      <alignment horizontal="right" vertical="center"/>
    </xf>
    <xf numFmtId="165" fontId="20" fillId="7" borderId="6" xfId="0" applyNumberFormat="1" applyFont="1" applyFill="1" applyBorder="1" applyAlignment="1">
      <alignment vertical="center" wrapText="1"/>
    </xf>
    <xf numFmtId="165" fontId="12" fillId="0" borderId="0" xfId="0" applyNumberFormat="1" applyFont="1"/>
    <xf numFmtId="0" fontId="13" fillId="7" borderId="43" xfId="0" applyFont="1" applyFill="1" applyBorder="1" applyAlignment="1">
      <alignment horizontal="right" vertical="center"/>
    </xf>
    <xf numFmtId="0" fontId="26" fillId="0" borderId="43" xfId="0" applyFont="1" applyFill="1" applyBorder="1" applyAlignment="1">
      <alignment horizontal="right" vertical="center"/>
    </xf>
    <xf numFmtId="164" fontId="19" fillId="2" borderId="17" xfId="1" applyNumberFormat="1" applyFont="1" applyFill="1" applyBorder="1" applyAlignment="1">
      <alignment horizontal="center" vertical="center" wrapText="1"/>
    </xf>
    <xf numFmtId="164" fontId="19" fillId="2" borderId="14" xfId="1" applyNumberFormat="1" applyFont="1" applyFill="1" applyBorder="1" applyAlignment="1">
      <alignment horizontal="center" vertical="center" wrapText="1"/>
    </xf>
    <xf numFmtId="164" fontId="19" fillId="2" borderId="28" xfId="1" applyNumberFormat="1" applyFont="1" applyFill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5" fontId="22" fillId="0" borderId="46" xfId="0" applyNumberFormat="1" applyFont="1" applyFill="1" applyBorder="1" applyAlignment="1">
      <alignment horizontal="left" vertical="center" wrapText="1"/>
    </xf>
    <xf numFmtId="165" fontId="22" fillId="0" borderId="47" xfId="0" applyNumberFormat="1" applyFont="1" applyFill="1" applyBorder="1" applyAlignment="1">
      <alignment horizontal="left" vertical="center" wrapText="1"/>
    </xf>
    <xf numFmtId="164" fontId="2" fillId="2" borderId="17" xfId="1" applyNumberFormat="1" applyFont="1" applyFill="1" applyBorder="1" applyAlignment="1">
      <alignment horizontal="center" vertical="center" wrapText="1"/>
    </xf>
    <xf numFmtId="164" fontId="2" fillId="2" borderId="14" xfId="1" applyNumberFormat="1" applyFont="1" applyFill="1" applyBorder="1" applyAlignment="1">
      <alignment horizontal="center" vertical="center" wrapText="1"/>
    </xf>
    <xf numFmtId="164" fontId="2" fillId="2" borderId="28" xfId="1" applyNumberFormat="1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40" xfId="0" applyFont="1" applyBorder="1" applyAlignment="1">
      <alignment vertical="center" wrapText="1"/>
    </xf>
    <xf numFmtId="0" fontId="26" fillId="0" borderId="41" xfId="0" applyFont="1" applyBorder="1" applyAlignment="1">
      <alignment vertical="center" wrapText="1"/>
    </xf>
    <xf numFmtId="0" fontId="12" fillId="0" borderId="48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0" xfId="0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165" fontId="16" fillId="0" borderId="46" xfId="0" applyNumberFormat="1" applyFont="1" applyFill="1" applyBorder="1" applyAlignment="1">
      <alignment horizontal="left" vertical="center" wrapText="1"/>
    </xf>
    <xf numFmtId="165" fontId="16" fillId="0" borderId="47" xfId="0" applyNumberFormat="1" applyFont="1" applyFill="1" applyBorder="1" applyAlignment="1">
      <alignment horizontal="left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BBE1-1586-40C6-AFE6-92460A9D2F81}">
  <dimension ref="C2:I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3" sqref="G13"/>
    </sheetView>
  </sheetViews>
  <sheetFormatPr defaultRowHeight="14.25" x14ac:dyDescent="0.45"/>
  <cols>
    <col min="3" max="3" width="52.86328125" customWidth="1"/>
    <col min="4" max="4" width="16.3984375" customWidth="1"/>
    <col min="5" max="5" width="15.59765625" customWidth="1"/>
    <col min="6" max="6" width="14.265625" customWidth="1"/>
    <col min="7" max="7" width="14.59765625" customWidth="1"/>
    <col min="8" max="8" width="13.265625" customWidth="1"/>
    <col min="9" max="9" width="18.59765625" customWidth="1"/>
  </cols>
  <sheetData>
    <row r="2" spans="3:9" ht="14.65" thickBot="1" x14ac:dyDescent="0.5"/>
    <row r="3" spans="3:9" ht="28.5" customHeight="1" x14ac:dyDescent="0.45">
      <c r="C3" s="1" t="s">
        <v>0</v>
      </c>
      <c r="D3" s="1" t="s">
        <v>1</v>
      </c>
      <c r="E3" s="1" t="s">
        <v>2</v>
      </c>
      <c r="F3" s="1" t="s">
        <v>3</v>
      </c>
      <c r="G3" s="2" t="s">
        <v>4</v>
      </c>
      <c r="H3" s="35" t="s">
        <v>27</v>
      </c>
      <c r="I3" s="1" t="s">
        <v>5</v>
      </c>
    </row>
    <row r="4" spans="3:9" ht="24.95" customHeight="1" x14ac:dyDescent="0.45">
      <c r="C4" s="3" t="s">
        <v>6</v>
      </c>
      <c r="D4" s="3">
        <f>SUM(D5:D7)</f>
        <v>1482770.6400000001</v>
      </c>
      <c r="E4" s="3">
        <f t="shared" ref="E4" si="0">SUM(E5:E7)</f>
        <v>1609061.27</v>
      </c>
      <c r="F4" s="3">
        <f>SUM(F5:F7)</f>
        <v>1882601.6858999999</v>
      </c>
      <c r="G4" s="4">
        <f>F4/E4-1</f>
        <v>0.16999999999999993</v>
      </c>
      <c r="H4" s="5"/>
      <c r="I4" s="6">
        <f>SUM(I5:I7)</f>
        <v>260168.87204099997</v>
      </c>
    </row>
    <row r="5" spans="3:9" ht="24.95" customHeight="1" x14ac:dyDescent="0.45">
      <c r="C5" s="7" t="s">
        <v>7</v>
      </c>
      <c r="D5" s="7">
        <v>219789.89000000004</v>
      </c>
      <c r="E5" s="7">
        <v>233434.13999999996</v>
      </c>
      <c r="F5" s="7">
        <f>E5*1.17</f>
        <v>273117.94379999995</v>
      </c>
      <c r="G5" s="8"/>
      <c r="H5" s="9">
        <v>0.19</v>
      </c>
      <c r="I5" s="7">
        <f>H5*F5</f>
        <v>51892.409321999992</v>
      </c>
    </row>
    <row r="6" spans="3:9" ht="24.95" customHeight="1" x14ac:dyDescent="0.45">
      <c r="C6" s="10" t="s">
        <v>8</v>
      </c>
      <c r="D6" s="10">
        <v>788291.36</v>
      </c>
      <c r="E6" s="10">
        <v>912543.33</v>
      </c>
      <c r="F6" s="10">
        <f>E6*1.17</f>
        <v>1067675.6960999998</v>
      </c>
      <c r="G6" s="11"/>
      <c r="H6" s="12">
        <v>0.19</v>
      </c>
      <c r="I6" s="10">
        <f>H6*F6</f>
        <v>202858.38225899998</v>
      </c>
    </row>
    <row r="7" spans="3:9" ht="24.95" customHeight="1" x14ac:dyDescent="0.45">
      <c r="C7" s="7" t="s">
        <v>9</v>
      </c>
      <c r="D7" s="7">
        <v>474689.39</v>
      </c>
      <c r="E7" s="7">
        <v>463083.8</v>
      </c>
      <c r="F7" s="7">
        <f>E7*1.17</f>
        <v>541808.04599999997</v>
      </c>
      <c r="G7" s="8"/>
      <c r="H7" s="9">
        <v>0.01</v>
      </c>
      <c r="I7" s="10">
        <f>H7*F7</f>
        <v>5418.0804600000001</v>
      </c>
    </row>
    <row r="8" spans="3:9" ht="24.95" customHeight="1" x14ac:dyDescent="0.45">
      <c r="C8" s="3" t="s">
        <v>10</v>
      </c>
      <c r="D8" s="3">
        <f>SUM(D9:D11)</f>
        <v>1521126.8299999998</v>
      </c>
      <c r="E8" s="3">
        <f t="shared" ref="E8" si="1">SUM(E9:E11)</f>
        <v>1549577.3400000003</v>
      </c>
      <c r="F8" s="3">
        <f t="shared" ref="F8" si="2">SUM(F9:F11)</f>
        <v>1813005.4878</v>
      </c>
      <c r="G8" s="4">
        <f>F8/E8-1</f>
        <v>0.16999999999999971</v>
      </c>
      <c r="H8" s="5"/>
      <c r="I8" s="6">
        <f>SUM(I9:I11)</f>
        <v>197393.69157300002</v>
      </c>
    </row>
    <row r="9" spans="3:9" ht="24.95" customHeight="1" x14ac:dyDescent="0.45">
      <c r="C9" s="7" t="s">
        <v>7</v>
      </c>
      <c r="D9" s="7">
        <v>240021.6399999999</v>
      </c>
      <c r="E9" s="7">
        <v>218832.65000000005</v>
      </c>
      <c r="F9" s="7">
        <f>E9*1.17</f>
        <v>256034.20050000004</v>
      </c>
      <c r="G9" s="8"/>
      <c r="H9" s="9">
        <v>0.19</v>
      </c>
      <c r="I9" s="7">
        <f>H9*F9</f>
        <v>48646.49809500001</v>
      </c>
    </row>
    <row r="10" spans="3:9" ht="24.95" customHeight="1" x14ac:dyDescent="0.45">
      <c r="C10" s="10" t="s">
        <v>8</v>
      </c>
      <c r="D10" s="10">
        <v>721406.4800000001</v>
      </c>
      <c r="E10" s="10">
        <v>717996.14</v>
      </c>
      <c r="F10" s="10">
        <f>E10*1.17</f>
        <v>840055.48379999993</v>
      </c>
      <c r="G10" s="11"/>
      <c r="H10" s="12">
        <v>0.16</v>
      </c>
      <c r="I10" s="10">
        <f>H10*F10</f>
        <v>134408.877408</v>
      </c>
    </row>
    <row r="11" spans="3:9" ht="24.95" customHeight="1" x14ac:dyDescent="0.45">
      <c r="C11" s="7" t="s">
        <v>9</v>
      </c>
      <c r="D11" s="7">
        <v>559698.70999999985</v>
      </c>
      <c r="E11" s="7">
        <v>612748.55000000016</v>
      </c>
      <c r="F11" s="7">
        <f>E11*1.17</f>
        <v>716915.80350000015</v>
      </c>
      <c r="G11" s="8"/>
      <c r="H11" s="9">
        <v>0.02</v>
      </c>
      <c r="I11" s="10">
        <f>H11*F11</f>
        <v>14338.316070000003</v>
      </c>
    </row>
    <row r="12" spans="3:9" ht="24.95" customHeight="1" x14ac:dyDescent="0.45">
      <c r="C12" s="3" t="s">
        <v>11</v>
      </c>
      <c r="D12" s="3">
        <f>SUM(D13:D15)</f>
        <v>871137.33000000007</v>
      </c>
      <c r="E12" s="3">
        <f t="shared" ref="E12" si="3">SUM(E13:E15)</f>
        <v>1458911.0900000003</v>
      </c>
      <c r="F12" s="3">
        <f t="shared" ref="F12" si="4">SUM(F13:F15)</f>
        <v>1706925.9753</v>
      </c>
      <c r="G12" s="4">
        <f>F12/E12-1</f>
        <v>0.16999999999999971</v>
      </c>
      <c r="H12" s="5"/>
      <c r="I12" s="6">
        <f>SUM(I13:I15)</f>
        <v>151729.283628</v>
      </c>
    </row>
    <row r="13" spans="3:9" ht="24.95" customHeight="1" x14ac:dyDescent="0.45">
      <c r="C13" s="7" t="s">
        <v>7</v>
      </c>
      <c r="D13" s="7">
        <v>6573.1</v>
      </c>
      <c r="E13" s="7">
        <v>30207.040000000001</v>
      </c>
      <c r="F13" s="7">
        <f>E13*1.17</f>
        <v>35342.236799999999</v>
      </c>
      <c r="G13" s="8"/>
      <c r="H13" s="9">
        <v>0.09</v>
      </c>
      <c r="I13" s="7">
        <f>H13*F13</f>
        <v>3180.8013119999996</v>
      </c>
    </row>
    <row r="14" spans="3:9" ht="24.95" customHeight="1" x14ac:dyDescent="0.45">
      <c r="C14" s="10" t="s">
        <v>8</v>
      </c>
      <c r="D14" s="10">
        <v>102524.93999999999</v>
      </c>
      <c r="E14" s="10">
        <v>581802.93999999994</v>
      </c>
      <c r="F14" s="10">
        <f>E14*1.17</f>
        <v>680709.43979999993</v>
      </c>
      <c r="G14" s="11"/>
      <c r="H14" s="12">
        <v>0.16</v>
      </c>
      <c r="I14" s="10">
        <f>H14*F14</f>
        <v>108913.51036799999</v>
      </c>
    </row>
    <row r="15" spans="3:9" ht="24.95" customHeight="1" x14ac:dyDescent="0.45">
      <c r="C15" s="7" t="s">
        <v>9</v>
      </c>
      <c r="D15" s="7">
        <v>762039.29</v>
      </c>
      <c r="E15" s="7">
        <v>846901.11000000022</v>
      </c>
      <c r="F15" s="7">
        <f>E15*1.17</f>
        <v>990874.29870000016</v>
      </c>
      <c r="G15" s="8"/>
      <c r="H15" s="9">
        <v>0.04</v>
      </c>
      <c r="I15" s="10">
        <f>H15*F15</f>
        <v>39634.971948000006</v>
      </c>
    </row>
    <row r="16" spans="3:9" ht="24.95" customHeight="1" x14ac:dyDescent="0.45">
      <c r="C16" s="3" t="s">
        <v>12</v>
      </c>
      <c r="D16" s="3">
        <f>SUM(D17:D19)</f>
        <v>1150885.0100000002</v>
      </c>
      <c r="E16" s="3">
        <f t="shared" ref="E16" si="5">SUM(E17:E19)</f>
        <v>1010089.8899999999</v>
      </c>
      <c r="F16" s="3">
        <f t="shared" ref="F16" si="6">SUM(F17:F19)</f>
        <v>1212107.8679999998</v>
      </c>
      <c r="G16" s="4">
        <f>F16/E16-1</f>
        <v>0.19999999999999996</v>
      </c>
      <c r="H16" s="5"/>
      <c r="I16" s="6">
        <f>SUM(I17:I19)</f>
        <v>197080.52627999999</v>
      </c>
    </row>
    <row r="17" spans="3:9" ht="24.95" customHeight="1" x14ac:dyDescent="0.45">
      <c r="C17" s="7" t="s">
        <v>7</v>
      </c>
      <c r="D17" s="7">
        <v>131431.14999999997</v>
      </c>
      <c r="E17" s="7">
        <v>131600.10999999996</v>
      </c>
      <c r="F17" s="7">
        <f>E17*1.2</f>
        <v>157920.13199999995</v>
      </c>
      <c r="G17" s="8"/>
      <c r="H17" s="9">
        <v>0.17</v>
      </c>
      <c r="I17" s="7">
        <f>H17*F17</f>
        <v>26846.422439999995</v>
      </c>
    </row>
    <row r="18" spans="3:9" ht="24.95" customHeight="1" x14ac:dyDescent="0.45">
      <c r="C18" s="7" t="s">
        <v>8</v>
      </c>
      <c r="D18" s="7">
        <v>261760.93</v>
      </c>
      <c r="E18" s="7">
        <v>65169.42</v>
      </c>
      <c r="F18" s="7">
        <f t="shared" ref="F18:F19" si="7">E18*1.2</f>
        <v>78203.303999999989</v>
      </c>
      <c r="G18" s="11"/>
      <c r="H18" s="12">
        <v>0.18</v>
      </c>
      <c r="I18" s="10">
        <f>H18*F18</f>
        <v>14076.594719999997</v>
      </c>
    </row>
    <row r="19" spans="3:9" ht="24.95" customHeight="1" x14ac:dyDescent="0.45">
      <c r="C19" s="7" t="s">
        <v>9</v>
      </c>
      <c r="D19" s="7">
        <v>757692.93000000028</v>
      </c>
      <c r="E19" s="7">
        <v>813320.36</v>
      </c>
      <c r="F19" s="7">
        <f t="shared" si="7"/>
        <v>975984.43199999991</v>
      </c>
      <c r="G19" s="8"/>
      <c r="H19" s="9">
        <v>0.16</v>
      </c>
      <c r="I19" s="10">
        <f>H19*F19</f>
        <v>156157.50912</v>
      </c>
    </row>
    <row r="20" spans="3:9" ht="24.95" customHeight="1" x14ac:dyDescent="0.45">
      <c r="C20" s="3" t="s">
        <v>13</v>
      </c>
      <c r="D20" s="3">
        <f>SUM(D21:D23)</f>
        <v>596472.63</v>
      </c>
      <c r="E20" s="3">
        <f t="shared" ref="E20" si="8">SUM(E21:E23)</f>
        <v>420647.93</v>
      </c>
      <c r="F20" s="3">
        <f t="shared" ref="F20" si="9">SUM(F21:F23)</f>
        <v>504777.516</v>
      </c>
      <c r="G20" s="4">
        <f>F20/E20-1</f>
        <v>0.19999999999999996</v>
      </c>
      <c r="H20" s="5"/>
      <c r="I20" s="6">
        <f>SUM(I21:I23)</f>
        <v>61319.782800000001</v>
      </c>
    </row>
    <row r="21" spans="3:9" ht="24.95" customHeight="1" x14ac:dyDescent="0.45">
      <c r="C21" s="7" t="s">
        <v>7</v>
      </c>
      <c r="D21" s="7">
        <v>31204.219999999994</v>
      </c>
      <c r="E21" s="7">
        <v>38796.439999999995</v>
      </c>
      <c r="F21" s="7">
        <f>E21*1.2</f>
        <v>46555.727999999996</v>
      </c>
      <c r="G21" s="8"/>
      <c r="H21" s="9">
        <v>0.15</v>
      </c>
      <c r="I21" s="7">
        <f>H21*F21</f>
        <v>6983.359199999999</v>
      </c>
    </row>
    <row r="22" spans="3:9" ht="24.95" customHeight="1" x14ac:dyDescent="0.45">
      <c r="C22" s="7" t="s">
        <v>8</v>
      </c>
      <c r="D22" s="7">
        <v>429754.49000000005</v>
      </c>
      <c r="E22" s="7">
        <v>88690.05</v>
      </c>
      <c r="F22" s="7">
        <f t="shared" ref="F22:F23" si="10">E22*1.2</f>
        <v>106428.06</v>
      </c>
      <c r="G22" s="11"/>
      <c r="H22" s="12">
        <v>0.18</v>
      </c>
      <c r="I22" s="10">
        <f>H22*F22</f>
        <v>19157.050799999997</v>
      </c>
    </row>
    <row r="23" spans="3:9" ht="24.95" customHeight="1" x14ac:dyDescent="0.45">
      <c r="C23" s="7" t="s">
        <v>9</v>
      </c>
      <c r="D23" s="7">
        <v>135513.92000000001</v>
      </c>
      <c r="E23" s="7">
        <v>293161.44</v>
      </c>
      <c r="F23" s="7">
        <f t="shared" si="10"/>
        <v>351793.728</v>
      </c>
      <c r="G23" s="8"/>
      <c r="H23" s="9">
        <v>0.1</v>
      </c>
      <c r="I23" s="10">
        <f>H23*F23</f>
        <v>35179.372800000005</v>
      </c>
    </row>
    <row r="24" spans="3:9" ht="24.95" customHeight="1" x14ac:dyDescent="0.45">
      <c r="C24" s="3" t="s">
        <v>14</v>
      </c>
      <c r="D24" s="3">
        <f>SUM(D25:D27)</f>
        <v>502581.71</v>
      </c>
      <c r="E24" s="3">
        <f t="shared" ref="E24" si="11">SUM(E25:E27)</f>
        <v>409425.28</v>
      </c>
      <c r="F24" s="3">
        <f t="shared" ref="F24" si="12">SUM(F25:F27)</f>
        <v>462971.929</v>
      </c>
      <c r="G24" s="4">
        <f>F24/E24-1</f>
        <v>0.13078491147395677</v>
      </c>
      <c r="H24" s="5"/>
      <c r="I24" s="6">
        <f>SUM(I25:I27)</f>
        <v>64597.192900000002</v>
      </c>
    </row>
    <row r="25" spans="3:9" ht="24.95" customHeight="1" x14ac:dyDescent="0.45">
      <c r="C25" s="7" t="s">
        <v>7</v>
      </c>
      <c r="D25" s="7">
        <v>18649.519999999993</v>
      </c>
      <c r="E25" s="7">
        <v>290.31</v>
      </c>
      <c r="F25" s="7">
        <v>10000</v>
      </c>
      <c r="G25" s="8"/>
      <c r="H25" s="9">
        <v>0.13</v>
      </c>
      <c r="I25" s="7">
        <f>H25*F25</f>
        <v>1300</v>
      </c>
    </row>
    <row r="26" spans="3:9" ht="24.95" customHeight="1" x14ac:dyDescent="0.45">
      <c r="C26" s="7" t="s">
        <v>8</v>
      </c>
      <c r="D26" s="7">
        <v>344129.37</v>
      </c>
      <c r="E26" s="7">
        <v>270069.58</v>
      </c>
      <c r="F26" s="7">
        <v>300000</v>
      </c>
      <c r="G26" s="11"/>
      <c r="H26" s="12">
        <v>0.16</v>
      </c>
      <c r="I26" s="10">
        <f>H26*F26</f>
        <v>48000</v>
      </c>
    </row>
    <row r="27" spans="3:9" ht="24.95" customHeight="1" x14ac:dyDescent="0.45">
      <c r="C27" s="7" t="s">
        <v>9</v>
      </c>
      <c r="D27" s="7">
        <v>139802.82</v>
      </c>
      <c r="E27" s="7">
        <v>139065.39000000001</v>
      </c>
      <c r="F27" s="7">
        <f t="shared" ref="F27" si="13">E27*1.1</f>
        <v>152971.92900000003</v>
      </c>
      <c r="G27" s="8"/>
      <c r="H27" s="9">
        <v>0.1</v>
      </c>
      <c r="I27" s="10">
        <f>H27*F27</f>
        <v>15297.192900000004</v>
      </c>
    </row>
    <row r="28" spans="3:9" ht="24.95" customHeight="1" x14ac:dyDescent="0.45">
      <c r="C28" s="3" t="s">
        <v>15</v>
      </c>
      <c r="D28" s="3">
        <f>SUM(D29:D31)</f>
        <v>79119.400000000009</v>
      </c>
      <c r="E28" s="3">
        <f t="shared" ref="E28" si="14">SUM(E29:E31)</f>
        <v>396514.71000000008</v>
      </c>
      <c r="F28" s="3">
        <f t="shared" ref="F28" si="15">SUM(F29:F31)</f>
        <v>515469.12300000008</v>
      </c>
      <c r="G28" s="4">
        <f>F28/E28-1</f>
        <v>0.30000000000000004</v>
      </c>
      <c r="H28" s="5"/>
      <c r="I28" s="6">
        <f>SUM(I29:I31)</f>
        <v>77528.310860000012</v>
      </c>
    </row>
    <row r="29" spans="3:9" ht="24.95" customHeight="1" x14ac:dyDescent="0.45">
      <c r="C29" s="7" t="s">
        <v>7</v>
      </c>
      <c r="D29" s="7">
        <v>16843.760000000002</v>
      </c>
      <c r="E29" s="7"/>
      <c r="F29" s="7"/>
      <c r="G29" s="8"/>
      <c r="H29" s="9">
        <v>0.15</v>
      </c>
      <c r="I29" s="7"/>
    </row>
    <row r="30" spans="3:9" ht="24.95" customHeight="1" x14ac:dyDescent="0.45">
      <c r="C30" s="7" t="s">
        <v>8</v>
      </c>
      <c r="D30" s="7">
        <v>21303.06</v>
      </c>
      <c r="E30" s="7">
        <v>249821.14</v>
      </c>
      <c r="F30" s="7">
        <f>E30*1.3</f>
        <v>324767.48200000002</v>
      </c>
      <c r="G30" s="11"/>
      <c r="H30" s="12">
        <v>0.18</v>
      </c>
      <c r="I30" s="10">
        <f>H30*F30</f>
        <v>58458.146760000003</v>
      </c>
    </row>
    <row r="31" spans="3:9" ht="24.95" customHeight="1" x14ac:dyDescent="0.45">
      <c r="C31" s="7" t="s">
        <v>9</v>
      </c>
      <c r="D31" s="7">
        <v>40972.58</v>
      </c>
      <c r="E31" s="7">
        <v>146693.57000000004</v>
      </c>
      <c r="F31" s="7">
        <f>E31*1.3</f>
        <v>190701.64100000006</v>
      </c>
      <c r="G31" s="8"/>
      <c r="H31" s="9">
        <v>0.1</v>
      </c>
      <c r="I31" s="10">
        <f>H31*F31</f>
        <v>19070.164100000005</v>
      </c>
    </row>
    <row r="32" spans="3:9" ht="24.95" customHeight="1" x14ac:dyDescent="0.45">
      <c r="C32" s="6" t="s">
        <v>16</v>
      </c>
      <c r="D32" s="6">
        <v>213546.81999999998</v>
      </c>
      <c r="E32" s="6">
        <v>382735.92</v>
      </c>
      <c r="F32" s="6">
        <v>450000</v>
      </c>
      <c r="G32" s="4">
        <f>F32/E32-1</f>
        <v>0.17574540691137641</v>
      </c>
      <c r="H32" s="5"/>
      <c r="I32" s="6">
        <f>SUM(I33:I35)</f>
        <v>69855.211852809065</v>
      </c>
    </row>
    <row r="33" spans="3:9" ht="24.95" customHeight="1" x14ac:dyDescent="0.45">
      <c r="C33" s="7" t="s">
        <v>7</v>
      </c>
      <c r="D33" s="7">
        <v>11979.29</v>
      </c>
      <c r="E33" s="7">
        <v>5377.48</v>
      </c>
      <c r="F33" s="7">
        <f>E5/E4*F32</f>
        <v>65283.631492789573</v>
      </c>
      <c r="G33" s="8"/>
      <c r="H33" s="9">
        <v>0.21</v>
      </c>
      <c r="I33" s="7">
        <f>H33*F33</f>
        <v>13709.56261348581</v>
      </c>
    </row>
    <row r="34" spans="3:9" ht="24.95" customHeight="1" x14ac:dyDescent="0.45">
      <c r="C34" s="10" t="s">
        <v>8</v>
      </c>
      <c r="D34" s="10">
        <v>152905.34999999998</v>
      </c>
      <c r="E34" s="10">
        <v>141372.51999999999</v>
      </c>
      <c r="F34" s="10">
        <f>E6/E5*F33</f>
        <v>255207.49654237842</v>
      </c>
      <c r="G34" s="11"/>
      <c r="H34" s="12">
        <v>0.22</v>
      </c>
      <c r="I34" s="10">
        <f>H34*F34</f>
        <v>56145.649239323255</v>
      </c>
    </row>
    <row r="35" spans="3:9" ht="24.95" customHeight="1" x14ac:dyDescent="0.45">
      <c r="C35" s="7" t="s">
        <v>9</v>
      </c>
      <c r="D35" s="7">
        <v>48662.180000000008</v>
      </c>
      <c r="E35" s="7">
        <v>235985.91999999998</v>
      </c>
      <c r="F35" s="7">
        <f>E7/E6*F34</f>
        <v>129508.87196483204</v>
      </c>
      <c r="G35" s="8"/>
      <c r="H35" s="9"/>
      <c r="I35" s="7"/>
    </row>
    <row r="36" spans="3:9" ht="24.95" customHeight="1" x14ac:dyDescent="0.45">
      <c r="C36" s="3" t="s">
        <v>17</v>
      </c>
      <c r="D36" s="3">
        <v>473199.00000000006</v>
      </c>
      <c r="E36" s="3">
        <v>358494.62000000011</v>
      </c>
      <c r="F36" s="3">
        <f>SUM(F37:F39)</f>
        <v>394344.08199999994</v>
      </c>
      <c r="G36" s="4">
        <f>F36/E36-1</f>
        <v>9.9999999999999423E-2</v>
      </c>
      <c r="H36" s="5"/>
      <c r="I36" s="6">
        <f>SUM(I37:I39)</f>
        <v>8893.9955500000015</v>
      </c>
    </row>
    <row r="37" spans="3:9" ht="24.95" customHeight="1" x14ac:dyDescent="0.45">
      <c r="C37" s="7" t="s">
        <v>7</v>
      </c>
      <c r="D37" s="7">
        <v>27832.55</v>
      </c>
      <c r="E37" s="7">
        <v>25897.67</v>
      </c>
      <c r="F37" s="7">
        <f>E37*1.1</f>
        <v>28487.437000000002</v>
      </c>
      <c r="G37" s="8"/>
      <c r="H37" s="9">
        <v>0.15</v>
      </c>
      <c r="I37" s="7">
        <f>H37*F37</f>
        <v>4273.1155500000004</v>
      </c>
    </row>
    <row r="38" spans="3:9" ht="24.95" customHeight="1" x14ac:dyDescent="0.45">
      <c r="C38" s="7" t="s">
        <v>8</v>
      </c>
      <c r="D38" s="7">
        <v>272711</v>
      </c>
      <c r="E38" s="7">
        <v>26255</v>
      </c>
      <c r="F38" s="7">
        <f t="shared" ref="F38" si="16">E38*1.1</f>
        <v>28880.500000000004</v>
      </c>
      <c r="G38" s="11"/>
      <c r="H38" s="12">
        <v>0.16</v>
      </c>
      <c r="I38" s="10">
        <f>H38*F38</f>
        <v>4620.880000000001</v>
      </c>
    </row>
    <row r="39" spans="3:9" ht="24.95" customHeight="1" x14ac:dyDescent="0.45">
      <c r="C39" s="7" t="s">
        <v>9</v>
      </c>
      <c r="D39" s="7">
        <v>172655.45</v>
      </c>
      <c r="E39" s="7">
        <v>306341.94999999995</v>
      </c>
      <c r="F39" s="7">
        <f>E39*1.1</f>
        <v>336976.14499999996</v>
      </c>
      <c r="G39" s="8"/>
      <c r="H39" s="9"/>
      <c r="I39" s="10">
        <f>H39*F39</f>
        <v>0</v>
      </c>
    </row>
    <row r="40" spans="3:9" ht="24.95" customHeight="1" x14ac:dyDescent="0.45">
      <c r="C40" s="3" t="s">
        <v>18</v>
      </c>
      <c r="D40" s="3">
        <v>613898.15999999992</v>
      </c>
      <c r="E40" s="3">
        <v>351890.13</v>
      </c>
      <c r="F40" s="3">
        <f>SUM(F41:F43)</f>
        <v>586100.86599999992</v>
      </c>
      <c r="G40" s="4">
        <f>F40/E40-1</f>
        <v>0.66557915676691448</v>
      </c>
      <c r="H40" s="5"/>
      <c r="I40" s="6">
        <f>SUM(I41:I43)</f>
        <v>50253.1734</v>
      </c>
    </row>
    <row r="41" spans="3:9" ht="24.95" customHeight="1" x14ac:dyDescent="0.45">
      <c r="C41" s="7" t="s">
        <v>7</v>
      </c>
      <c r="D41" s="7">
        <v>37932.18</v>
      </c>
      <c r="E41" s="7">
        <v>53586.54</v>
      </c>
      <c r="F41" s="7">
        <f>E41*1.4</f>
        <v>75021.156000000003</v>
      </c>
      <c r="G41" s="8"/>
      <c r="H41" s="9">
        <v>0.15</v>
      </c>
      <c r="I41" s="7">
        <f>H41*F41</f>
        <v>11253.1734</v>
      </c>
    </row>
    <row r="42" spans="3:9" ht="24.95" customHeight="1" x14ac:dyDescent="0.45">
      <c r="C42" s="10" t="s">
        <v>8</v>
      </c>
      <c r="D42" s="10">
        <v>334461.14999999991</v>
      </c>
      <c r="E42" s="10">
        <v>118960.94</v>
      </c>
      <c r="F42" s="10">
        <v>260000</v>
      </c>
      <c r="G42" s="11"/>
      <c r="H42" s="12">
        <v>0.15</v>
      </c>
      <c r="I42" s="10">
        <f>H42*F42</f>
        <v>39000</v>
      </c>
    </row>
    <row r="43" spans="3:9" ht="24.95" customHeight="1" x14ac:dyDescent="0.45">
      <c r="C43" s="7" t="s">
        <v>9</v>
      </c>
      <c r="D43" s="7">
        <v>241504.83000000005</v>
      </c>
      <c r="E43" s="7">
        <v>179342.64999999994</v>
      </c>
      <c r="F43" s="7">
        <f>E43*1.4</f>
        <v>251079.7099999999</v>
      </c>
      <c r="G43" s="8"/>
      <c r="H43" s="9"/>
      <c r="I43" s="10">
        <f>H43*F43</f>
        <v>0</v>
      </c>
    </row>
    <row r="44" spans="3:9" ht="24.95" customHeight="1" x14ac:dyDescent="0.45">
      <c r="C44" s="13" t="s">
        <v>19</v>
      </c>
      <c r="D44" s="13">
        <v>495200.38</v>
      </c>
      <c r="E44" s="13">
        <v>238898.71999999997</v>
      </c>
      <c r="F44" s="13">
        <v>500000</v>
      </c>
      <c r="G44" s="4">
        <f>F44/E44-1</f>
        <v>1.0929371241503514</v>
      </c>
      <c r="H44" s="14"/>
      <c r="I44" s="13">
        <f>SUM(I45:I47)</f>
        <v>54102.113902878831</v>
      </c>
    </row>
    <row r="45" spans="3:9" ht="24.95" customHeight="1" x14ac:dyDescent="0.45">
      <c r="C45" s="7" t="s">
        <v>7</v>
      </c>
      <c r="D45" s="7">
        <v>3260.05</v>
      </c>
      <c r="E45" s="7">
        <v>16760.41</v>
      </c>
      <c r="F45" s="7">
        <f>E9/E8*F44</f>
        <v>70610.431745213835</v>
      </c>
      <c r="G45" s="8"/>
      <c r="H45" s="9">
        <v>0.11</v>
      </c>
      <c r="I45" s="7">
        <f>H45*F45</f>
        <v>7767.1474919735219</v>
      </c>
    </row>
    <row r="46" spans="3:9" ht="24.95" customHeight="1" x14ac:dyDescent="0.45">
      <c r="C46" s="10" t="s">
        <v>8</v>
      </c>
      <c r="D46" s="10">
        <v>354957.85</v>
      </c>
      <c r="E46" s="10">
        <v>136475.87</v>
      </c>
      <c r="F46" s="10">
        <f>E10/E9*F45</f>
        <v>231674.83205452655</v>
      </c>
      <c r="G46" s="11"/>
      <c r="H46" s="12">
        <v>0.2</v>
      </c>
      <c r="I46" s="10">
        <f>H46*F46</f>
        <v>46334.966410905312</v>
      </c>
    </row>
    <row r="47" spans="3:9" ht="24.95" customHeight="1" x14ac:dyDescent="0.45">
      <c r="C47" s="7" t="s">
        <v>9</v>
      </c>
      <c r="D47" s="7">
        <v>136982.47999999998</v>
      </c>
      <c r="E47" s="7">
        <v>85662.439999999988</v>
      </c>
      <c r="F47" s="7">
        <f>E11/E10*F46</f>
        <v>197714.73620025965</v>
      </c>
      <c r="G47" s="8"/>
      <c r="H47" s="9"/>
      <c r="I47" s="7"/>
    </row>
    <row r="48" spans="3:9" ht="24.95" customHeight="1" x14ac:dyDescent="0.45">
      <c r="C48" s="13" t="s">
        <v>20</v>
      </c>
      <c r="D48" s="13">
        <v>150801.19</v>
      </c>
      <c r="E48" s="13">
        <v>176092.49</v>
      </c>
      <c r="F48" s="13">
        <v>220000</v>
      </c>
      <c r="G48" s="4">
        <f>F48/E48-1</f>
        <v>0.24934345581688366</v>
      </c>
      <c r="H48" s="14"/>
      <c r="I48" s="13">
        <f>SUM(I49:I51)</f>
        <v>14493.013668159856</v>
      </c>
    </row>
    <row r="49" spans="3:9" ht="24.95" customHeight="1" x14ac:dyDescent="0.45">
      <c r="C49" s="7" t="s">
        <v>7</v>
      </c>
      <c r="D49" s="7">
        <v>5383.9199999999992</v>
      </c>
      <c r="E49" s="7">
        <v>6886.75</v>
      </c>
      <c r="F49" s="7">
        <f>E13/E12*F48</f>
        <v>4555.1431101946037</v>
      </c>
      <c r="G49" s="8"/>
      <c r="H49" s="9">
        <v>0.1</v>
      </c>
      <c r="I49" s="7">
        <f>H49*F49</f>
        <v>455.51431101946037</v>
      </c>
    </row>
    <row r="50" spans="3:9" ht="24.95" customHeight="1" x14ac:dyDescent="0.45">
      <c r="C50" s="10" t="s">
        <v>8</v>
      </c>
      <c r="D50" s="10">
        <v>62648.89</v>
      </c>
      <c r="E50" s="10">
        <v>31297.15</v>
      </c>
      <c r="F50" s="10">
        <f>E14/E13*F49</f>
        <v>87734.370982127468</v>
      </c>
      <c r="G50" s="11"/>
      <c r="H50" s="12">
        <v>0.16</v>
      </c>
      <c r="I50" s="10">
        <f>H50*F50</f>
        <v>14037.499357140396</v>
      </c>
    </row>
    <row r="51" spans="3:9" ht="24.95" customHeight="1" x14ac:dyDescent="0.45">
      <c r="C51" s="7" t="s">
        <v>9</v>
      </c>
      <c r="D51" s="7">
        <v>82768.38</v>
      </c>
      <c r="E51" s="7">
        <v>137908.59</v>
      </c>
      <c r="F51" s="7">
        <f>E15/E14*F50</f>
        <v>127710.48590767791</v>
      </c>
      <c r="G51" s="8"/>
      <c r="H51" s="9"/>
      <c r="I51" s="7"/>
    </row>
    <row r="52" spans="3:9" ht="24.95" customHeight="1" x14ac:dyDescent="0.45">
      <c r="C52" s="13" t="s">
        <v>21</v>
      </c>
      <c r="D52" s="13">
        <v>275045.50999999995</v>
      </c>
      <c r="E52" s="13">
        <v>162908.81999999995</v>
      </c>
      <c r="F52" s="13">
        <f>E54*3</f>
        <v>338375.4599999999</v>
      </c>
      <c r="G52" s="4">
        <f>F52/E52-1</f>
        <v>1.0770849607774462</v>
      </c>
      <c r="H52" s="14"/>
      <c r="I52" s="13"/>
    </row>
    <row r="53" spans="3:9" ht="24.95" customHeight="1" x14ac:dyDescent="0.45">
      <c r="C53" s="7" t="s">
        <v>8</v>
      </c>
      <c r="D53" s="7"/>
      <c r="E53" s="7">
        <v>50117</v>
      </c>
      <c r="F53" s="7"/>
      <c r="G53" s="8"/>
      <c r="H53" s="9">
        <v>0.16</v>
      </c>
      <c r="I53" s="7"/>
    </row>
    <row r="54" spans="3:9" ht="24.95" customHeight="1" x14ac:dyDescent="0.45">
      <c r="C54" s="10" t="s">
        <v>9</v>
      </c>
      <c r="D54" s="10">
        <v>275045.50999999995</v>
      </c>
      <c r="E54" s="10">
        <v>112791.81999999996</v>
      </c>
      <c r="F54" s="10">
        <f>E54*3</f>
        <v>338375.4599999999</v>
      </c>
      <c r="G54" s="11"/>
      <c r="H54" s="12"/>
      <c r="I54" s="10"/>
    </row>
    <row r="55" spans="3:9" ht="24.95" customHeight="1" x14ac:dyDescent="0.45">
      <c r="C55" s="3" t="s">
        <v>22</v>
      </c>
      <c r="D55" s="3">
        <v>66798.840000000011</v>
      </c>
      <c r="E55" s="3">
        <v>57870.029999999984</v>
      </c>
      <c r="F55" s="3">
        <v>75000</v>
      </c>
      <c r="G55" s="4">
        <f>F55/E55-1</f>
        <v>0.29600762259843338</v>
      </c>
      <c r="H55" s="15"/>
      <c r="I55" s="3">
        <f>SUM(I56:I58)</f>
        <v>4451.4030793474794</v>
      </c>
    </row>
    <row r="56" spans="3:9" ht="24.95" customHeight="1" x14ac:dyDescent="0.45">
      <c r="C56" s="10" t="s">
        <v>7</v>
      </c>
      <c r="D56" s="10">
        <v>10809.45</v>
      </c>
      <c r="E56" s="10">
        <v>2367.3599999999997</v>
      </c>
      <c r="F56" s="10">
        <f>E20/E19*F55</f>
        <v>38789.874570458313</v>
      </c>
      <c r="G56" s="11"/>
      <c r="H56" s="12">
        <v>0.1</v>
      </c>
      <c r="I56" s="10">
        <f>H56*F56</f>
        <v>3878.9874570458314</v>
      </c>
    </row>
    <row r="57" spans="3:9" ht="24.95" customHeight="1" x14ac:dyDescent="0.45">
      <c r="C57" s="7" t="s">
        <v>8</v>
      </c>
      <c r="D57" s="7"/>
      <c r="E57" s="7">
        <v>4573.84</v>
      </c>
      <c r="F57" s="7">
        <f>E21/E20*F56</f>
        <v>3577.597639385297</v>
      </c>
      <c r="G57" s="8"/>
      <c r="H57" s="9">
        <v>0.16</v>
      </c>
      <c r="I57" s="7">
        <f>H57*F57</f>
        <v>572.41562230164755</v>
      </c>
    </row>
    <row r="58" spans="3:9" ht="24.95" customHeight="1" x14ac:dyDescent="0.45">
      <c r="C58" s="10" t="s">
        <v>9</v>
      </c>
      <c r="D58" s="10">
        <v>55989.390000000007</v>
      </c>
      <c r="E58" s="10">
        <v>50928.829999999994</v>
      </c>
      <c r="F58" s="10">
        <f>E22/E21*F57</f>
        <v>8178.5162122340098</v>
      </c>
      <c r="G58" s="11"/>
      <c r="H58" s="12"/>
      <c r="I58" s="10"/>
    </row>
    <row r="59" spans="3:9" ht="24.95" customHeight="1" x14ac:dyDescent="0.45">
      <c r="C59" s="3" t="s">
        <v>23</v>
      </c>
      <c r="D59" s="3">
        <v>14495.85</v>
      </c>
      <c r="E59" s="3">
        <v>48597.140000000007</v>
      </c>
      <c r="F59" s="3">
        <f>SUM(F60:F62)</f>
        <v>200000</v>
      </c>
      <c r="G59" s="4">
        <f>F59/E59-1</f>
        <v>3.1154685234563182</v>
      </c>
      <c r="H59" s="5"/>
      <c r="I59" s="6">
        <f>SUM(I60:I62)</f>
        <v>15100</v>
      </c>
    </row>
    <row r="60" spans="3:9" ht="24.95" customHeight="1" x14ac:dyDescent="0.45">
      <c r="C60" s="10" t="s">
        <v>7</v>
      </c>
      <c r="D60" s="10">
        <v>5498.8600000000006</v>
      </c>
      <c r="E60" s="10">
        <v>3146.86</v>
      </c>
      <c r="F60" s="10">
        <v>15000</v>
      </c>
      <c r="G60" s="11"/>
      <c r="H60" s="9">
        <v>0.1</v>
      </c>
      <c r="I60" s="7">
        <f>H60*F60</f>
        <v>1500</v>
      </c>
    </row>
    <row r="61" spans="3:9" ht="24.95" customHeight="1" x14ac:dyDescent="0.45">
      <c r="C61" s="7" t="s">
        <v>8</v>
      </c>
      <c r="D61" s="7"/>
      <c r="E61" s="7">
        <v>25838.12</v>
      </c>
      <c r="F61" s="7">
        <f>200000-(F62+F60)</f>
        <v>85000</v>
      </c>
      <c r="G61" s="8"/>
      <c r="H61" s="12">
        <v>0.16</v>
      </c>
      <c r="I61" s="10">
        <f>H61*F61</f>
        <v>13600</v>
      </c>
    </row>
    <row r="62" spans="3:9" ht="24.95" customHeight="1" x14ac:dyDescent="0.45">
      <c r="C62" s="10" t="s">
        <v>9</v>
      </c>
      <c r="D62" s="10">
        <v>8996.99</v>
      </c>
      <c r="E62" s="10">
        <v>19612.16</v>
      </c>
      <c r="F62" s="10">
        <v>100000</v>
      </c>
      <c r="G62" s="11"/>
      <c r="H62" s="9"/>
      <c r="I62" s="10">
        <f>H62*F62</f>
        <v>0</v>
      </c>
    </row>
    <row r="63" spans="3:9" ht="24.95" customHeight="1" x14ac:dyDescent="0.45">
      <c r="C63" s="3" t="s">
        <v>24</v>
      </c>
      <c r="D63" s="3">
        <v>37122.21</v>
      </c>
      <c r="E63" s="3">
        <v>33756</v>
      </c>
      <c r="F63" s="3">
        <v>75000</v>
      </c>
      <c r="G63" s="4">
        <f>F63/E63-1</f>
        <v>1.2218272307145397</v>
      </c>
      <c r="H63" s="15"/>
      <c r="I63" s="3">
        <f>SUM(I64:I65)</f>
        <v>16759.036795562199</v>
      </c>
    </row>
    <row r="64" spans="3:9" ht="24.95" customHeight="1" x14ac:dyDescent="0.45">
      <c r="C64" s="10" t="s">
        <v>8</v>
      </c>
      <c r="D64" s="10">
        <v>36733</v>
      </c>
      <c r="E64" s="10">
        <v>33756</v>
      </c>
      <c r="F64" s="10">
        <f>E24/E23*F63</f>
        <v>104743.97997226374</v>
      </c>
      <c r="G64" s="11"/>
      <c r="H64" s="12">
        <v>0.16</v>
      </c>
      <c r="I64" s="10">
        <f>H64*F64</f>
        <v>16759.036795562199</v>
      </c>
    </row>
    <row r="65" spans="3:9" ht="24.95" customHeight="1" x14ac:dyDescent="0.45">
      <c r="C65" s="7" t="s">
        <v>9</v>
      </c>
      <c r="D65" s="7">
        <v>389.21</v>
      </c>
      <c r="E65" s="7"/>
      <c r="F65" s="7"/>
      <c r="G65" s="8"/>
      <c r="H65" s="9"/>
      <c r="I65" s="7"/>
    </row>
    <row r="66" spans="3:9" ht="24.95" customHeight="1" x14ac:dyDescent="0.45">
      <c r="C66" s="13" t="s">
        <v>25</v>
      </c>
      <c r="D66" s="13">
        <v>17403.849999999999</v>
      </c>
      <c r="E66" s="13">
        <v>8217.4500000000007</v>
      </c>
      <c r="F66" s="13">
        <v>75000</v>
      </c>
      <c r="G66" s="4">
        <f>F66/E66-1</f>
        <v>8.1269189347060209</v>
      </c>
      <c r="H66" s="14"/>
      <c r="I66" s="13">
        <f>SUM(I67:I69)</f>
        <v>21480.267955391355</v>
      </c>
    </row>
    <row r="67" spans="3:9" ht="24.95" customHeight="1" x14ac:dyDescent="0.45">
      <c r="C67" s="7" t="s">
        <v>7</v>
      </c>
      <c r="D67" s="7">
        <v>499.16</v>
      </c>
      <c r="E67" s="7">
        <v>3084.1000000000004</v>
      </c>
      <c r="F67" s="7">
        <f>E27/E26*F66</f>
        <v>38619.322657516634</v>
      </c>
      <c r="G67" s="8"/>
      <c r="H67" s="9">
        <v>0.1</v>
      </c>
      <c r="I67" s="7">
        <f>H67*F67</f>
        <v>3861.9322657516636</v>
      </c>
    </row>
    <row r="68" spans="3:9" ht="24.95" customHeight="1" x14ac:dyDescent="0.45">
      <c r="C68" s="10" t="s">
        <v>8</v>
      </c>
      <c r="D68" s="10">
        <v>15890</v>
      </c>
      <c r="E68" s="10">
        <v>2839.53</v>
      </c>
      <c r="F68" s="10">
        <f>E28/E27*F67</f>
        <v>110114.59806024806</v>
      </c>
      <c r="G68" s="11"/>
      <c r="H68" s="12">
        <v>0.16</v>
      </c>
      <c r="I68" s="10">
        <f t="shared" ref="I68" si="17">H68*F68</f>
        <v>17618.335689639691</v>
      </c>
    </row>
    <row r="69" spans="3:9" ht="24.95" customHeight="1" thickBot="1" x14ac:dyDescent="0.5">
      <c r="C69" s="7" t="s">
        <v>9</v>
      </c>
      <c r="D69" s="7">
        <v>1014.69</v>
      </c>
      <c r="E69" s="7">
        <v>2293.8200000000002</v>
      </c>
      <c r="F69" s="7">
        <f>E29/E28*F68</f>
        <v>0</v>
      </c>
      <c r="G69" s="8"/>
      <c r="H69" s="9"/>
      <c r="I69" s="7"/>
    </row>
    <row r="70" spans="3:9" ht="24.95" customHeight="1" thickBot="1" x14ac:dyDescent="0.5">
      <c r="C70" s="16" t="s">
        <v>26</v>
      </c>
      <c r="D70" s="16">
        <v>8561605.3599999994</v>
      </c>
      <c r="E70" s="16">
        <v>8673688.8300000001</v>
      </c>
      <c r="F70" s="16">
        <f>SUM(F66,F63,F55,F52,F48,F44,F40,F32,F28,F24,F20,F16,F12,F8,F4,F36,F59)</f>
        <v>11011679.992999999</v>
      </c>
      <c r="G70" s="17">
        <f>F70/E70-1</f>
        <v>0.26954980848673116</v>
      </c>
      <c r="H70" s="18"/>
      <c r="I70" s="16">
        <f>SUM(I66,I63,I55,I52,I48,I44,I40,I32,I28,I24,I20,I16,I12,I8,I4,I36,I59)</f>
        <v>1265205.876286149</v>
      </c>
    </row>
  </sheetData>
  <pageMargins left="0.7" right="0.7" top="0.75" bottom="0.75" header="0.3" footer="0.3"/>
  <ignoredErrors>
    <ignoredError sqref="I8 I12 I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B02D-AD7E-48B2-8231-58C93A4ABBF8}">
  <sheetPr>
    <tabColor rgb="FF92D050"/>
  </sheetPr>
  <dimension ref="B2:K39"/>
  <sheetViews>
    <sheetView workbookViewId="0">
      <selection activeCell="C9" sqref="C9:H9"/>
    </sheetView>
  </sheetViews>
  <sheetFormatPr defaultRowHeight="14.25" x14ac:dyDescent="0.45"/>
  <cols>
    <col min="3" max="3" width="47.3984375" style="102" customWidth="1"/>
    <col min="4" max="4" width="13.1328125" style="102" customWidth="1"/>
    <col min="5" max="5" width="12.59765625" style="102" customWidth="1"/>
    <col min="6" max="6" width="11.73046875" style="102" customWidth="1"/>
    <col min="7" max="7" width="11.1328125" style="102" customWidth="1"/>
    <col min="8" max="8" width="15.59765625" style="102" customWidth="1"/>
    <col min="9" max="9" width="12.265625" style="102" customWidth="1"/>
    <col min="10" max="10" width="9.1328125" style="102" customWidth="1"/>
  </cols>
  <sheetData>
    <row r="2" spans="2:11" ht="14.65" thickBot="1" x14ac:dyDescent="0.5"/>
    <row r="3" spans="2:11" ht="42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2:11" ht="24.95" customHeight="1" x14ac:dyDescent="0.45">
      <c r="C4" s="108" t="s">
        <v>95</v>
      </c>
      <c r="D4" s="109">
        <v>4164812</v>
      </c>
      <c r="E4" s="109">
        <v>4121760</v>
      </c>
      <c r="F4" s="109">
        <f>SUM(F5:F7)</f>
        <v>4142911.99</v>
      </c>
      <c r="G4" s="166">
        <f>F4/E4-1</f>
        <v>5.1317859361050822E-3</v>
      </c>
      <c r="H4" s="110"/>
      <c r="I4" s="111"/>
      <c r="K4" s="97"/>
    </row>
    <row r="5" spans="2:11" ht="24.95" customHeight="1" x14ac:dyDescent="0.45">
      <c r="C5" s="112" t="s">
        <v>92</v>
      </c>
      <c r="D5" s="113">
        <v>346883</v>
      </c>
      <c r="E5" s="113">
        <v>448343</v>
      </c>
      <c r="F5" s="114">
        <v>480437.99999999994</v>
      </c>
      <c r="G5" s="167"/>
      <c r="H5" s="115">
        <v>0.01</v>
      </c>
      <c r="I5" s="116">
        <v>0.3</v>
      </c>
    </row>
    <row r="6" spans="2:11" ht="24.95" customHeight="1" x14ac:dyDescent="0.45">
      <c r="C6" s="117" t="s">
        <v>8</v>
      </c>
      <c r="D6" s="114">
        <v>2205660</v>
      </c>
      <c r="E6" s="114">
        <v>1710368</v>
      </c>
      <c r="F6" s="113">
        <v>2020593.75</v>
      </c>
      <c r="G6" s="167"/>
      <c r="H6" s="115">
        <v>1.4999999999999999E-2</v>
      </c>
      <c r="I6" s="118">
        <v>0.19</v>
      </c>
    </row>
    <row r="7" spans="2:11" ht="24.95" customHeight="1" thickBot="1" x14ac:dyDescent="0.5">
      <c r="C7" s="119" t="s">
        <v>9</v>
      </c>
      <c r="D7" s="120">
        <v>1612269</v>
      </c>
      <c r="E7" s="120">
        <v>1963049</v>
      </c>
      <c r="F7" s="120">
        <v>1641880.24</v>
      </c>
      <c r="G7" s="168"/>
      <c r="H7" s="121">
        <v>5.0000000000000001E-3</v>
      </c>
      <c r="I7" s="122">
        <v>0.06</v>
      </c>
    </row>
    <row r="8" spans="2:11" ht="26.45" customHeight="1" thickBot="1" x14ac:dyDescent="0.5">
      <c r="C8" s="123" t="s">
        <v>93</v>
      </c>
      <c r="D8" s="124"/>
      <c r="E8" s="124"/>
      <c r="F8" s="124"/>
      <c r="G8" s="124"/>
      <c r="H8" s="125"/>
    </row>
    <row r="9" spans="2:11" ht="56.25" customHeight="1" x14ac:dyDescent="0.45">
      <c r="C9" s="174" t="s">
        <v>106</v>
      </c>
      <c r="D9" s="175"/>
      <c r="E9" s="175"/>
      <c r="F9" s="175"/>
      <c r="G9" s="175"/>
      <c r="H9" s="175"/>
    </row>
    <row r="11" spans="2:11" ht="14.65" thickBot="1" x14ac:dyDescent="0.5">
      <c r="C11" s="126" t="s">
        <v>56</v>
      </c>
    </row>
    <row r="12" spans="2:11" ht="26.65" thickBot="1" x14ac:dyDescent="0.5">
      <c r="C12" s="66" t="s">
        <v>57</v>
      </c>
      <c r="D12" s="67"/>
      <c r="E12" s="68" t="s">
        <v>32</v>
      </c>
      <c r="F12" s="68" t="s">
        <v>33</v>
      </c>
      <c r="G12" s="68" t="s">
        <v>34</v>
      </c>
      <c r="H12" s="68" t="s">
        <v>35</v>
      </c>
      <c r="I12" s="68" t="s">
        <v>36</v>
      </c>
      <c r="J12" s="68" t="s">
        <v>37</v>
      </c>
    </row>
    <row r="13" spans="2:11" ht="14.65" thickBot="1" x14ac:dyDescent="0.5">
      <c r="C13" s="69" t="s">
        <v>58</v>
      </c>
      <c r="D13" s="70" t="s">
        <v>39</v>
      </c>
      <c r="E13" s="71">
        <v>6</v>
      </c>
      <c r="F13" s="71">
        <v>6</v>
      </c>
      <c r="G13" s="71">
        <v>6</v>
      </c>
      <c r="H13" s="71">
        <v>6</v>
      </c>
      <c r="I13" s="71">
        <v>6</v>
      </c>
      <c r="J13" s="71">
        <v>6</v>
      </c>
    </row>
    <row r="14" spans="2:11" ht="14.65" thickBot="1" x14ac:dyDescent="0.5">
      <c r="C14" s="72" t="s">
        <v>59</v>
      </c>
      <c r="D14" s="70" t="s">
        <v>39</v>
      </c>
      <c r="E14" s="73">
        <v>6</v>
      </c>
      <c r="F14" s="73">
        <v>6</v>
      </c>
      <c r="G14" s="73">
        <v>6</v>
      </c>
      <c r="H14" s="73">
        <v>6</v>
      </c>
      <c r="I14" s="73">
        <v>6</v>
      </c>
      <c r="J14" s="73">
        <v>6</v>
      </c>
    </row>
    <row r="15" spans="2:11" ht="14.65" thickBot="1" x14ac:dyDescent="0.5">
      <c r="C15" s="72" t="s">
        <v>60</v>
      </c>
      <c r="D15" s="70" t="s">
        <v>39</v>
      </c>
      <c r="E15" s="73">
        <v>1</v>
      </c>
      <c r="F15" s="73">
        <v>1</v>
      </c>
      <c r="G15" s="73">
        <v>1</v>
      </c>
      <c r="H15" s="73">
        <v>1</v>
      </c>
      <c r="I15" s="73">
        <v>1</v>
      </c>
      <c r="J15" s="73">
        <v>1</v>
      </c>
    </row>
    <row r="16" spans="2:11" ht="26.65" thickBot="1" x14ac:dyDescent="0.5">
      <c r="B16" t="s">
        <v>98</v>
      </c>
      <c r="C16" s="72" t="s">
        <v>61</v>
      </c>
      <c r="D16" s="70" t="s">
        <v>62</v>
      </c>
      <c r="E16" s="73">
        <v>1</v>
      </c>
      <c r="F16" s="73">
        <v>1</v>
      </c>
      <c r="G16" s="73">
        <v>1</v>
      </c>
      <c r="H16" s="73">
        <v>1</v>
      </c>
      <c r="I16" s="73">
        <v>1</v>
      </c>
      <c r="J16" s="73">
        <v>1</v>
      </c>
    </row>
    <row r="17" spans="3:10" ht="39.75" thickBot="1" x14ac:dyDescent="0.5">
      <c r="C17" s="74" t="s">
        <v>63</v>
      </c>
      <c r="D17" s="75" t="s">
        <v>64</v>
      </c>
      <c r="E17" s="76">
        <v>0</v>
      </c>
      <c r="F17" s="76">
        <v>1</v>
      </c>
      <c r="G17" s="76">
        <v>2</v>
      </c>
      <c r="H17" s="76">
        <v>3</v>
      </c>
      <c r="I17" s="76">
        <v>4</v>
      </c>
      <c r="J17" s="76">
        <v>5</v>
      </c>
    </row>
    <row r="18" spans="3:10" ht="14.65" thickBot="1" x14ac:dyDescent="0.5">
      <c r="C18" s="77" t="s">
        <v>65</v>
      </c>
      <c r="D18" s="78"/>
      <c r="E18" s="79">
        <f t="shared" ref="E18:J18" si="0">SUM(E13:E17)</f>
        <v>14</v>
      </c>
      <c r="F18" s="79">
        <f t="shared" si="0"/>
        <v>15</v>
      </c>
      <c r="G18" s="79">
        <f t="shared" si="0"/>
        <v>16</v>
      </c>
      <c r="H18" s="79">
        <f t="shared" si="0"/>
        <v>17</v>
      </c>
      <c r="I18" s="79">
        <f t="shared" si="0"/>
        <v>18</v>
      </c>
      <c r="J18" s="100">
        <f t="shared" si="0"/>
        <v>19</v>
      </c>
    </row>
    <row r="19" spans="3:10" ht="26.65" thickBot="1" x14ac:dyDescent="0.5">
      <c r="C19" s="66" t="s">
        <v>66</v>
      </c>
      <c r="D19" s="67"/>
      <c r="E19" s="68" t="s">
        <v>32</v>
      </c>
      <c r="F19" s="68" t="s">
        <v>67</v>
      </c>
      <c r="G19" s="68" t="s">
        <v>68</v>
      </c>
      <c r="H19" s="68" t="s">
        <v>69</v>
      </c>
      <c r="I19" s="68" t="s">
        <v>70</v>
      </c>
      <c r="J19" s="68" t="s">
        <v>37</v>
      </c>
    </row>
    <row r="20" spans="3:10" ht="39.75" thickBot="1" x14ac:dyDescent="0.5">
      <c r="C20" s="74" t="s">
        <v>71</v>
      </c>
      <c r="D20" s="75" t="s">
        <v>72</v>
      </c>
      <c r="E20" s="76">
        <v>1</v>
      </c>
      <c r="F20" s="76">
        <v>1</v>
      </c>
      <c r="G20" s="76">
        <v>1</v>
      </c>
      <c r="H20" s="76">
        <v>1</v>
      </c>
      <c r="I20" s="76">
        <v>1</v>
      </c>
      <c r="J20" s="101">
        <v>1</v>
      </c>
    </row>
    <row r="21" spans="3:10" ht="39.75" thickBot="1" x14ac:dyDescent="0.5">
      <c r="C21" s="74" t="s">
        <v>73</v>
      </c>
      <c r="D21" s="75" t="s">
        <v>74</v>
      </c>
      <c r="E21" s="76">
        <v>0</v>
      </c>
      <c r="F21" s="76">
        <v>1</v>
      </c>
      <c r="G21" s="76">
        <v>2</v>
      </c>
      <c r="H21" s="76">
        <v>3</v>
      </c>
      <c r="I21" s="76">
        <v>4</v>
      </c>
      <c r="J21" s="101">
        <v>5</v>
      </c>
    </row>
    <row r="22" spans="3:10" ht="14.65" thickBot="1" x14ac:dyDescent="0.5">
      <c r="C22" s="126"/>
    </row>
    <row r="23" spans="3:10" ht="14.65" thickBot="1" x14ac:dyDescent="0.5">
      <c r="C23" s="169" t="s">
        <v>75</v>
      </c>
      <c r="D23" s="170"/>
      <c r="E23" s="170"/>
      <c r="F23" s="171"/>
    </row>
    <row r="24" spans="3:10" ht="38.25" customHeight="1" thickBot="1" x14ac:dyDescent="0.5">
      <c r="C24" s="83"/>
      <c r="D24" s="172" t="s">
        <v>76</v>
      </c>
      <c r="E24" s="173"/>
      <c r="F24" s="80" t="s">
        <v>77</v>
      </c>
    </row>
    <row r="25" spans="3:10" ht="14.65" thickBot="1" x14ac:dyDescent="0.5">
      <c r="C25" s="127"/>
      <c r="D25" s="81" t="s">
        <v>78</v>
      </c>
      <c r="E25" s="81"/>
      <c r="F25" s="82">
        <v>0.15</v>
      </c>
    </row>
    <row r="26" spans="3:10" ht="14.65" thickBot="1" x14ac:dyDescent="0.5">
      <c r="C26" s="83" t="s">
        <v>79</v>
      </c>
      <c r="D26" s="84">
        <v>0</v>
      </c>
      <c r="E26" s="84">
        <v>500</v>
      </c>
      <c r="F26" s="82">
        <v>0.19</v>
      </c>
    </row>
    <row r="27" spans="3:10" ht="14.65" thickBot="1" x14ac:dyDescent="0.5">
      <c r="C27" s="83" t="s">
        <v>79</v>
      </c>
      <c r="D27" s="84">
        <v>501</v>
      </c>
      <c r="E27" s="85">
        <v>1000</v>
      </c>
      <c r="F27" s="82">
        <v>0.21</v>
      </c>
    </row>
    <row r="28" spans="3:10" ht="14.65" thickBot="1" x14ac:dyDescent="0.5">
      <c r="C28" s="83" t="s">
        <v>79</v>
      </c>
      <c r="D28" s="84">
        <v>1001</v>
      </c>
      <c r="E28" s="85">
        <v>1800</v>
      </c>
      <c r="F28" s="82">
        <v>0.23</v>
      </c>
    </row>
    <row r="29" spans="3:10" ht="14.65" thickBot="1" x14ac:dyDescent="0.5">
      <c r="C29" s="83" t="s">
        <v>79</v>
      </c>
      <c r="D29" s="84">
        <v>1801</v>
      </c>
      <c r="E29" s="85">
        <v>2400</v>
      </c>
      <c r="F29" s="82">
        <v>0.25</v>
      </c>
    </row>
    <row r="30" spans="3:10" ht="14.65" thickBot="1" x14ac:dyDescent="0.5">
      <c r="C30" s="83" t="s">
        <v>79</v>
      </c>
      <c r="D30" s="84">
        <v>2401</v>
      </c>
      <c r="E30" s="85">
        <v>3000</v>
      </c>
      <c r="F30" s="82">
        <v>0.27</v>
      </c>
    </row>
    <row r="31" spans="3:10" ht="14.65" thickBot="1" x14ac:dyDescent="0.5">
      <c r="C31" s="83" t="s">
        <v>79</v>
      </c>
      <c r="D31" s="84">
        <v>3001</v>
      </c>
      <c r="E31" s="84"/>
      <c r="F31" s="99">
        <v>0.3</v>
      </c>
    </row>
    <row r="32" spans="3:10" ht="15.75" customHeight="1" x14ac:dyDescent="0.45">
      <c r="C32" s="128" t="s">
        <v>80</v>
      </c>
      <c r="D32" s="128"/>
      <c r="E32" s="128"/>
    </row>
    <row r="33" spans="3:5" ht="14.65" thickBot="1" x14ac:dyDescent="0.5">
      <c r="C33" s="126"/>
    </row>
    <row r="34" spans="3:5" ht="26.65" thickBot="1" x14ac:dyDescent="0.5">
      <c r="C34" s="86" t="s">
        <v>81</v>
      </c>
      <c r="D34" s="87"/>
      <c r="E34" s="88"/>
    </row>
    <row r="35" spans="3:5" ht="52.9" thickBot="1" x14ac:dyDescent="0.5">
      <c r="C35" s="89" t="s">
        <v>82</v>
      </c>
      <c r="D35" s="90" t="s">
        <v>83</v>
      </c>
      <c r="E35" s="91">
        <v>1</v>
      </c>
    </row>
    <row r="36" spans="3:5" ht="52.9" thickBot="1" x14ac:dyDescent="0.5">
      <c r="C36" s="89" t="s">
        <v>84</v>
      </c>
      <c r="D36" s="90" t="s">
        <v>83</v>
      </c>
      <c r="E36" s="91">
        <v>1</v>
      </c>
    </row>
    <row r="37" spans="3:5" ht="52.9" thickBot="1" x14ac:dyDescent="0.5">
      <c r="C37" s="89" t="s">
        <v>85</v>
      </c>
      <c r="D37" s="90" t="s">
        <v>83</v>
      </c>
      <c r="E37" s="91">
        <v>0.5</v>
      </c>
    </row>
    <row r="38" spans="3:5" ht="52.9" thickBot="1" x14ac:dyDescent="0.5">
      <c r="C38" s="89" t="s">
        <v>86</v>
      </c>
      <c r="D38" s="90" t="s">
        <v>83</v>
      </c>
      <c r="E38" s="91">
        <v>0.5</v>
      </c>
    </row>
    <row r="39" spans="3:5" ht="14.65" thickBot="1" x14ac:dyDescent="0.5">
      <c r="C39" s="92" t="s">
        <v>87</v>
      </c>
      <c r="D39" s="93" t="s">
        <v>88</v>
      </c>
      <c r="E39" s="94">
        <v>1</v>
      </c>
    </row>
  </sheetData>
  <mergeCells count="4">
    <mergeCell ref="G4:G7"/>
    <mergeCell ref="C23:F23"/>
    <mergeCell ref="D24:E24"/>
    <mergeCell ref="C9:H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3035-CFA3-4F93-8AF3-8A4DEC4A7ABE}">
  <sheetPr>
    <tabColor rgb="FF92D050"/>
  </sheetPr>
  <dimension ref="C2:K39"/>
  <sheetViews>
    <sheetView zoomScale="90" zoomScaleNormal="90" workbookViewId="0">
      <pane xSplit="3" ySplit="3" topLeftCell="D30" activePane="bottomRight" state="frozen"/>
      <selection pane="topRight" activeCell="D1" sqref="D1"/>
      <selection pane="bottomLeft" activeCell="A4" sqref="A4"/>
      <selection pane="bottomRight" activeCell="C3" sqref="C3:J39"/>
    </sheetView>
  </sheetViews>
  <sheetFormatPr defaultRowHeight="14.25" x14ac:dyDescent="0.45"/>
  <cols>
    <col min="3" max="3" width="52.86328125" style="102" customWidth="1"/>
    <col min="4" max="4" width="13.86328125" style="102" customWidth="1"/>
    <col min="5" max="9" width="11.86328125" style="102" customWidth="1"/>
    <col min="10" max="10" width="10.1328125" style="102" customWidth="1"/>
  </cols>
  <sheetData>
    <row r="2" spans="3:11" ht="14.65" thickBot="1" x14ac:dyDescent="0.5"/>
    <row r="3" spans="3:11" ht="41.45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1" ht="24.95" customHeight="1" x14ac:dyDescent="0.45">
      <c r="C4" s="108" t="s">
        <v>6</v>
      </c>
      <c r="D4" s="109">
        <v>1609061</v>
      </c>
      <c r="E4" s="109">
        <v>1299534</v>
      </c>
      <c r="F4" s="109">
        <f>SUM(F5:F7)</f>
        <v>1812000</v>
      </c>
      <c r="G4" s="166">
        <f>F4/E4-1</f>
        <v>0.39434597324887233</v>
      </c>
      <c r="H4" s="110"/>
      <c r="I4" s="111"/>
    </row>
    <row r="5" spans="3:11" x14ac:dyDescent="0.45">
      <c r="C5" s="112" t="s">
        <v>92</v>
      </c>
      <c r="D5" s="113">
        <v>233434</v>
      </c>
      <c r="E5" s="113">
        <v>302280</v>
      </c>
      <c r="F5" s="114">
        <v>365000</v>
      </c>
      <c r="G5" s="167"/>
      <c r="H5" s="115">
        <v>0.01</v>
      </c>
      <c r="I5" s="116">
        <v>0.27</v>
      </c>
      <c r="K5" s="97"/>
    </row>
    <row r="6" spans="3:11" x14ac:dyDescent="0.45">
      <c r="C6" s="117" t="s">
        <v>8</v>
      </c>
      <c r="D6" s="114">
        <v>912543</v>
      </c>
      <c r="E6" s="114">
        <v>401117</v>
      </c>
      <c r="F6" s="113">
        <v>787000</v>
      </c>
      <c r="G6" s="167"/>
      <c r="H6" s="115">
        <v>1.4999999999999999E-2</v>
      </c>
      <c r="I6" s="118">
        <v>0.15</v>
      </c>
    </row>
    <row r="7" spans="3:11" ht="14.65" thickBot="1" x14ac:dyDescent="0.5">
      <c r="C7" s="119" t="s">
        <v>9</v>
      </c>
      <c r="D7" s="120">
        <v>463084</v>
      </c>
      <c r="E7" s="120">
        <v>596137</v>
      </c>
      <c r="F7" s="120">
        <v>660000</v>
      </c>
      <c r="G7" s="168"/>
      <c r="H7" s="121">
        <v>5.0000000000000001E-3</v>
      </c>
      <c r="I7" s="122">
        <v>0.02</v>
      </c>
    </row>
    <row r="8" spans="3:11" ht="14.65" thickBot="1" x14ac:dyDescent="0.5">
      <c r="C8" s="123" t="s">
        <v>93</v>
      </c>
      <c r="D8" s="124"/>
      <c r="E8" s="124"/>
      <c r="F8" s="124"/>
      <c r="G8" s="124"/>
      <c r="H8" s="125"/>
    </row>
    <row r="9" spans="3:11" ht="54.75" customHeight="1" x14ac:dyDescent="0.45">
      <c r="C9" s="174" t="s">
        <v>106</v>
      </c>
      <c r="D9" s="175"/>
      <c r="E9" s="175"/>
      <c r="F9" s="175"/>
      <c r="G9" s="175"/>
      <c r="H9" s="175"/>
    </row>
    <row r="11" spans="3:11" ht="14.65" thickBot="1" x14ac:dyDescent="0.5">
      <c r="C11" s="126" t="s">
        <v>56</v>
      </c>
    </row>
    <row r="12" spans="3:11" ht="14.65" thickBot="1" x14ac:dyDescent="0.5">
      <c r="C12" s="66" t="s">
        <v>57</v>
      </c>
      <c r="D12" s="67"/>
      <c r="E12" s="68" t="s">
        <v>32</v>
      </c>
      <c r="F12" s="68" t="s">
        <v>33</v>
      </c>
      <c r="G12" s="68" t="s">
        <v>34</v>
      </c>
      <c r="H12" s="68" t="s">
        <v>35</v>
      </c>
      <c r="I12" s="68" t="s">
        <v>36</v>
      </c>
      <c r="J12" s="68" t="s">
        <v>37</v>
      </c>
    </row>
    <row r="13" spans="3:11" ht="14.65" thickBot="1" x14ac:dyDescent="0.5">
      <c r="C13" s="69" t="s">
        <v>58</v>
      </c>
      <c r="D13" s="70" t="s">
        <v>39</v>
      </c>
      <c r="E13" s="71">
        <v>6</v>
      </c>
      <c r="F13" s="71">
        <v>6</v>
      </c>
      <c r="G13" s="71">
        <v>6</v>
      </c>
      <c r="H13" s="71">
        <v>6</v>
      </c>
      <c r="I13" s="71">
        <v>6</v>
      </c>
      <c r="J13" s="71">
        <v>6</v>
      </c>
    </row>
    <row r="14" spans="3:11" ht="14.65" thickBot="1" x14ac:dyDescent="0.5">
      <c r="C14" s="72" t="s">
        <v>59</v>
      </c>
      <c r="D14" s="70" t="s">
        <v>39</v>
      </c>
      <c r="E14" s="73">
        <v>6</v>
      </c>
      <c r="F14" s="73">
        <v>6</v>
      </c>
      <c r="G14" s="73">
        <v>6</v>
      </c>
      <c r="H14" s="73">
        <v>6</v>
      </c>
      <c r="I14" s="73">
        <v>6</v>
      </c>
      <c r="J14" s="73">
        <v>6</v>
      </c>
    </row>
    <row r="15" spans="3:11" ht="14.65" thickBot="1" x14ac:dyDescent="0.5">
      <c r="C15" s="72" t="s">
        <v>60</v>
      </c>
      <c r="D15" s="70" t="s">
        <v>39</v>
      </c>
      <c r="E15" s="73">
        <v>1</v>
      </c>
      <c r="F15" s="73">
        <v>1</v>
      </c>
      <c r="G15" s="73">
        <v>1</v>
      </c>
      <c r="H15" s="73">
        <v>1</v>
      </c>
      <c r="I15" s="73">
        <v>1</v>
      </c>
      <c r="J15" s="73">
        <v>1</v>
      </c>
    </row>
    <row r="16" spans="3:11" ht="14.65" thickBot="1" x14ac:dyDescent="0.5">
      <c r="C16" s="72" t="s">
        <v>61</v>
      </c>
      <c r="D16" s="70" t="s">
        <v>62</v>
      </c>
      <c r="E16" s="73">
        <v>1</v>
      </c>
      <c r="F16" s="73">
        <v>1</v>
      </c>
      <c r="G16" s="73">
        <v>1</v>
      </c>
      <c r="H16" s="73">
        <v>1</v>
      </c>
      <c r="I16" s="73">
        <v>1</v>
      </c>
      <c r="J16" s="73">
        <v>1</v>
      </c>
    </row>
    <row r="17" spans="3:10" ht="26.65" thickBot="1" x14ac:dyDescent="0.5">
      <c r="C17" s="74" t="s">
        <v>63</v>
      </c>
      <c r="D17" s="75" t="s">
        <v>64</v>
      </c>
      <c r="E17" s="76">
        <v>0</v>
      </c>
      <c r="F17" s="76">
        <v>1</v>
      </c>
      <c r="G17" s="76">
        <v>2</v>
      </c>
      <c r="H17" s="76">
        <v>3</v>
      </c>
      <c r="I17" s="76">
        <v>4</v>
      </c>
      <c r="J17" s="76">
        <v>5</v>
      </c>
    </row>
    <row r="18" spans="3:10" ht="14.65" thickBot="1" x14ac:dyDescent="0.5">
      <c r="C18" s="77" t="s">
        <v>65</v>
      </c>
      <c r="D18" s="78"/>
      <c r="E18" s="79">
        <f t="shared" ref="E18:J18" si="0">SUM(E13:E17)</f>
        <v>14</v>
      </c>
      <c r="F18" s="100">
        <f t="shared" si="0"/>
        <v>15</v>
      </c>
      <c r="G18" s="79">
        <f t="shared" si="0"/>
        <v>16</v>
      </c>
      <c r="H18" s="79">
        <f t="shared" si="0"/>
        <v>17</v>
      </c>
      <c r="I18" s="79">
        <f t="shared" si="0"/>
        <v>18</v>
      </c>
      <c r="J18" s="79">
        <f t="shared" si="0"/>
        <v>19</v>
      </c>
    </row>
    <row r="19" spans="3:10" ht="14.65" thickBot="1" x14ac:dyDescent="0.5">
      <c r="C19" s="66" t="s">
        <v>66</v>
      </c>
      <c r="D19" s="67"/>
      <c r="E19" s="68" t="s">
        <v>32</v>
      </c>
      <c r="F19" s="68" t="s">
        <v>67</v>
      </c>
      <c r="G19" s="68" t="s">
        <v>68</v>
      </c>
      <c r="H19" s="68" t="s">
        <v>69</v>
      </c>
      <c r="I19" s="68" t="s">
        <v>70</v>
      </c>
      <c r="J19" s="68" t="s">
        <v>37</v>
      </c>
    </row>
    <row r="20" spans="3:10" ht="26.65" thickBot="1" x14ac:dyDescent="0.5">
      <c r="C20" s="74" t="s">
        <v>71</v>
      </c>
      <c r="D20" s="75" t="s">
        <v>72</v>
      </c>
      <c r="E20" s="76">
        <v>1</v>
      </c>
      <c r="F20" s="76">
        <v>1</v>
      </c>
      <c r="G20" s="76">
        <v>1</v>
      </c>
      <c r="H20" s="76">
        <v>1</v>
      </c>
      <c r="I20" s="76">
        <v>1</v>
      </c>
      <c r="J20" s="76">
        <v>1</v>
      </c>
    </row>
    <row r="21" spans="3:10" ht="26.65" thickBot="1" x14ac:dyDescent="0.5">
      <c r="C21" s="74" t="s">
        <v>73</v>
      </c>
      <c r="D21" s="75" t="s">
        <v>74</v>
      </c>
      <c r="E21" s="76">
        <v>0</v>
      </c>
      <c r="F21" s="76">
        <v>1</v>
      </c>
      <c r="G21" s="101">
        <v>2</v>
      </c>
      <c r="H21" s="76">
        <v>3</v>
      </c>
      <c r="I21" s="76">
        <v>4</v>
      </c>
      <c r="J21" s="76">
        <v>5</v>
      </c>
    </row>
    <row r="22" spans="3:10" ht="14.65" thickBot="1" x14ac:dyDescent="0.5">
      <c r="C22" s="126"/>
    </row>
    <row r="23" spans="3:10" ht="14.65" thickBot="1" x14ac:dyDescent="0.5">
      <c r="C23" s="169" t="s">
        <v>75</v>
      </c>
      <c r="D23" s="170"/>
      <c r="E23" s="170"/>
      <c r="F23" s="171"/>
    </row>
    <row r="24" spans="3:10" ht="38.25" customHeight="1" thickBot="1" x14ac:dyDescent="0.5">
      <c r="C24" s="83"/>
      <c r="D24" s="172" t="s">
        <v>76</v>
      </c>
      <c r="E24" s="173"/>
      <c r="F24" s="80" t="s">
        <v>77</v>
      </c>
    </row>
    <row r="25" spans="3:10" ht="14.65" thickBot="1" x14ac:dyDescent="0.5">
      <c r="C25" s="127"/>
      <c r="D25" s="81" t="s">
        <v>78</v>
      </c>
      <c r="E25" s="81"/>
      <c r="F25" s="82">
        <v>0.15</v>
      </c>
    </row>
    <row r="26" spans="3:10" ht="14.65" thickBot="1" x14ac:dyDescent="0.5">
      <c r="C26" s="83" t="s">
        <v>79</v>
      </c>
      <c r="D26" s="84">
        <v>0</v>
      </c>
      <c r="E26" s="84">
        <v>500</v>
      </c>
      <c r="F26" s="82">
        <v>0.19</v>
      </c>
    </row>
    <row r="27" spans="3:10" ht="14.65" thickBot="1" x14ac:dyDescent="0.5">
      <c r="C27" s="83" t="s">
        <v>79</v>
      </c>
      <c r="D27" s="84">
        <v>501</v>
      </c>
      <c r="E27" s="85">
        <v>1000</v>
      </c>
      <c r="F27" s="82">
        <v>0.21</v>
      </c>
    </row>
    <row r="28" spans="3:10" ht="14.65" thickBot="1" x14ac:dyDescent="0.5">
      <c r="C28" s="83" t="s">
        <v>79</v>
      </c>
      <c r="D28" s="84">
        <v>1001</v>
      </c>
      <c r="E28" s="85">
        <v>1800</v>
      </c>
      <c r="F28" s="82">
        <v>0.23</v>
      </c>
    </row>
    <row r="29" spans="3:10" ht="14.65" thickBot="1" x14ac:dyDescent="0.5">
      <c r="C29" s="83" t="s">
        <v>79</v>
      </c>
      <c r="D29" s="84">
        <v>1801</v>
      </c>
      <c r="E29" s="85">
        <v>2400</v>
      </c>
      <c r="F29" s="82">
        <v>0.25</v>
      </c>
    </row>
    <row r="30" spans="3:10" ht="14.65" thickBot="1" x14ac:dyDescent="0.5">
      <c r="C30" s="83" t="s">
        <v>79</v>
      </c>
      <c r="D30" s="84">
        <v>2401</v>
      </c>
      <c r="E30" s="85">
        <v>3000</v>
      </c>
      <c r="F30" s="99">
        <v>0.27</v>
      </c>
    </row>
    <row r="31" spans="3:10" ht="14.65" thickBot="1" x14ac:dyDescent="0.5">
      <c r="C31" s="83" t="s">
        <v>79</v>
      </c>
      <c r="D31" s="84">
        <v>3001</v>
      </c>
      <c r="E31" s="84"/>
      <c r="F31" s="82">
        <v>0.3</v>
      </c>
    </row>
    <row r="32" spans="3:10" ht="15.75" customHeight="1" x14ac:dyDescent="0.45">
      <c r="C32" s="128" t="s">
        <v>80</v>
      </c>
      <c r="D32" s="128"/>
      <c r="E32" s="128"/>
    </row>
    <row r="33" spans="3:5" ht="14.65" thickBot="1" x14ac:dyDescent="0.5">
      <c r="C33" s="126"/>
    </row>
    <row r="34" spans="3:5" ht="14.65" thickBot="1" x14ac:dyDescent="0.5">
      <c r="C34" s="86" t="s">
        <v>81</v>
      </c>
      <c r="D34" s="87"/>
      <c r="E34" s="88"/>
    </row>
    <row r="35" spans="3:5" ht="39.75" thickBot="1" x14ac:dyDescent="0.5">
      <c r="C35" s="89" t="s">
        <v>82</v>
      </c>
      <c r="D35" s="90" t="s">
        <v>83</v>
      </c>
      <c r="E35" s="91">
        <v>1</v>
      </c>
    </row>
    <row r="36" spans="3:5" ht="39.75" thickBot="1" x14ac:dyDescent="0.5">
      <c r="C36" s="89" t="s">
        <v>84</v>
      </c>
      <c r="D36" s="90" t="s">
        <v>83</v>
      </c>
      <c r="E36" s="91">
        <v>1</v>
      </c>
    </row>
    <row r="37" spans="3:5" ht="39.75" thickBot="1" x14ac:dyDescent="0.5">
      <c r="C37" s="89" t="s">
        <v>85</v>
      </c>
      <c r="D37" s="90" t="s">
        <v>83</v>
      </c>
      <c r="E37" s="91">
        <v>0.5</v>
      </c>
    </row>
    <row r="38" spans="3:5" ht="39.75" thickBot="1" x14ac:dyDescent="0.5">
      <c r="C38" s="89" t="s">
        <v>86</v>
      </c>
      <c r="D38" s="90" t="s">
        <v>83</v>
      </c>
      <c r="E38" s="91">
        <v>0.5</v>
      </c>
    </row>
    <row r="39" spans="3:5" ht="14.65" thickBot="1" x14ac:dyDescent="0.5">
      <c r="C39" s="92" t="s">
        <v>87</v>
      </c>
      <c r="D39" s="93" t="s">
        <v>88</v>
      </c>
      <c r="E39" s="94">
        <v>1</v>
      </c>
    </row>
  </sheetData>
  <mergeCells count="4">
    <mergeCell ref="G4:G7"/>
    <mergeCell ref="C23:F23"/>
    <mergeCell ref="D24:E24"/>
    <mergeCell ref="C9:H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8989-954D-49EF-A98C-188397A195B1}">
  <sheetPr>
    <tabColor rgb="FF92D050"/>
  </sheetPr>
  <dimension ref="C2:J40"/>
  <sheetViews>
    <sheetView zoomScale="80" zoomScaleNormal="80" workbookViewId="0">
      <pane xSplit="3" ySplit="3" topLeftCell="D26" activePane="bottomRight" state="frozen"/>
      <selection pane="topRight" activeCell="D1" sqref="D1"/>
      <selection pane="bottomLeft" activeCell="A4" sqref="A4"/>
      <selection pane="bottomRight" activeCell="C3" sqref="C3:J40"/>
    </sheetView>
  </sheetViews>
  <sheetFormatPr defaultRowHeight="14.25" x14ac:dyDescent="0.45"/>
  <cols>
    <col min="3" max="3" width="52.86328125" style="102" customWidth="1"/>
    <col min="4" max="8" width="14.3984375" style="102" customWidth="1"/>
    <col min="9" max="9" width="12.265625" style="102" customWidth="1"/>
  </cols>
  <sheetData>
    <row r="2" spans="3:10" ht="14.65" thickBot="1" x14ac:dyDescent="0.5"/>
    <row r="3" spans="3:10" ht="28.5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10</v>
      </c>
      <c r="D4" s="109">
        <v>1548968</v>
      </c>
      <c r="E4" s="109">
        <v>1948199</v>
      </c>
      <c r="F4" s="109">
        <f>SUM(F5:F7)</f>
        <v>2104000</v>
      </c>
      <c r="G4" s="166">
        <f>F4/E4-1</f>
        <v>7.9971809861312915E-2</v>
      </c>
      <c r="H4" s="110"/>
      <c r="I4" s="111"/>
    </row>
    <row r="5" spans="3:10" ht="24.95" customHeight="1" x14ac:dyDescent="0.45">
      <c r="C5" s="112" t="s">
        <v>92</v>
      </c>
      <c r="D5" s="113">
        <v>218223</v>
      </c>
      <c r="E5" s="113">
        <v>246890</v>
      </c>
      <c r="F5" s="114">
        <v>305000</v>
      </c>
      <c r="G5" s="167"/>
      <c r="H5" s="115">
        <v>0.01</v>
      </c>
      <c r="I5" s="116">
        <v>0.23</v>
      </c>
    </row>
    <row r="6" spans="3:10" ht="24.95" customHeight="1" x14ac:dyDescent="0.45">
      <c r="C6" s="117" t="s">
        <v>8</v>
      </c>
      <c r="D6" s="114">
        <v>717996</v>
      </c>
      <c r="E6" s="114">
        <v>974706</v>
      </c>
      <c r="F6" s="113">
        <v>999000</v>
      </c>
      <c r="G6" s="167"/>
      <c r="H6" s="115">
        <v>1.4999999999999999E-2</v>
      </c>
      <c r="I6" s="118">
        <v>0.17</v>
      </c>
    </row>
    <row r="7" spans="3:10" ht="24.95" customHeight="1" thickBot="1" x14ac:dyDescent="0.5">
      <c r="C7" s="119" t="s">
        <v>9</v>
      </c>
      <c r="D7" s="120">
        <v>612749</v>
      </c>
      <c r="E7" s="120">
        <v>726603</v>
      </c>
      <c r="F7" s="120">
        <v>800000</v>
      </c>
      <c r="G7" s="168"/>
      <c r="H7" s="121">
        <v>5.0000000000000001E-3</v>
      </c>
      <c r="I7" s="122">
        <v>0.03</v>
      </c>
    </row>
    <row r="8" spans="3:10" ht="14.65" thickBot="1" x14ac:dyDescent="0.5">
      <c r="C8" s="123" t="s">
        <v>93</v>
      </c>
      <c r="D8" s="124"/>
      <c r="E8" s="124"/>
      <c r="F8" s="124"/>
      <c r="G8" s="124"/>
      <c r="H8" s="125"/>
    </row>
    <row r="9" spans="3:10" ht="44.25" customHeight="1" x14ac:dyDescent="0.45">
      <c r="C9" s="174" t="s">
        <v>106</v>
      </c>
      <c r="D9" s="175"/>
      <c r="E9" s="175"/>
      <c r="F9" s="175"/>
      <c r="G9" s="175"/>
      <c r="H9" s="175"/>
    </row>
    <row r="11" spans="3:10" ht="14.65" thickBot="1" x14ac:dyDescent="0.5">
      <c r="C11" s="126" t="s">
        <v>56</v>
      </c>
    </row>
    <row r="12" spans="3:10" ht="26.65" thickBot="1" x14ac:dyDescent="0.5">
      <c r="C12" s="66" t="s">
        <v>57</v>
      </c>
      <c r="D12" s="67"/>
      <c r="E12" s="68" t="s">
        <v>32</v>
      </c>
      <c r="F12" s="68" t="s">
        <v>33</v>
      </c>
      <c r="G12" s="68" t="s">
        <v>34</v>
      </c>
      <c r="H12" s="68" t="s">
        <v>35</v>
      </c>
      <c r="I12" s="68" t="s">
        <v>36</v>
      </c>
      <c r="J12" s="68" t="s">
        <v>37</v>
      </c>
    </row>
    <row r="13" spans="3:10" ht="14.65" thickBot="1" x14ac:dyDescent="0.5">
      <c r="C13" s="69" t="s">
        <v>58</v>
      </c>
      <c r="D13" s="70" t="s">
        <v>39</v>
      </c>
      <c r="E13" s="71">
        <v>6</v>
      </c>
      <c r="F13" s="71">
        <v>6</v>
      </c>
      <c r="G13" s="71">
        <v>6</v>
      </c>
      <c r="H13" s="71">
        <v>6</v>
      </c>
      <c r="I13" s="71">
        <v>6</v>
      </c>
      <c r="J13" s="71">
        <v>6</v>
      </c>
    </row>
    <row r="14" spans="3:10" ht="14.65" thickBot="1" x14ac:dyDescent="0.5">
      <c r="C14" s="72" t="s">
        <v>59</v>
      </c>
      <c r="D14" s="70" t="s">
        <v>39</v>
      </c>
      <c r="E14" s="73">
        <v>6</v>
      </c>
      <c r="F14" s="73">
        <v>6</v>
      </c>
      <c r="G14" s="73">
        <v>6</v>
      </c>
      <c r="H14" s="73">
        <v>6</v>
      </c>
      <c r="I14" s="73">
        <v>6</v>
      </c>
      <c r="J14" s="73">
        <v>6</v>
      </c>
    </row>
    <row r="15" spans="3:10" ht="14.65" thickBot="1" x14ac:dyDescent="0.5">
      <c r="C15" s="72" t="s">
        <v>60</v>
      </c>
      <c r="D15" s="70" t="s">
        <v>39</v>
      </c>
      <c r="E15" s="73">
        <v>1</v>
      </c>
      <c r="F15" s="73">
        <v>1</v>
      </c>
      <c r="G15" s="73">
        <v>1</v>
      </c>
      <c r="H15" s="73">
        <v>1</v>
      </c>
      <c r="I15" s="73">
        <v>1</v>
      </c>
      <c r="J15" s="73">
        <v>1</v>
      </c>
    </row>
    <row r="16" spans="3:10" ht="14.65" thickBot="1" x14ac:dyDescent="0.5">
      <c r="C16" s="72" t="s">
        <v>61</v>
      </c>
      <c r="D16" s="70" t="s">
        <v>62</v>
      </c>
      <c r="E16" s="73">
        <v>1</v>
      </c>
      <c r="F16" s="73">
        <v>1</v>
      </c>
      <c r="G16" s="73">
        <v>1</v>
      </c>
      <c r="H16" s="73">
        <v>1</v>
      </c>
      <c r="I16" s="73">
        <v>1</v>
      </c>
      <c r="J16" s="73">
        <v>1</v>
      </c>
    </row>
    <row r="17" spans="3:10" ht="26.65" thickBot="1" x14ac:dyDescent="0.5">
      <c r="C17" s="74" t="s">
        <v>63</v>
      </c>
      <c r="D17" s="75" t="s">
        <v>64</v>
      </c>
      <c r="E17" s="76">
        <v>0</v>
      </c>
      <c r="F17" s="76">
        <v>1</v>
      </c>
      <c r="G17" s="76">
        <v>2</v>
      </c>
      <c r="H17" s="76">
        <v>3</v>
      </c>
      <c r="I17" s="76">
        <v>4</v>
      </c>
      <c r="J17" s="76">
        <v>5</v>
      </c>
    </row>
    <row r="18" spans="3:10" ht="14.65" thickBot="1" x14ac:dyDescent="0.5">
      <c r="C18" s="77" t="s">
        <v>65</v>
      </c>
      <c r="D18" s="78"/>
      <c r="E18" s="79">
        <f t="shared" ref="E18:J18" si="0">SUM(E13:E17)</f>
        <v>14</v>
      </c>
      <c r="F18" s="79">
        <f t="shared" si="0"/>
        <v>15</v>
      </c>
      <c r="G18" s="79">
        <f t="shared" si="0"/>
        <v>16</v>
      </c>
      <c r="H18" s="100">
        <f t="shared" si="0"/>
        <v>17</v>
      </c>
      <c r="I18" s="79">
        <f t="shared" si="0"/>
        <v>18</v>
      </c>
      <c r="J18" s="79">
        <f t="shared" si="0"/>
        <v>19</v>
      </c>
    </row>
    <row r="19" spans="3:10" ht="26.65" thickBot="1" x14ac:dyDescent="0.5">
      <c r="C19" s="66" t="s">
        <v>66</v>
      </c>
      <c r="D19" s="67"/>
      <c r="E19" s="68" t="s">
        <v>32</v>
      </c>
      <c r="F19" s="68" t="s">
        <v>67</v>
      </c>
      <c r="G19" s="68" t="s">
        <v>68</v>
      </c>
      <c r="H19" s="68" t="s">
        <v>69</v>
      </c>
      <c r="I19" s="68" t="s">
        <v>70</v>
      </c>
      <c r="J19" s="68" t="s">
        <v>37</v>
      </c>
    </row>
    <row r="20" spans="3:10" ht="26.65" thickBot="1" x14ac:dyDescent="0.5">
      <c r="C20" s="74" t="s">
        <v>71</v>
      </c>
      <c r="D20" s="75" t="s">
        <v>72</v>
      </c>
      <c r="E20" s="76">
        <v>1</v>
      </c>
      <c r="F20" s="76">
        <v>1</v>
      </c>
      <c r="G20" s="76">
        <v>1</v>
      </c>
      <c r="H20" s="76">
        <v>1</v>
      </c>
      <c r="I20" s="76">
        <v>1</v>
      </c>
      <c r="J20" s="76">
        <v>1</v>
      </c>
    </row>
    <row r="21" spans="3:10" ht="26.65" thickBot="1" x14ac:dyDescent="0.5">
      <c r="C21" s="74" t="s">
        <v>73</v>
      </c>
      <c r="D21" s="75" t="s">
        <v>74</v>
      </c>
      <c r="E21" s="76">
        <v>0</v>
      </c>
      <c r="F21" s="76">
        <v>1</v>
      </c>
      <c r="G21" s="76">
        <v>2</v>
      </c>
      <c r="H21" s="101">
        <v>3</v>
      </c>
      <c r="I21" s="76">
        <v>4</v>
      </c>
      <c r="J21" s="76">
        <v>5</v>
      </c>
    </row>
    <row r="22" spans="3:10" ht="14.65" thickBot="1" x14ac:dyDescent="0.5">
      <c r="C22" s="126"/>
    </row>
    <row r="23" spans="3:10" ht="14.65" thickBot="1" x14ac:dyDescent="0.5">
      <c r="C23" s="169" t="s">
        <v>75</v>
      </c>
      <c r="D23" s="170"/>
      <c r="E23" s="170"/>
      <c r="F23" s="171"/>
    </row>
    <row r="24" spans="3:10" ht="26.65" thickBot="1" x14ac:dyDescent="0.5">
      <c r="C24" s="83"/>
      <c r="D24" s="172" t="s">
        <v>76</v>
      </c>
      <c r="E24" s="173"/>
      <c r="F24" s="80" t="s">
        <v>77</v>
      </c>
    </row>
    <row r="25" spans="3:10" ht="14.65" thickBot="1" x14ac:dyDescent="0.5">
      <c r="C25" s="127"/>
      <c r="D25" s="81" t="s">
        <v>78</v>
      </c>
      <c r="E25" s="81"/>
      <c r="F25" s="82">
        <v>0.15</v>
      </c>
    </row>
    <row r="26" spans="3:10" ht="14.65" thickBot="1" x14ac:dyDescent="0.5">
      <c r="C26" s="83" t="s">
        <v>79</v>
      </c>
      <c r="D26" s="84">
        <v>0</v>
      </c>
      <c r="E26" s="84">
        <v>500</v>
      </c>
      <c r="F26" s="82">
        <v>0.19</v>
      </c>
    </row>
    <row r="27" spans="3:10" ht="14.65" thickBot="1" x14ac:dyDescent="0.5">
      <c r="C27" s="83" t="s">
        <v>79</v>
      </c>
      <c r="D27" s="84">
        <v>501</v>
      </c>
      <c r="E27" s="85">
        <v>1000</v>
      </c>
      <c r="F27" s="82">
        <v>0.21</v>
      </c>
    </row>
    <row r="28" spans="3:10" ht="14.65" thickBot="1" x14ac:dyDescent="0.5">
      <c r="C28" s="83" t="s">
        <v>79</v>
      </c>
      <c r="D28" s="84">
        <v>1001</v>
      </c>
      <c r="E28" s="85">
        <v>1800</v>
      </c>
      <c r="F28" s="99">
        <v>0.23</v>
      </c>
    </row>
    <row r="29" spans="3:10" ht="14.65" thickBot="1" x14ac:dyDescent="0.5">
      <c r="C29" s="83" t="s">
        <v>79</v>
      </c>
      <c r="D29" s="84">
        <v>1801</v>
      </c>
      <c r="E29" s="85">
        <v>2400</v>
      </c>
      <c r="F29" s="82">
        <v>0.25</v>
      </c>
    </row>
    <row r="30" spans="3:10" ht="14.65" thickBot="1" x14ac:dyDescent="0.5">
      <c r="C30" s="83" t="s">
        <v>79</v>
      </c>
      <c r="D30" s="84">
        <v>2401</v>
      </c>
      <c r="E30" s="85">
        <v>3000</v>
      </c>
      <c r="F30" s="82">
        <v>0.27</v>
      </c>
    </row>
    <row r="31" spans="3:10" ht="14.65" thickBot="1" x14ac:dyDescent="0.5">
      <c r="C31" s="83" t="s">
        <v>79</v>
      </c>
      <c r="D31" s="84">
        <v>3001</v>
      </c>
      <c r="E31" s="84"/>
      <c r="F31" s="82">
        <v>0.3</v>
      </c>
    </row>
    <row r="32" spans="3:10" x14ac:dyDescent="0.45">
      <c r="C32" s="126"/>
    </row>
    <row r="33" spans="3:5" x14ac:dyDescent="0.45">
      <c r="C33" s="128" t="s">
        <v>80</v>
      </c>
      <c r="D33" s="128"/>
      <c r="E33" s="128"/>
    </row>
    <row r="34" spans="3:5" ht="14.65" thickBot="1" x14ac:dyDescent="0.5">
      <c r="C34" s="126"/>
    </row>
    <row r="35" spans="3:5" ht="14.65" thickBot="1" x14ac:dyDescent="0.5">
      <c r="C35" s="86" t="s">
        <v>81</v>
      </c>
      <c r="D35" s="87"/>
      <c r="E35" s="88"/>
    </row>
    <row r="36" spans="3:5" ht="39.75" thickBot="1" x14ac:dyDescent="0.5">
      <c r="C36" s="89" t="s">
        <v>82</v>
      </c>
      <c r="D36" s="90" t="s">
        <v>83</v>
      </c>
      <c r="E36" s="91">
        <v>1</v>
      </c>
    </row>
    <row r="37" spans="3:5" ht="39.75" thickBot="1" x14ac:dyDescent="0.5">
      <c r="C37" s="89" t="s">
        <v>84</v>
      </c>
      <c r="D37" s="90" t="s">
        <v>83</v>
      </c>
      <c r="E37" s="91">
        <v>1</v>
      </c>
    </row>
    <row r="38" spans="3:5" ht="39.75" thickBot="1" x14ac:dyDescent="0.5">
      <c r="C38" s="89" t="s">
        <v>85</v>
      </c>
      <c r="D38" s="90" t="s">
        <v>83</v>
      </c>
      <c r="E38" s="91">
        <v>0.5</v>
      </c>
    </row>
    <row r="39" spans="3:5" ht="39.75" thickBot="1" x14ac:dyDescent="0.5">
      <c r="C39" s="89" t="s">
        <v>86</v>
      </c>
      <c r="D39" s="90" t="s">
        <v>83</v>
      </c>
      <c r="E39" s="91">
        <v>0.5</v>
      </c>
    </row>
    <row r="40" spans="3:5" ht="14.65" thickBot="1" x14ac:dyDescent="0.5">
      <c r="C40" s="92" t="s">
        <v>87</v>
      </c>
      <c r="D40" s="93" t="s">
        <v>88</v>
      </c>
      <c r="E40" s="94">
        <v>1</v>
      </c>
    </row>
  </sheetData>
  <mergeCells count="4">
    <mergeCell ref="G4:G7"/>
    <mergeCell ref="C23:F23"/>
    <mergeCell ref="D24:E24"/>
    <mergeCell ref="C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8DC4-BCEF-4877-8277-931B9B3E41D0}">
  <sheetPr>
    <tabColor rgb="FF92D050"/>
  </sheetPr>
  <dimension ref="C2:J39"/>
  <sheetViews>
    <sheetView tabSelected="1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0" sqref="E20"/>
    </sheetView>
  </sheetViews>
  <sheetFormatPr defaultRowHeight="14.25" x14ac:dyDescent="0.45"/>
  <cols>
    <col min="3" max="3" width="48.59765625" style="102" customWidth="1"/>
    <col min="4" max="8" width="12.3984375" style="102" customWidth="1"/>
    <col min="9" max="9" width="13.1328125" style="102" customWidth="1"/>
  </cols>
  <sheetData>
    <row r="2" spans="3:10" ht="14.65" thickBot="1" x14ac:dyDescent="0.5"/>
    <row r="3" spans="3:10" ht="41.45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18</v>
      </c>
      <c r="D4" s="109">
        <v>1806489</v>
      </c>
      <c r="E4" s="109">
        <v>1356918</v>
      </c>
      <c r="F4" s="109">
        <f>SUM(F5:F7)</f>
        <v>1650000</v>
      </c>
      <c r="G4" s="166">
        <f>F4/E4-1</f>
        <v>0.21599094418380482</v>
      </c>
      <c r="H4" s="110"/>
      <c r="I4" s="111"/>
    </row>
    <row r="5" spans="3:10" ht="24.95" customHeight="1" x14ac:dyDescent="0.45">
      <c r="C5" s="112" t="s">
        <v>92</v>
      </c>
      <c r="D5" s="113">
        <v>83794</v>
      </c>
      <c r="E5" s="113">
        <v>87213</v>
      </c>
      <c r="F5" s="114">
        <v>100000</v>
      </c>
      <c r="G5" s="167"/>
      <c r="H5" s="115">
        <v>0.01</v>
      </c>
      <c r="I5" s="116">
        <v>0.21</v>
      </c>
    </row>
    <row r="6" spans="3:10" ht="24.95" customHeight="1" x14ac:dyDescent="0.45">
      <c r="C6" s="117" t="s">
        <v>8</v>
      </c>
      <c r="D6" s="114">
        <v>700764</v>
      </c>
      <c r="E6" s="114">
        <v>453635</v>
      </c>
      <c r="F6" s="113">
        <v>650000</v>
      </c>
      <c r="G6" s="167"/>
      <c r="H6" s="115">
        <v>1.4999999999999999E-2</v>
      </c>
      <c r="I6" s="118">
        <v>0.14000000000000001</v>
      </c>
    </row>
    <row r="7" spans="3:10" ht="24.95" customHeight="1" thickBot="1" x14ac:dyDescent="0.5">
      <c r="C7" s="119" t="s">
        <v>9</v>
      </c>
      <c r="D7" s="120">
        <v>1021931</v>
      </c>
      <c r="E7" s="120">
        <v>816070</v>
      </c>
      <c r="F7" s="120">
        <v>900000</v>
      </c>
      <c r="G7" s="168"/>
      <c r="H7" s="121">
        <v>5.0000000000000001E-3</v>
      </c>
      <c r="I7" s="122">
        <v>0.03</v>
      </c>
    </row>
    <row r="8" spans="3:10" ht="14.65" thickBot="1" x14ac:dyDescent="0.5">
      <c r="C8" s="123" t="s">
        <v>93</v>
      </c>
      <c r="D8" s="124"/>
      <c r="E8" s="124"/>
      <c r="F8" s="124"/>
      <c r="G8" s="124"/>
      <c r="H8" s="125"/>
    </row>
    <row r="9" spans="3:10" ht="57" customHeight="1" x14ac:dyDescent="0.45">
      <c r="C9" s="174" t="s">
        <v>106</v>
      </c>
      <c r="D9" s="175"/>
      <c r="E9" s="175"/>
      <c r="F9" s="175"/>
      <c r="G9" s="175"/>
      <c r="H9" s="175"/>
    </row>
    <row r="11" spans="3:10" ht="14.65" thickBot="1" x14ac:dyDescent="0.5">
      <c r="C11" s="126" t="s">
        <v>56</v>
      </c>
    </row>
    <row r="12" spans="3:10" ht="26.65" thickBot="1" x14ac:dyDescent="0.5">
      <c r="C12" s="66" t="s">
        <v>57</v>
      </c>
      <c r="D12" s="67"/>
      <c r="E12" s="68" t="s">
        <v>32</v>
      </c>
      <c r="F12" s="68" t="s">
        <v>33</v>
      </c>
      <c r="G12" s="68" t="s">
        <v>34</v>
      </c>
      <c r="H12" s="68" t="s">
        <v>35</v>
      </c>
      <c r="I12" s="68" t="s">
        <v>36</v>
      </c>
      <c r="J12" s="68" t="s">
        <v>37</v>
      </c>
    </row>
    <row r="13" spans="3:10" ht="14.65" thickBot="1" x14ac:dyDescent="0.5">
      <c r="C13" s="69" t="s">
        <v>58</v>
      </c>
      <c r="D13" s="70" t="s">
        <v>39</v>
      </c>
      <c r="E13" s="71">
        <v>6</v>
      </c>
      <c r="F13" s="71">
        <v>6</v>
      </c>
      <c r="G13" s="71">
        <v>6</v>
      </c>
      <c r="H13" s="71">
        <v>6</v>
      </c>
      <c r="I13" s="71">
        <v>6</v>
      </c>
      <c r="J13" s="71">
        <v>6</v>
      </c>
    </row>
    <row r="14" spans="3:10" ht="14.65" thickBot="1" x14ac:dyDescent="0.5">
      <c r="C14" s="72" t="s">
        <v>59</v>
      </c>
      <c r="D14" s="70" t="s">
        <v>39</v>
      </c>
      <c r="E14" s="73">
        <v>6</v>
      </c>
      <c r="F14" s="73">
        <v>6</v>
      </c>
      <c r="G14" s="73">
        <v>6</v>
      </c>
      <c r="H14" s="73">
        <v>6</v>
      </c>
      <c r="I14" s="73">
        <v>6</v>
      </c>
      <c r="J14" s="73">
        <v>6</v>
      </c>
    </row>
    <row r="15" spans="3:10" ht="14.65" thickBot="1" x14ac:dyDescent="0.5">
      <c r="C15" s="72" t="s">
        <v>60</v>
      </c>
      <c r="D15" s="70" t="s">
        <v>39</v>
      </c>
      <c r="E15" s="73">
        <v>1</v>
      </c>
      <c r="F15" s="73">
        <v>1</v>
      </c>
      <c r="G15" s="73">
        <v>1</v>
      </c>
      <c r="H15" s="73">
        <v>1</v>
      </c>
      <c r="I15" s="73">
        <v>1</v>
      </c>
      <c r="J15" s="73">
        <v>1</v>
      </c>
    </row>
    <row r="16" spans="3:10" ht="26.65" thickBot="1" x14ac:dyDescent="0.5">
      <c r="C16" s="72" t="s">
        <v>61</v>
      </c>
      <c r="D16" s="70" t="s">
        <v>62</v>
      </c>
      <c r="E16" s="73">
        <v>1</v>
      </c>
      <c r="F16" s="73">
        <v>1</v>
      </c>
      <c r="G16" s="73">
        <v>1</v>
      </c>
      <c r="H16" s="73">
        <v>1</v>
      </c>
      <c r="I16" s="73">
        <v>1</v>
      </c>
      <c r="J16" s="73">
        <v>1</v>
      </c>
    </row>
    <row r="17" spans="3:10" ht="39.75" thickBot="1" x14ac:dyDescent="0.5">
      <c r="C17" s="74" t="s">
        <v>63</v>
      </c>
      <c r="D17" s="75" t="s">
        <v>64</v>
      </c>
      <c r="E17" s="76">
        <v>0</v>
      </c>
      <c r="F17" s="76">
        <v>1</v>
      </c>
      <c r="G17" s="76">
        <v>2</v>
      </c>
      <c r="H17" s="76">
        <v>3</v>
      </c>
      <c r="I17" s="76">
        <v>4</v>
      </c>
      <c r="J17" s="76">
        <v>5</v>
      </c>
    </row>
    <row r="18" spans="3:10" ht="14.65" thickBot="1" x14ac:dyDescent="0.5">
      <c r="C18" s="77" t="s">
        <v>65</v>
      </c>
      <c r="D18" s="78"/>
      <c r="E18" s="100">
        <f t="shared" ref="E18:J18" si="0">SUM(E13:E17)</f>
        <v>14</v>
      </c>
      <c r="F18" s="79">
        <f t="shared" si="0"/>
        <v>15</v>
      </c>
      <c r="G18" s="79">
        <f t="shared" si="0"/>
        <v>16</v>
      </c>
      <c r="H18" s="79">
        <f t="shared" si="0"/>
        <v>17</v>
      </c>
      <c r="I18" s="79">
        <f t="shared" si="0"/>
        <v>18</v>
      </c>
      <c r="J18" s="79">
        <f t="shared" si="0"/>
        <v>19</v>
      </c>
    </row>
    <row r="19" spans="3:10" ht="26.65" thickBot="1" x14ac:dyDescent="0.5">
      <c r="C19" s="66" t="s">
        <v>66</v>
      </c>
      <c r="D19" s="67"/>
      <c r="E19" s="68" t="s">
        <v>32</v>
      </c>
      <c r="F19" s="68" t="s">
        <v>67</v>
      </c>
      <c r="G19" s="68" t="s">
        <v>68</v>
      </c>
      <c r="H19" s="68" t="s">
        <v>69</v>
      </c>
      <c r="I19" s="68" t="s">
        <v>70</v>
      </c>
      <c r="J19" s="68" t="s">
        <v>37</v>
      </c>
    </row>
    <row r="20" spans="3:10" ht="39.75" thickBot="1" x14ac:dyDescent="0.5">
      <c r="C20" s="74" t="s">
        <v>71</v>
      </c>
      <c r="D20" s="75" t="s">
        <v>72</v>
      </c>
      <c r="E20" s="76">
        <v>1</v>
      </c>
      <c r="F20" s="76">
        <v>1</v>
      </c>
      <c r="G20" s="76">
        <v>1</v>
      </c>
      <c r="H20" s="76">
        <v>1</v>
      </c>
      <c r="I20" s="76">
        <v>1</v>
      </c>
      <c r="J20" s="76">
        <v>1</v>
      </c>
    </row>
    <row r="21" spans="3:10" ht="39.75" thickBot="1" x14ac:dyDescent="0.5">
      <c r="C21" s="74" t="s">
        <v>73</v>
      </c>
      <c r="D21" s="75" t="s">
        <v>74</v>
      </c>
      <c r="E21" s="76">
        <v>0</v>
      </c>
      <c r="F21" s="76">
        <v>1</v>
      </c>
      <c r="G21" s="76">
        <v>2</v>
      </c>
      <c r="H21" s="101">
        <v>3</v>
      </c>
      <c r="I21" s="76">
        <v>4</v>
      </c>
      <c r="J21" s="76">
        <v>5</v>
      </c>
    </row>
    <row r="22" spans="3:10" ht="14.65" thickBot="1" x14ac:dyDescent="0.5">
      <c r="C22" s="126"/>
    </row>
    <row r="23" spans="3:10" ht="14.65" thickBot="1" x14ac:dyDescent="0.5">
      <c r="C23" s="169" t="s">
        <v>75</v>
      </c>
      <c r="D23" s="170"/>
      <c r="E23" s="170"/>
      <c r="F23" s="171"/>
    </row>
    <row r="24" spans="3:10" ht="26.65" thickBot="1" x14ac:dyDescent="0.5">
      <c r="C24" s="83"/>
      <c r="D24" s="172" t="s">
        <v>76</v>
      </c>
      <c r="E24" s="173"/>
      <c r="F24" s="80" t="s">
        <v>77</v>
      </c>
    </row>
    <row r="25" spans="3:10" ht="14.65" thickBot="1" x14ac:dyDescent="0.5">
      <c r="C25" s="127"/>
      <c r="D25" s="81" t="s">
        <v>78</v>
      </c>
      <c r="E25" s="81"/>
      <c r="F25" s="82">
        <v>0.15</v>
      </c>
    </row>
    <row r="26" spans="3:10" ht="14.65" thickBot="1" x14ac:dyDescent="0.5">
      <c r="C26" s="83" t="s">
        <v>79</v>
      </c>
      <c r="D26" s="84">
        <v>0</v>
      </c>
      <c r="E26" s="84">
        <v>500</v>
      </c>
      <c r="F26" s="82">
        <v>0.19</v>
      </c>
    </row>
    <row r="27" spans="3:10" ht="14.65" thickBot="1" x14ac:dyDescent="0.5">
      <c r="C27" s="83" t="s">
        <v>79</v>
      </c>
      <c r="D27" s="84">
        <v>501</v>
      </c>
      <c r="E27" s="85">
        <v>1000</v>
      </c>
      <c r="F27" s="99">
        <v>0.21</v>
      </c>
    </row>
    <row r="28" spans="3:10" ht="14.65" thickBot="1" x14ac:dyDescent="0.5">
      <c r="C28" s="83" t="s">
        <v>79</v>
      </c>
      <c r="D28" s="84">
        <v>1001</v>
      </c>
      <c r="E28" s="85">
        <v>1800</v>
      </c>
      <c r="F28" s="82">
        <v>0.23</v>
      </c>
    </row>
    <row r="29" spans="3:10" ht="14.65" thickBot="1" x14ac:dyDescent="0.5">
      <c r="C29" s="83" t="s">
        <v>79</v>
      </c>
      <c r="D29" s="84">
        <v>1801</v>
      </c>
      <c r="E29" s="85">
        <v>2400</v>
      </c>
      <c r="F29" s="82">
        <v>0.25</v>
      </c>
    </row>
    <row r="30" spans="3:10" ht="14.65" thickBot="1" x14ac:dyDescent="0.5">
      <c r="C30" s="83" t="s">
        <v>79</v>
      </c>
      <c r="D30" s="84">
        <v>2401</v>
      </c>
      <c r="E30" s="85">
        <v>3000</v>
      </c>
      <c r="F30" s="82">
        <v>0.27</v>
      </c>
    </row>
    <row r="31" spans="3:10" ht="14.65" thickBot="1" x14ac:dyDescent="0.5">
      <c r="C31" s="83" t="s">
        <v>79</v>
      </c>
      <c r="D31" s="84">
        <v>3001</v>
      </c>
      <c r="E31" s="84"/>
      <c r="F31" s="82">
        <v>0.3</v>
      </c>
    </row>
    <row r="32" spans="3:10" x14ac:dyDescent="0.45">
      <c r="C32" s="128" t="s">
        <v>80</v>
      </c>
      <c r="D32" s="128"/>
      <c r="E32" s="128"/>
    </row>
    <row r="33" spans="3:5" ht="14.65" thickBot="1" x14ac:dyDescent="0.5">
      <c r="C33" s="126"/>
    </row>
    <row r="34" spans="3:5" ht="20.45" customHeight="1" thickBot="1" x14ac:dyDescent="0.5">
      <c r="C34" s="86" t="s">
        <v>81</v>
      </c>
      <c r="D34" s="87"/>
      <c r="E34" s="88"/>
    </row>
    <row r="35" spans="3:5" ht="52.9" thickBot="1" x14ac:dyDescent="0.5">
      <c r="C35" s="89" t="s">
        <v>82</v>
      </c>
      <c r="D35" s="90" t="s">
        <v>83</v>
      </c>
      <c r="E35" s="91">
        <v>1</v>
      </c>
    </row>
    <row r="36" spans="3:5" ht="52.9" thickBot="1" x14ac:dyDescent="0.5">
      <c r="C36" s="89" t="s">
        <v>84</v>
      </c>
      <c r="D36" s="90" t="s">
        <v>83</v>
      </c>
      <c r="E36" s="91">
        <v>1</v>
      </c>
    </row>
    <row r="37" spans="3:5" ht="52.9" thickBot="1" x14ac:dyDescent="0.5">
      <c r="C37" s="89" t="s">
        <v>85</v>
      </c>
      <c r="D37" s="90" t="s">
        <v>83</v>
      </c>
      <c r="E37" s="91">
        <v>0.5</v>
      </c>
    </row>
    <row r="38" spans="3:5" ht="52.9" thickBot="1" x14ac:dyDescent="0.5">
      <c r="C38" s="89" t="s">
        <v>86</v>
      </c>
      <c r="D38" s="90" t="s">
        <v>83</v>
      </c>
      <c r="E38" s="91">
        <v>0.5</v>
      </c>
    </row>
    <row r="39" spans="3:5" ht="14.65" thickBot="1" x14ac:dyDescent="0.5">
      <c r="C39" s="92" t="s">
        <v>87</v>
      </c>
      <c r="D39" s="93" t="s">
        <v>88</v>
      </c>
      <c r="E39" s="94">
        <v>1</v>
      </c>
    </row>
  </sheetData>
  <mergeCells count="4">
    <mergeCell ref="G4:G7"/>
    <mergeCell ref="C23:F23"/>
    <mergeCell ref="D24:E24"/>
    <mergeCell ref="C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1A80-6508-48CA-8C36-2730841C7EB0}">
  <dimension ref="B2:F22"/>
  <sheetViews>
    <sheetView workbookViewId="0">
      <selection activeCell="AA15" sqref="AA15"/>
    </sheetView>
  </sheetViews>
  <sheetFormatPr defaultRowHeight="14.25" x14ac:dyDescent="0.45"/>
  <cols>
    <col min="2" max="2" width="23.73046875" customWidth="1"/>
    <col min="3" max="6" width="13.265625" customWidth="1"/>
  </cols>
  <sheetData>
    <row r="2" spans="2:6" ht="14.65" thickBot="1" x14ac:dyDescent="0.5"/>
    <row r="3" spans="2:6" ht="31.9" thickBot="1" x14ac:dyDescent="0.5">
      <c r="B3" s="32" t="s">
        <v>0</v>
      </c>
      <c r="C3" s="33" t="s">
        <v>1</v>
      </c>
      <c r="D3" s="33" t="s">
        <v>2</v>
      </c>
      <c r="E3" s="33" t="s">
        <v>3</v>
      </c>
      <c r="F3" s="34" t="s">
        <v>4</v>
      </c>
    </row>
    <row r="4" spans="2:6" ht="15.75" x14ac:dyDescent="0.45">
      <c r="B4" s="19" t="s">
        <v>11</v>
      </c>
      <c r="C4" s="20">
        <f>SUM(C5:C7)</f>
        <v>871137.33000000007</v>
      </c>
      <c r="D4" s="20">
        <f t="shared" ref="D4:E4" si="0">SUM(D5:D7)</f>
        <v>1458911.0900000003</v>
      </c>
      <c r="E4" s="20">
        <f t="shared" si="0"/>
        <v>1706925.9753</v>
      </c>
      <c r="F4" s="176">
        <f>E4/D4-1</f>
        <v>0.16999999999999971</v>
      </c>
    </row>
    <row r="5" spans="2:6" ht="15.75" x14ac:dyDescent="0.45">
      <c r="B5" s="22" t="s">
        <v>7</v>
      </c>
      <c r="C5" s="7">
        <v>6573.1</v>
      </c>
      <c r="D5" s="7">
        <v>30207.040000000001</v>
      </c>
      <c r="E5" s="10">
        <f>D5*1.17</f>
        <v>35342.236799999999</v>
      </c>
      <c r="F5" s="177"/>
    </row>
    <row r="6" spans="2:6" ht="15.75" x14ac:dyDescent="0.45">
      <c r="B6" s="24" t="s">
        <v>8</v>
      </c>
      <c r="C6" s="10">
        <v>102524.93999999999</v>
      </c>
      <c r="D6" s="10">
        <v>581802.93999999994</v>
      </c>
      <c r="E6" s="7">
        <f>D6*1.17</f>
        <v>680709.43979999993</v>
      </c>
      <c r="F6" s="177"/>
    </row>
    <row r="7" spans="2:6" ht="16.149999999999999" thickBot="1" x14ac:dyDescent="0.5">
      <c r="B7" s="29" t="s">
        <v>9</v>
      </c>
      <c r="C7" s="30">
        <v>762039.29</v>
      </c>
      <c r="D7" s="30">
        <v>846901.11000000022</v>
      </c>
      <c r="E7" s="30">
        <f>D7*1.17</f>
        <v>990874.29870000016</v>
      </c>
      <c r="F7" s="178"/>
    </row>
    <row r="8" spans="2:6" ht="23.65" thickBot="1" x14ac:dyDescent="0.5">
      <c r="B8" s="95" t="s">
        <v>28</v>
      </c>
      <c r="C8" s="27"/>
      <c r="D8" s="27"/>
      <c r="E8" s="27"/>
      <c r="F8" s="28"/>
    </row>
    <row r="9" spans="2:6" ht="14.65" thickBot="1" x14ac:dyDescent="0.5"/>
    <row r="10" spans="2:6" ht="31.9" thickBot="1" x14ac:dyDescent="0.5">
      <c r="B10" s="32" t="s">
        <v>0</v>
      </c>
      <c r="C10" s="33" t="s">
        <v>1</v>
      </c>
      <c r="D10" s="33" t="s">
        <v>2</v>
      </c>
      <c r="E10" s="33" t="s">
        <v>3</v>
      </c>
      <c r="F10" s="34" t="s">
        <v>4</v>
      </c>
    </row>
    <row r="11" spans="2:6" ht="31.5" x14ac:dyDescent="0.45">
      <c r="B11" s="19" t="s">
        <v>18</v>
      </c>
      <c r="C11" s="20">
        <v>613898.15999999992</v>
      </c>
      <c r="D11" s="20">
        <v>351890.13</v>
      </c>
      <c r="E11" s="20">
        <f>SUM(E12:E14)</f>
        <v>586100.86599999992</v>
      </c>
      <c r="F11" s="176">
        <f>E11/D11-1</f>
        <v>0.66557915676691448</v>
      </c>
    </row>
    <row r="12" spans="2:6" ht="15.75" x14ac:dyDescent="0.45">
      <c r="B12" s="22" t="s">
        <v>7</v>
      </c>
      <c r="C12" s="7">
        <v>37932.18</v>
      </c>
      <c r="D12" s="7">
        <v>53586.54</v>
      </c>
      <c r="E12" s="10">
        <f>D12*1.4</f>
        <v>75021.156000000003</v>
      </c>
      <c r="F12" s="177"/>
    </row>
    <row r="13" spans="2:6" ht="15.75" x14ac:dyDescent="0.45">
      <c r="B13" s="24" t="s">
        <v>8</v>
      </c>
      <c r="C13" s="10">
        <v>334461.14999999991</v>
      </c>
      <c r="D13" s="10">
        <v>118960.94</v>
      </c>
      <c r="E13" s="7">
        <v>260000</v>
      </c>
      <c r="F13" s="177"/>
    </row>
    <row r="14" spans="2:6" ht="16.149999999999999" thickBot="1" x14ac:dyDescent="0.5">
      <c r="B14" s="29" t="s">
        <v>9</v>
      </c>
      <c r="C14" s="30">
        <v>241504.83000000005</v>
      </c>
      <c r="D14" s="30">
        <v>179342.64999999994</v>
      </c>
      <c r="E14" s="30">
        <f>D14*1.4</f>
        <v>251079.7099999999</v>
      </c>
      <c r="F14" s="178"/>
    </row>
    <row r="15" spans="2:6" ht="23.65" thickBot="1" x14ac:dyDescent="0.5">
      <c r="B15" s="95" t="s">
        <v>28</v>
      </c>
      <c r="C15" s="27"/>
      <c r="D15" s="27"/>
      <c r="E15" s="27"/>
      <c r="F15" s="28"/>
    </row>
    <row r="16" spans="2:6" ht="14.65" thickBot="1" x14ac:dyDescent="0.5"/>
    <row r="17" spans="2:6" ht="31.9" thickBot="1" x14ac:dyDescent="0.5">
      <c r="B17" s="32" t="s">
        <v>0</v>
      </c>
      <c r="C17" s="33" t="s">
        <v>1</v>
      </c>
      <c r="D17" s="33" t="s">
        <v>2</v>
      </c>
      <c r="E17" s="33" t="s">
        <v>3</v>
      </c>
      <c r="F17" s="34" t="s">
        <v>4</v>
      </c>
    </row>
    <row r="18" spans="2:6" ht="31.5" x14ac:dyDescent="0.45">
      <c r="B18" s="96" t="s">
        <v>90</v>
      </c>
      <c r="C18" s="20">
        <f>C4+C11</f>
        <v>1485035.49</v>
      </c>
      <c r="D18" s="20">
        <f>D4+D11</f>
        <v>1810801.2200000002</v>
      </c>
      <c r="E18" s="20">
        <f>E4+E11</f>
        <v>2293026.8413</v>
      </c>
      <c r="F18" s="176">
        <f>E18/D18-1</f>
        <v>0.2663051117780888</v>
      </c>
    </row>
    <row r="19" spans="2:6" ht="15.75" x14ac:dyDescent="0.45">
      <c r="B19" s="22" t="s">
        <v>7</v>
      </c>
      <c r="C19" s="7"/>
      <c r="D19" s="7"/>
      <c r="E19" s="10">
        <f>E5+E12</f>
        <v>110363.3928</v>
      </c>
      <c r="F19" s="177"/>
    </row>
    <row r="20" spans="2:6" ht="15.75" x14ac:dyDescent="0.45">
      <c r="B20" s="24" t="s">
        <v>8</v>
      </c>
      <c r="C20" s="10"/>
      <c r="D20" s="10"/>
      <c r="E20" s="10">
        <f t="shared" ref="E20:E21" si="1">E6+E13</f>
        <v>940709.43979999993</v>
      </c>
      <c r="F20" s="177"/>
    </row>
    <row r="21" spans="2:6" ht="16.149999999999999" thickBot="1" x14ac:dyDescent="0.5">
      <c r="B21" s="29" t="s">
        <v>9</v>
      </c>
      <c r="C21" s="30"/>
      <c r="D21" s="30"/>
      <c r="E21" s="30">
        <f t="shared" si="1"/>
        <v>1241954.0087000001</v>
      </c>
      <c r="F21" s="178"/>
    </row>
    <row r="22" spans="2:6" ht="23.65" thickBot="1" x14ac:dyDescent="0.5">
      <c r="B22" s="95" t="s">
        <v>28</v>
      </c>
      <c r="C22" s="27"/>
      <c r="D22" s="27"/>
      <c r="E22" s="27"/>
      <c r="F22" s="28"/>
    </row>
  </sheetData>
  <mergeCells count="3">
    <mergeCell ref="F4:F7"/>
    <mergeCell ref="F11:F14"/>
    <mergeCell ref="F18:F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D2E1-E2A1-43C5-A398-D35CA93787E5}">
  <dimension ref="B2:G8"/>
  <sheetViews>
    <sheetView workbookViewId="0">
      <selection activeCell="G17" sqref="G17"/>
    </sheetView>
  </sheetViews>
  <sheetFormatPr defaultRowHeight="14.25" x14ac:dyDescent="0.45"/>
  <cols>
    <col min="2" max="2" width="32.3984375" customWidth="1"/>
    <col min="3" max="7" width="14.73046875" customWidth="1"/>
  </cols>
  <sheetData>
    <row r="2" spans="2:7" ht="14.65" thickBot="1" x14ac:dyDescent="0.5"/>
    <row r="3" spans="2:7" ht="31.9" thickBot="1" x14ac:dyDescent="0.5">
      <c r="B3" s="32" t="s">
        <v>0</v>
      </c>
      <c r="C3" s="33" t="s">
        <v>1</v>
      </c>
      <c r="D3" s="33" t="s">
        <v>2</v>
      </c>
      <c r="E3" s="33" t="s">
        <v>3</v>
      </c>
      <c r="F3" s="34" t="s">
        <v>4</v>
      </c>
      <c r="G3" s="35" t="s">
        <v>27</v>
      </c>
    </row>
    <row r="4" spans="2:7" ht="31.5" x14ac:dyDescent="0.45">
      <c r="B4" s="19" t="s">
        <v>18</v>
      </c>
      <c r="C4" s="20">
        <v>613898.15999999992</v>
      </c>
      <c r="D4" s="20">
        <v>351890.13</v>
      </c>
      <c r="E4" s="20">
        <f>SUM(E5:E7)</f>
        <v>586100.86599999992</v>
      </c>
      <c r="F4" s="176">
        <f>E4/D4-1</f>
        <v>0.66557915676691448</v>
      </c>
      <c r="G4" s="21"/>
    </row>
    <row r="5" spans="2:7" ht="15.75" x14ac:dyDescent="0.45">
      <c r="B5" s="22" t="s">
        <v>7</v>
      </c>
      <c r="C5" s="7">
        <v>37932.18</v>
      </c>
      <c r="D5" s="7">
        <v>53586.54</v>
      </c>
      <c r="E5" s="10">
        <f>D5*1.4</f>
        <v>75021.156000000003</v>
      </c>
      <c r="F5" s="177"/>
      <c r="G5" s="23">
        <v>0.17</v>
      </c>
    </row>
    <row r="6" spans="2:7" ht="15.75" x14ac:dyDescent="0.45">
      <c r="B6" s="24" t="s">
        <v>8</v>
      </c>
      <c r="C6" s="10">
        <v>334461.14999999991</v>
      </c>
      <c r="D6" s="10">
        <v>118960.94</v>
      </c>
      <c r="E6" s="7">
        <v>260000</v>
      </c>
      <c r="F6" s="177"/>
      <c r="G6" s="25">
        <v>0.15</v>
      </c>
    </row>
    <row r="7" spans="2:7" ht="16.149999999999999" thickBot="1" x14ac:dyDescent="0.5">
      <c r="B7" s="29" t="s">
        <v>9</v>
      </c>
      <c r="C7" s="30">
        <v>241504.83000000005</v>
      </c>
      <c r="D7" s="30">
        <v>179342.64999999994</v>
      </c>
      <c r="E7" s="30">
        <f>D7*1.4</f>
        <v>251079.7099999999</v>
      </c>
      <c r="F7" s="178"/>
      <c r="G7" s="31"/>
    </row>
    <row r="8" spans="2:7" ht="31.9" thickBot="1" x14ac:dyDescent="0.5">
      <c r="B8" s="26" t="s">
        <v>28</v>
      </c>
      <c r="C8" s="27"/>
      <c r="D8" s="27"/>
      <c r="E8" s="27"/>
      <c r="F8" s="27"/>
      <c r="G8" s="28"/>
    </row>
  </sheetData>
  <mergeCells count="1">
    <mergeCell ref="F4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E3CD-28C0-4E2C-8819-F1092A9FC4FB}">
  <sheetPr>
    <tabColor rgb="FF92D050"/>
  </sheetPr>
  <dimension ref="C2:M34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7" sqref="J7"/>
    </sheetView>
  </sheetViews>
  <sheetFormatPr defaultRowHeight="14.25" x14ac:dyDescent="0.45"/>
  <cols>
    <col min="3" max="3" width="54.1328125" style="102" customWidth="1"/>
    <col min="4" max="7" width="11.1328125" style="102" customWidth="1"/>
    <col min="8" max="8" width="13.86328125" style="102" customWidth="1"/>
    <col min="9" max="9" width="14" style="102" customWidth="1"/>
    <col min="10" max="10" width="10.265625" style="102" customWidth="1"/>
    <col min="11" max="11" width="8.73046875" style="102"/>
    <col min="12" max="12" width="11.3984375" bestFit="1" customWidth="1"/>
  </cols>
  <sheetData>
    <row r="2" spans="3:13" ht="14.65" thickBot="1" x14ac:dyDescent="0.5"/>
    <row r="3" spans="3:13" ht="51.95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3" ht="24.95" customHeight="1" x14ac:dyDescent="0.45">
      <c r="C4" s="108" t="s">
        <v>13</v>
      </c>
      <c r="D4" s="109">
        <v>420647</v>
      </c>
      <c r="E4" s="109">
        <v>851259</v>
      </c>
      <c r="F4" s="109">
        <f>SUM(F5:F7)</f>
        <v>1175000</v>
      </c>
      <c r="G4" s="166">
        <f>F4/E4-1</f>
        <v>0.38030846076223579</v>
      </c>
      <c r="H4" s="110"/>
      <c r="I4" s="111"/>
    </row>
    <row r="5" spans="3:13" ht="24.95" customHeight="1" x14ac:dyDescent="0.45">
      <c r="C5" s="112" t="s">
        <v>92</v>
      </c>
      <c r="D5" s="113">
        <v>38796</v>
      </c>
      <c r="E5" s="113">
        <v>46254</v>
      </c>
      <c r="F5" s="114">
        <v>75000</v>
      </c>
      <c r="G5" s="167"/>
      <c r="H5" s="115">
        <v>0.01</v>
      </c>
      <c r="I5" s="116">
        <v>0.16</v>
      </c>
      <c r="M5" s="97"/>
    </row>
    <row r="6" spans="3:13" ht="24.95" customHeight="1" x14ac:dyDescent="0.45">
      <c r="C6" s="117" t="s">
        <v>8</v>
      </c>
      <c r="D6" s="114">
        <v>88690</v>
      </c>
      <c r="E6" s="114">
        <v>443411</v>
      </c>
      <c r="F6" s="113">
        <v>700000</v>
      </c>
      <c r="G6" s="167"/>
      <c r="H6" s="115">
        <v>1.4999999999999999E-2</v>
      </c>
      <c r="I6" s="118">
        <v>0.2</v>
      </c>
    </row>
    <row r="7" spans="3:13" ht="39.950000000000003" customHeight="1" thickBot="1" x14ac:dyDescent="0.5">
      <c r="C7" s="119" t="s">
        <v>9</v>
      </c>
      <c r="D7" s="120">
        <v>293161</v>
      </c>
      <c r="E7" s="120">
        <v>361594</v>
      </c>
      <c r="F7" s="120">
        <v>400000</v>
      </c>
      <c r="G7" s="168"/>
      <c r="H7" s="121">
        <v>5.0000000000000001E-3</v>
      </c>
      <c r="I7" s="122">
        <v>0.1</v>
      </c>
      <c r="J7" s="159" t="s">
        <v>100</v>
      </c>
    </row>
    <row r="8" spans="3:13" ht="26.65" thickBot="1" x14ac:dyDescent="0.5">
      <c r="C8" s="123" t="s">
        <v>105</v>
      </c>
      <c r="D8" s="124"/>
      <c r="E8" s="124"/>
      <c r="F8" s="124"/>
      <c r="G8" s="124"/>
      <c r="H8" s="124"/>
      <c r="I8" s="125"/>
    </row>
    <row r="9" spans="3:13" ht="47.25" customHeight="1" x14ac:dyDescent="0.45">
      <c r="C9" s="174" t="s">
        <v>106</v>
      </c>
      <c r="D9" s="175"/>
      <c r="E9" s="175"/>
      <c r="F9" s="175"/>
      <c r="G9" s="175"/>
      <c r="H9" s="175"/>
    </row>
    <row r="10" spans="3:13" x14ac:dyDescent="0.45">
      <c r="C10" s="130" t="s">
        <v>107</v>
      </c>
    </row>
    <row r="11" spans="3:13" ht="14.65" thickBot="1" x14ac:dyDescent="0.5">
      <c r="C11" s="126"/>
    </row>
    <row r="12" spans="3:13" x14ac:dyDescent="0.45">
      <c r="C12" s="131" t="s">
        <v>30</v>
      </c>
      <c r="D12" s="181"/>
      <c r="E12" s="179" t="s">
        <v>32</v>
      </c>
      <c r="F12" s="179" t="s">
        <v>33</v>
      </c>
      <c r="G12" s="179" t="s">
        <v>34</v>
      </c>
      <c r="H12" s="179" t="s">
        <v>35</v>
      </c>
      <c r="I12" s="179" t="s">
        <v>36</v>
      </c>
      <c r="J12" s="179" t="s">
        <v>37</v>
      </c>
    </row>
    <row r="13" spans="3:13" ht="14.65" thickBot="1" x14ac:dyDescent="0.5">
      <c r="C13" s="132" t="s">
        <v>31</v>
      </c>
      <c r="D13" s="182"/>
      <c r="E13" s="180"/>
      <c r="F13" s="180"/>
      <c r="G13" s="180"/>
      <c r="H13" s="180"/>
      <c r="I13" s="180"/>
      <c r="J13" s="180"/>
    </row>
    <row r="14" spans="3:13" ht="14.65" thickBot="1" x14ac:dyDescent="0.5">
      <c r="C14" s="133" t="s">
        <v>38</v>
      </c>
      <c r="D14" s="134" t="s">
        <v>39</v>
      </c>
      <c r="E14" s="135">
        <v>6</v>
      </c>
      <c r="F14" s="135">
        <v>6</v>
      </c>
      <c r="G14" s="135">
        <v>6</v>
      </c>
      <c r="H14" s="135">
        <v>6</v>
      </c>
      <c r="I14" s="135">
        <v>6</v>
      </c>
      <c r="J14" s="135">
        <v>6</v>
      </c>
    </row>
    <row r="15" spans="3:13" ht="14.65" thickBot="1" x14ac:dyDescent="0.5">
      <c r="C15" s="136" t="s">
        <v>40</v>
      </c>
      <c r="D15" s="134" t="s">
        <v>39</v>
      </c>
      <c r="E15" s="135">
        <v>1</v>
      </c>
      <c r="F15" s="135">
        <v>1</v>
      </c>
      <c r="G15" s="135">
        <v>1</v>
      </c>
      <c r="H15" s="135">
        <v>1</v>
      </c>
      <c r="I15" s="135">
        <v>1</v>
      </c>
      <c r="J15" s="135">
        <v>1</v>
      </c>
    </row>
    <row r="16" spans="3:13" ht="14.65" thickBot="1" x14ac:dyDescent="0.5">
      <c r="C16" s="137" t="s">
        <v>41</v>
      </c>
      <c r="D16" s="138" t="s">
        <v>39</v>
      </c>
      <c r="E16" s="139">
        <v>7</v>
      </c>
      <c r="F16" s="139">
        <v>9</v>
      </c>
      <c r="G16" s="139">
        <v>10</v>
      </c>
      <c r="H16" s="139">
        <v>11</v>
      </c>
      <c r="I16" s="139">
        <v>12</v>
      </c>
      <c r="J16" s="139">
        <v>13</v>
      </c>
    </row>
    <row r="17" spans="3:10" ht="14.65" thickBot="1" x14ac:dyDescent="0.5">
      <c r="C17" s="140" t="s">
        <v>42</v>
      </c>
      <c r="D17" s="141"/>
      <c r="E17" s="142">
        <f t="shared" ref="E17:J17" si="0">SUM(E14:E16)</f>
        <v>14</v>
      </c>
      <c r="F17" s="143">
        <f t="shared" si="0"/>
        <v>16</v>
      </c>
      <c r="G17" s="143">
        <f t="shared" si="0"/>
        <v>17</v>
      </c>
      <c r="H17" s="143">
        <f t="shared" si="0"/>
        <v>18</v>
      </c>
      <c r="I17" s="143">
        <f t="shared" si="0"/>
        <v>19</v>
      </c>
      <c r="J17" s="144">
        <f t="shared" si="0"/>
        <v>20</v>
      </c>
    </row>
    <row r="18" spans="3:10" ht="14.65" thickBot="1" x14ac:dyDescent="0.5">
      <c r="C18" s="126"/>
    </row>
    <row r="19" spans="3:10" ht="25.9" thickBot="1" x14ac:dyDescent="0.5">
      <c r="C19" s="145" t="s">
        <v>43</v>
      </c>
      <c r="D19" s="146"/>
      <c r="E19" s="147" t="s">
        <v>44</v>
      </c>
      <c r="F19" s="147" t="s">
        <v>45</v>
      </c>
      <c r="G19" s="147" t="s">
        <v>46</v>
      </c>
      <c r="H19" s="147" t="s">
        <v>47</v>
      </c>
      <c r="I19" s="147" t="s">
        <v>48</v>
      </c>
      <c r="J19" s="147" t="s">
        <v>49</v>
      </c>
    </row>
    <row r="20" spans="3:10" ht="38.65" thickBot="1" x14ac:dyDescent="0.5">
      <c r="C20" s="137" t="s">
        <v>50</v>
      </c>
      <c r="D20" s="138" t="s">
        <v>51</v>
      </c>
      <c r="E20" s="139">
        <v>0</v>
      </c>
      <c r="F20" s="139">
        <v>1</v>
      </c>
      <c r="G20" s="139">
        <v>2</v>
      </c>
      <c r="H20" s="139">
        <v>3</v>
      </c>
      <c r="I20" s="139">
        <v>4</v>
      </c>
      <c r="J20" s="139">
        <v>5</v>
      </c>
    </row>
    <row r="21" spans="3:10" ht="14.65" thickBot="1" x14ac:dyDescent="0.5">
      <c r="C21" s="126"/>
    </row>
    <row r="22" spans="3:10" ht="14.65" thickBot="1" x14ac:dyDescent="0.5">
      <c r="C22" s="148" t="s">
        <v>99</v>
      </c>
      <c r="D22" s="149" t="s">
        <v>53</v>
      </c>
      <c r="E22" s="149" t="s">
        <v>53</v>
      </c>
      <c r="F22" s="149" t="s">
        <v>54</v>
      </c>
    </row>
    <row r="23" spans="3:10" ht="14.65" thickBot="1" x14ac:dyDescent="0.5">
      <c r="C23" s="150" t="s">
        <v>55</v>
      </c>
      <c r="D23" s="143">
        <v>0</v>
      </c>
      <c r="E23" s="151">
        <v>7000</v>
      </c>
      <c r="F23" s="152">
        <v>0.1</v>
      </c>
    </row>
    <row r="24" spans="3:10" ht="14.65" thickBot="1" x14ac:dyDescent="0.5">
      <c r="C24" s="150" t="s">
        <v>55</v>
      </c>
      <c r="D24" s="143">
        <v>7001</v>
      </c>
      <c r="E24" s="151">
        <v>19000</v>
      </c>
      <c r="F24" s="152">
        <v>0.11</v>
      </c>
    </row>
    <row r="25" spans="3:10" ht="14.65" thickBot="1" x14ac:dyDescent="0.5">
      <c r="C25" s="150" t="s">
        <v>55</v>
      </c>
      <c r="D25" s="151">
        <v>19001</v>
      </c>
      <c r="E25" s="151">
        <v>24000</v>
      </c>
      <c r="F25" s="152">
        <v>0.13</v>
      </c>
    </row>
    <row r="26" spans="3:10" ht="14.65" thickBot="1" x14ac:dyDescent="0.5">
      <c r="C26" s="150" t="s">
        <v>55</v>
      </c>
      <c r="D26" s="151">
        <v>24001</v>
      </c>
      <c r="E26" s="151">
        <v>28000</v>
      </c>
      <c r="F26" s="152">
        <v>0.14000000000000001</v>
      </c>
    </row>
    <row r="27" spans="3:10" ht="14.65" thickBot="1" x14ac:dyDescent="0.5">
      <c r="C27" s="150" t="s">
        <v>55</v>
      </c>
      <c r="D27" s="151">
        <v>28001</v>
      </c>
      <c r="E27" s="151">
        <v>40000</v>
      </c>
      <c r="F27" s="152">
        <v>0.15</v>
      </c>
    </row>
    <row r="28" spans="3:10" ht="14.65" thickBot="1" x14ac:dyDescent="0.5">
      <c r="C28" s="150" t="s">
        <v>55</v>
      </c>
      <c r="D28" s="151">
        <v>40001</v>
      </c>
      <c r="E28" s="151">
        <v>48000</v>
      </c>
      <c r="F28" s="153">
        <v>0.16</v>
      </c>
    </row>
    <row r="29" spans="3:10" ht="14.65" thickBot="1" x14ac:dyDescent="0.5">
      <c r="C29" s="150" t="s">
        <v>55</v>
      </c>
      <c r="D29" s="151">
        <v>48001</v>
      </c>
      <c r="E29" s="151">
        <v>60000</v>
      </c>
      <c r="F29" s="152">
        <v>0.17</v>
      </c>
    </row>
    <row r="30" spans="3:10" ht="14.65" thickBot="1" x14ac:dyDescent="0.5">
      <c r="C30" s="150" t="s">
        <v>55</v>
      </c>
      <c r="D30" s="154">
        <v>60001</v>
      </c>
      <c r="E30" s="155">
        <v>75000</v>
      </c>
      <c r="F30" s="156">
        <v>0.18</v>
      </c>
    </row>
    <row r="31" spans="3:10" ht="14.65" thickBot="1" x14ac:dyDescent="0.5">
      <c r="C31" s="157" t="s">
        <v>55</v>
      </c>
      <c r="D31" s="155">
        <v>75001</v>
      </c>
      <c r="E31" s="155">
        <v>90000</v>
      </c>
      <c r="F31" s="158">
        <v>0.19</v>
      </c>
    </row>
    <row r="32" spans="3:10" ht="14.65" thickBot="1" x14ac:dyDescent="0.5">
      <c r="C32" s="157" t="s">
        <v>55</v>
      </c>
      <c r="D32" s="155">
        <v>90001</v>
      </c>
      <c r="E32" s="154">
        <v>105000</v>
      </c>
      <c r="F32" s="158">
        <v>0.2</v>
      </c>
    </row>
    <row r="33" spans="3:6" ht="14.65" thickBot="1" x14ac:dyDescent="0.5">
      <c r="C33" s="157" t="s">
        <v>55</v>
      </c>
      <c r="D33" s="155">
        <v>105001</v>
      </c>
      <c r="E33" s="155">
        <v>115000</v>
      </c>
      <c r="F33" s="158">
        <v>0.21</v>
      </c>
    </row>
    <row r="34" spans="3:6" ht="14.65" thickBot="1" x14ac:dyDescent="0.5">
      <c r="C34" s="157" t="s">
        <v>55</v>
      </c>
      <c r="D34" s="155">
        <v>115001</v>
      </c>
      <c r="E34" s="155">
        <v>0</v>
      </c>
      <c r="F34" s="158">
        <v>0.22</v>
      </c>
    </row>
  </sheetData>
  <mergeCells count="9">
    <mergeCell ref="I12:I13"/>
    <mergeCell ref="J12:J13"/>
    <mergeCell ref="G4:G7"/>
    <mergeCell ref="D12:D13"/>
    <mergeCell ref="E12:E13"/>
    <mergeCell ref="F12:F13"/>
    <mergeCell ref="G12:G13"/>
    <mergeCell ref="H12:H13"/>
    <mergeCell ref="C9:H9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8102-9412-4B46-810B-9369621A3953}">
  <sheetPr>
    <tabColor rgb="FF92D050"/>
  </sheetPr>
  <dimension ref="C2:M34"/>
  <sheetViews>
    <sheetView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C3" sqref="C3:J34"/>
    </sheetView>
  </sheetViews>
  <sheetFormatPr defaultRowHeight="14.25" x14ac:dyDescent="0.45"/>
  <cols>
    <col min="3" max="3" width="42.59765625" style="102" customWidth="1"/>
    <col min="4" max="6" width="12.86328125" style="102" customWidth="1"/>
    <col min="7" max="7" width="12.1328125" style="102" customWidth="1"/>
    <col min="8" max="8" width="14.3984375" style="102" customWidth="1"/>
    <col min="9" max="10" width="8.73046875" style="102"/>
  </cols>
  <sheetData>
    <row r="2" spans="3:13" ht="14.65" thickBot="1" x14ac:dyDescent="0.5"/>
    <row r="3" spans="3:13" ht="39.6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3" ht="24.95" customHeight="1" x14ac:dyDescent="0.45">
      <c r="C4" s="108" t="s">
        <v>15</v>
      </c>
      <c r="D4" s="109">
        <v>396515</v>
      </c>
      <c r="E4" s="109">
        <v>295723</v>
      </c>
      <c r="F4" s="109">
        <f>SUM(F5:F7)</f>
        <v>640000</v>
      </c>
      <c r="G4" s="166">
        <f>F4/E4-1</f>
        <v>1.1641874321577963</v>
      </c>
      <c r="H4" s="110"/>
      <c r="I4" s="111"/>
    </row>
    <row r="5" spans="3:13" ht="24.95" customHeight="1" x14ac:dyDescent="0.45">
      <c r="C5" s="112" t="s">
        <v>92</v>
      </c>
      <c r="D5" s="113"/>
      <c r="E5" s="114">
        <v>1455</v>
      </c>
      <c r="F5" s="114">
        <v>75000</v>
      </c>
      <c r="G5" s="167"/>
      <c r="H5" s="115">
        <v>0.01</v>
      </c>
      <c r="I5" s="116">
        <v>0.16</v>
      </c>
      <c r="M5" s="97"/>
    </row>
    <row r="6" spans="3:13" ht="24.95" customHeight="1" x14ac:dyDescent="0.45">
      <c r="C6" s="117" t="s">
        <v>8</v>
      </c>
      <c r="D6" s="114">
        <v>249821</v>
      </c>
      <c r="E6" s="114">
        <v>131398</v>
      </c>
      <c r="F6" s="113">
        <v>250000</v>
      </c>
      <c r="G6" s="167"/>
      <c r="H6" s="115">
        <v>1.4999999999999999E-2</v>
      </c>
      <c r="I6" s="118">
        <v>0.18</v>
      </c>
      <c r="K6" s="97"/>
    </row>
    <row r="7" spans="3:13" ht="38.450000000000003" customHeight="1" thickBot="1" x14ac:dyDescent="0.5">
      <c r="C7" s="119" t="s">
        <v>9</v>
      </c>
      <c r="D7" s="120">
        <v>146694</v>
      </c>
      <c r="E7" s="120">
        <v>163678</v>
      </c>
      <c r="F7" s="120">
        <v>315000</v>
      </c>
      <c r="G7" s="168"/>
      <c r="H7" s="121">
        <v>5.0000000000000001E-3</v>
      </c>
      <c r="I7" s="122">
        <v>0.1</v>
      </c>
      <c r="J7" s="159" t="s">
        <v>100</v>
      </c>
    </row>
    <row r="8" spans="3:13" ht="26.65" thickBot="1" x14ac:dyDescent="0.5">
      <c r="C8" s="123" t="s">
        <v>105</v>
      </c>
      <c r="D8" s="124"/>
      <c r="E8" s="124"/>
      <c r="F8" s="124"/>
      <c r="G8" s="124"/>
      <c r="H8" s="124"/>
      <c r="I8" s="125"/>
    </row>
    <row r="9" spans="3:13" ht="47.25" customHeight="1" x14ac:dyDescent="0.45">
      <c r="C9" s="174" t="s">
        <v>106</v>
      </c>
      <c r="D9" s="175"/>
      <c r="E9" s="175"/>
      <c r="F9" s="175"/>
      <c r="G9" s="175"/>
      <c r="H9" s="175"/>
    </row>
    <row r="10" spans="3:13" x14ac:dyDescent="0.45">
      <c r="C10" s="130" t="s">
        <v>107</v>
      </c>
    </row>
    <row r="11" spans="3:13" ht="14.65" thickBot="1" x14ac:dyDescent="0.5">
      <c r="C11" s="126"/>
    </row>
    <row r="12" spans="3:13" x14ac:dyDescent="0.45">
      <c r="C12" s="131" t="s">
        <v>30</v>
      </c>
      <c r="D12" s="181"/>
      <c r="E12" s="179" t="s">
        <v>32</v>
      </c>
      <c r="F12" s="179" t="s">
        <v>33</v>
      </c>
      <c r="G12" s="179" t="s">
        <v>34</v>
      </c>
      <c r="H12" s="179" t="s">
        <v>35</v>
      </c>
      <c r="I12" s="179" t="s">
        <v>36</v>
      </c>
      <c r="J12" s="179" t="s">
        <v>37</v>
      </c>
    </row>
    <row r="13" spans="3:13" ht="14.65" thickBot="1" x14ac:dyDescent="0.5">
      <c r="C13" s="132" t="s">
        <v>31</v>
      </c>
      <c r="D13" s="182"/>
      <c r="E13" s="180"/>
      <c r="F13" s="180"/>
      <c r="G13" s="180"/>
      <c r="H13" s="180"/>
      <c r="I13" s="180"/>
      <c r="J13" s="180"/>
    </row>
    <row r="14" spans="3:13" ht="14.65" thickBot="1" x14ac:dyDescent="0.5">
      <c r="C14" s="133" t="s">
        <v>38</v>
      </c>
      <c r="D14" s="134" t="s">
        <v>39</v>
      </c>
      <c r="E14" s="135">
        <v>6</v>
      </c>
      <c r="F14" s="135">
        <v>6</v>
      </c>
      <c r="G14" s="135">
        <v>6</v>
      </c>
      <c r="H14" s="135">
        <v>6</v>
      </c>
      <c r="I14" s="135">
        <v>6</v>
      </c>
      <c r="J14" s="135">
        <v>6</v>
      </c>
    </row>
    <row r="15" spans="3:13" ht="25.9" thickBot="1" x14ac:dyDescent="0.5">
      <c r="C15" s="136" t="s">
        <v>40</v>
      </c>
      <c r="D15" s="134" t="s">
        <v>39</v>
      </c>
      <c r="E15" s="135">
        <v>1</v>
      </c>
      <c r="F15" s="135">
        <v>1</v>
      </c>
      <c r="G15" s="135">
        <v>1</v>
      </c>
      <c r="H15" s="135">
        <v>1</v>
      </c>
      <c r="I15" s="135">
        <v>1</v>
      </c>
      <c r="J15" s="135">
        <v>1</v>
      </c>
    </row>
    <row r="16" spans="3:13" ht="14.65" thickBot="1" x14ac:dyDescent="0.5">
      <c r="C16" s="137" t="s">
        <v>41</v>
      </c>
      <c r="D16" s="138" t="s">
        <v>39</v>
      </c>
      <c r="E16" s="139">
        <v>7</v>
      </c>
      <c r="F16" s="139">
        <v>9</v>
      </c>
      <c r="G16" s="139">
        <v>10</v>
      </c>
      <c r="H16" s="139">
        <v>11</v>
      </c>
      <c r="I16" s="139">
        <v>12</v>
      </c>
      <c r="J16" s="139">
        <v>13</v>
      </c>
    </row>
    <row r="17" spans="3:10" ht="14.65" thickBot="1" x14ac:dyDescent="0.5">
      <c r="C17" s="140" t="s">
        <v>42</v>
      </c>
      <c r="D17" s="141"/>
      <c r="E17" s="142">
        <f t="shared" ref="E17:J17" si="0">SUM(E14:E16)</f>
        <v>14</v>
      </c>
      <c r="F17" s="143">
        <f t="shared" si="0"/>
        <v>16</v>
      </c>
      <c r="G17" s="143">
        <f t="shared" si="0"/>
        <v>17</v>
      </c>
      <c r="H17" s="144">
        <f t="shared" si="0"/>
        <v>18</v>
      </c>
      <c r="I17" s="143">
        <f t="shared" si="0"/>
        <v>19</v>
      </c>
      <c r="J17" s="143">
        <f t="shared" si="0"/>
        <v>20</v>
      </c>
    </row>
    <row r="18" spans="3:10" ht="14.65" thickBot="1" x14ac:dyDescent="0.5">
      <c r="C18" s="126"/>
    </row>
    <row r="19" spans="3:10" ht="25.9" thickBot="1" x14ac:dyDescent="0.5">
      <c r="C19" s="145" t="s">
        <v>43</v>
      </c>
      <c r="D19" s="146"/>
      <c r="E19" s="147" t="s">
        <v>44</v>
      </c>
      <c r="F19" s="147" t="s">
        <v>45</v>
      </c>
      <c r="G19" s="147" t="s">
        <v>46</v>
      </c>
      <c r="H19" s="147" t="s">
        <v>47</v>
      </c>
      <c r="I19" s="147" t="s">
        <v>48</v>
      </c>
      <c r="J19" s="147" t="s">
        <v>49</v>
      </c>
    </row>
    <row r="20" spans="3:10" ht="38.65" thickBot="1" x14ac:dyDescent="0.5">
      <c r="C20" s="137" t="s">
        <v>50</v>
      </c>
      <c r="D20" s="138" t="s">
        <v>51</v>
      </c>
      <c r="E20" s="139">
        <v>0</v>
      </c>
      <c r="F20" s="139">
        <v>1</v>
      </c>
      <c r="G20" s="139">
        <v>2</v>
      </c>
      <c r="H20" s="139">
        <v>3</v>
      </c>
      <c r="I20" s="139">
        <v>4</v>
      </c>
      <c r="J20" s="139">
        <v>5</v>
      </c>
    </row>
    <row r="21" spans="3:10" ht="14.65" thickBot="1" x14ac:dyDescent="0.5">
      <c r="C21" s="126"/>
    </row>
    <row r="22" spans="3:10" ht="14.65" thickBot="1" x14ac:dyDescent="0.5">
      <c r="C22" s="148" t="s">
        <v>99</v>
      </c>
      <c r="D22" s="149" t="s">
        <v>53</v>
      </c>
      <c r="E22" s="149" t="s">
        <v>53</v>
      </c>
      <c r="F22" s="149" t="s">
        <v>54</v>
      </c>
    </row>
    <row r="23" spans="3:10" ht="14.65" thickBot="1" x14ac:dyDescent="0.5">
      <c r="C23" s="150" t="s">
        <v>55</v>
      </c>
      <c r="D23" s="143">
        <v>0</v>
      </c>
      <c r="E23" s="151">
        <v>7000</v>
      </c>
      <c r="F23" s="152">
        <v>0.1</v>
      </c>
    </row>
    <row r="24" spans="3:10" ht="14.65" thickBot="1" x14ac:dyDescent="0.5">
      <c r="C24" s="150" t="s">
        <v>55</v>
      </c>
      <c r="D24" s="143">
        <v>7001</v>
      </c>
      <c r="E24" s="151">
        <v>19000</v>
      </c>
      <c r="F24" s="152">
        <v>0.11</v>
      </c>
    </row>
    <row r="25" spans="3:10" ht="14.65" thickBot="1" x14ac:dyDescent="0.5">
      <c r="C25" s="150" t="s">
        <v>55</v>
      </c>
      <c r="D25" s="151">
        <v>19001</v>
      </c>
      <c r="E25" s="151">
        <v>24000</v>
      </c>
      <c r="F25" s="152">
        <v>0.13</v>
      </c>
    </row>
    <row r="26" spans="3:10" ht="14.65" thickBot="1" x14ac:dyDescent="0.5">
      <c r="C26" s="150" t="s">
        <v>55</v>
      </c>
      <c r="D26" s="151">
        <v>24001</v>
      </c>
      <c r="E26" s="151">
        <v>28000</v>
      </c>
      <c r="F26" s="152">
        <v>0.14000000000000001</v>
      </c>
    </row>
    <row r="27" spans="3:10" ht="14.65" thickBot="1" x14ac:dyDescent="0.5">
      <c r="C27" s="150" t="s">
        <v>55</v>
      </c>
      <c r="D27" s="151">
        <v>28001</v>
      </c>
      <c r="E27" s="151">
        <v>40000</v>
      </c>
      <c r="F27" s="152">
        <v>0.15</v>
      </c>
    </row>
    <row r="28" spans="3:10" ht="14.65" thickBot="1" x14ac:dyDescent="0.5">
      <c r="C28" s="150" t="s">
        <v>55</v>
      </c>
      <c r="D28" s="151">
        <v>40001</v>
      </c>
      <c r="E28" s="151">
        <v>48000</v>
      </c>
      <c r="F28" s="153">
        <v>0.16</v>
      </c>
    </row>
    <row r="29" spans="3:10" ht="14.65" thickBot="1" x14ac:dyDescent="0.5">
      <c r="C29" s="150" t="s">
        <v>55</v>
      </c>
      <c r="D29" s="151">
        <v>48001</v>
      </c>
      <c r="E29" s="151">
        <v>60000</v>
      </c>
      <c r="F29" s="152">
        <v>0.17</v>
      </c>
    </row>
    <row r="30" spans="3:10" ht="14.65" thickBot="1" x14ac:dyDescent="0.5">
      <c r="C30" s="150" t="s">
        <v>55</v>
      </c>
      <c r="D30" s="154">
        <v>60001</v>
      </c>
      <c r="E30" s="155">
        <v>75000</v>
      </c>
      <c r="F30" s="156">
        <v>0.18</v>
      </c>
    </row>
    <row r="31" spans="3:10" ht="14.65" thickBot="1" x14ac:dyDescent="0.5">
      <c r="C31" s="157" t="s">
        <v>55</v>
      </c>
      <c r="D31" s="155">
        <v>75001</v>
      </c>
      <c r="E31" s="155">
        <v>90000</v>
      </c>
      <c r="F31" s="158">
        <v>0.19</v>
      </c>
    </row>
    <row r="32" spans="3:10" ht="14.65" thickBot="1" x14ac:dyDescent="0.5">
      <c r="C32" s="157" t="s">
        <v>55</v>
      </c>
      <c r="D32" s="155">
        <v>90001</v>
      </c>
      <c r="E32" s="154">
        <v>105000</v>
      </c>
      <c r="F32" s="158">
        <v>0.2</v>
      </c>
    </row>
    <row r="33" spans="3:6" ht="14.65" thickBot="1" x14ac:dyDescent="0.5">
      <c r="C33" s="157" t="s">
        <v>55</v>
      </c>
      <c r="D33" s="155">
        <v>105001</v>
      </c>
      <c r="E33" s="155">
        <v>115000</v>
      </c>
      <c r="F33" s="158">
        <v>0.21</v>
      </c>
    </row>
    <row r="34" spans="3:6" ht="14.65" thickBot="1" x14ac:dyDescent="0.5">
      <c r="C34" s="157" t="s">
        <v>55</v>
      </c>
      <c r="D34" s="155">
        <v>115001</v>
      </c>
      <c r="E34" s="155">
        <v>0</v>
      </c>
      <c r="F34" s="158">
        <v>0.22</v>
      </c>
    </row>
  </sheetData>
  <mergeCells count="9">
    <mergeCell ref="I12:I13"/>
    <mergeCell ref="J12:J13"/>
    <mergeCell ref="G4:G7"/>
    <mergeCell ref="D12:D13"/>
    <mergeCell ref="E12:E13"/>
    <mergeCell ref="F12:F13"/>
    <mergeCell ref="G12:G13"/>
    <mergeCell ref="H12:H13"/>
    <mergeCell ref="C9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F23D-8DD4-497E-AE2A-89663ADAC214}">
  <sheetPr>
    <tabColor rgb="FF92D050"/>
  </sheetPr>
  <dimension ref="C2:O34"/>
  <sheetViews>
    <sheetView zoomScale="80" zoomScaleNormal="80" workbookViewId="0">
      <pane xSplit="3" ySplit="3" topLeftCell="D17" activePane="bottomRight" state="frozen"/>
      <selection pane="topRight" activeCell="D1" sqref="D1"/>
      <selection pane="bottomLeft" activeCell="A4" sqref="A4"/>
      <selection pane="bottomRight" activeCell="C3" sqref="C3:L34"/>
    </sheetView>
  </sheetViews>
  <sheetFormatPr defaultRowHeight="14.25" x14ac:dyDescent="0.45"/>
  <cols>
    <col min="3" max="3" width="31.86328125" style="102" customWidth="1"/>
    <col min="4" max="10" width="14.1328125" style="102" customWidth="1"/>
    <col min="11" max="11" width="8.73046875" style="102" customWidth="1"/>
    <col min="12" max="12" width="8.73046875" style="102"/>
    <col min="14" max="14" width="10.265625" bestFit="1" customWidth="1"/>
  </cols>
  <sheetData>
    <row r="2" spans="3:15" ht="14.65" thickBot="1" x14ac:dyDescent="0.5"/>
    <row r="3" spans="3:15" ht="48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5" ht="24.95" customHeight="1" x14ac:dyDescent="0.45">
      <c r="C4" s="108" t="s">
        <v>12</v>
      </c>
      <c r="D4" s="109">
        <v>1010089</v>
      </c>
      <c r="E4" s="109">
        <v>1013606</v>
      </c>
      <c r="F4" s="109">
        <f>SUM(F5:F7)</f>
        <v>1315000</v>
      </c>
      <c r="G4" s="166">
        <f>F4/E4-1</f>
        <v>0.29734827931168528</v>
      </c>
      <c r="H4" s="110"/>
      <c r="I4" s="111"/>
    </row>
    <row r="5" spans="3:15" ht="30.75" customHeight="1" x14ac:dyDescent="0.45">
      <c r="C5" s="112" t="s">
        <v>92</v>
      </c>
      <c r="D5" s="113">
        <v>131600</v>
      </c>
      <c r="E5" s="113">
        <v>99727</v>
      </c>
      <c r="F5" s="114">
        <v>100000</v>
      </c>
      <c r="G5" s="167"/>
      <c r="H5" s="115">
        <v>0.01</v>
      </c>
      <c r="I5" s="116">
        <v>0.19</v>
      </c>
    </row>
    <row r="6" spans="3:15" ht="30.75" customHeight="1" x14ac:dyDescent="0.45">
      <c r="C6" s="117" t="s">
        <v>8</v>
      </c>
      <c r="D6" s="114">
        <v>65169</v>
      </c>
      <c r="E6" s="114">
        <v>126990</v>
      </c>
      <c r="F6" s="113">
        <v>315000</v>
      </c>
      <c r="G6" s="167"/>
      <c r="H6" s="115">
        <v>1.4999999999999999E-2</v>
      </c>
      <c r="I6" s="118">
        <v>0.18</v>
      </c>
      <c r="J6" s="183" t="s">
        <v>91</v>
      </c>
      <c r="K6" s="184"/>
      <c r="L6" s="184"/>
      <c r="O6" s="97"/>
    </row>
    <row r="7" spans="3:15" ht="30.75" customHeight="1" thickBot="1" x14ac:dyDescent="0.5">
      <c r="C7" s="119" t="s">
        <v>9</v>
      </c>
      <c r="D7" s="120">
        <v>813320</v>
      </c>
      <c r="E7" s="120">
        <v>786889</v>
      </c>
      <c r="F7" s="120">
        <v>900000</v>
      </c>
      <c r="G7" s="168"/>
      <c r="H7" s="121">
        <v>5.0000000000000001E-3</v>
      </c>
      <c r="I7" s="160">
        <v>0.15</v>
      </c>
      <c r="J7" s="129" t="s">
        <v>100</v>
      </c>
    </row>
    <row r="8" spans="3:15" ht="39.75" thickBot="1" x14ac:dyDescent="0.5">
      <c r="C8" s="123" t="s">
        <v>105</v>
      </c>
      <c r="D8" s="124"/>
      <c r="E8" s="124"/>
      <c r="F8" s="124"/>
      <c r="G8" s="124"/>
      <c r="H8" s="124"/>
      <c r="I8" s="125"/>
    </row>
    <row r="9" spans="3:15" ht="58.5" customHeight="1" x14ac:dyDescent="0.45">
      <c r="C9" s="174" t="s">
        <v>106</v>
      </c>
      <c r="D9" s="175"/>
      <c r="E9" s="175"/>
      <c r="F9" s="175"/>
      <c r="G9" s="175"/>
      <c r="H9" s="175"/>
    </row>
    <row r="10" spans="3:15" x14ac:dyDescent="0.45">
      <c r="C10" s="185" t="s">
        <v>107</v>
      </c>
      <c r="D10" s="185"/>
    </row>
    <row r="11" spans="3:15" ht="14.65" thickBot="1" x14ac:dyDescent="0.5">
      <c r="C11" s="126"/>
    </row>
    <row r="12" spans="3:15" x14ac:dyDescent="0.45">
      <c r="C12" s="131" t="s">
        <v>30</v>
      </c>
      <c r="D12" s="181"/>
      <c r="E12" s="179" t="s">
        <v>32</v>
      </c>
      <c r="F12" s="179" t="s">
        <v>33</v>
      </c>
      <c r="G12" s="179" t="s">
        <v>34</v>
      </c>
      <c r="H12" s="179" t="s">
        <v>35</v>
      </c>
      <c r="I12" s="179" t="s">
        <v>36</v>
      </c>
      <c r="J12" s="179" t="s">
        <v>37</v>
      </c>
    </row>
    <row r="13" spans="3:15" ht="25.9" thickBot="1" x14ac:dyDescent="0.5">
      <c r="C13" s="132" t="s">
        <v>31</v>
      </c>
      <c r="D13" s="182"/>
      <c r="E13" s="180"/>
      <c r="F13" s="180"/>
      <c r="G13" s="180"/>
      <c r="H13" s="180"/>
      <c r="I13" s="180"/>
      <c r="J13" s="180"/>
    </row>
    <row r="14" spans="3:15" ht="20.100000000000001" customHeight="1" thickBot="1" x14ac:dyDescent="0.5">
      <c r="C14" s="133" t="s">
        <v>38</v>
      </c>
      <c r="D14" s="134" t="s">
        <v>39</v>
      </c>
      <c r="E14" s="135">
        <v>6</v>
      </c>
      <c r="F14" s="135">
        <v>6</v>
      </c>
      <c r="G14" s="135">
        <v>6</v>
      </c>
      <c r="H14" s="135">
        <v>6</v>
      </c>
      <c r="I14" s="135">
        <v>6</v>
      </c>
      <c r="J14" s="135">
        <v>6</v>
      </c>
    </row>
    <row r="15" spans="3:15" ht="27" customHeight="1" thickBot="1" x14ac:dyDescent="0.5">
      <c r="C15" s="136" t="s">
        <v>40</v>
      </c>
      <c r="D15" s="134" t="s">
        <v>39</v>
      </c>
      <c r="E15" s="135">
        <v>1</v>
      </c>
      <c r="F15" s="135">
        <v>1</v>
      </c>
      <c r="G15" s="135">
        <v>1</v>
      </c>
      <c r="H15" s="135">
        <v>1</v>
      </c>
      <c r="I15" s="135">
        <v>1</v>
      </c>
      <c r="J15" s="135">
        <v>1</v>
      </c>
    </row>
    <row r="16" spans="3:15" ht="20.100000000000001" customHeight="1" thickBot="1" x14ac:dyDescent="0.5">
      <c r="C16" s="137" t="s">
        <v>41</v>
      </c>
      <c r="D16" s="138" t="s">
        <v>39</v>
      </c>
      <c r="E16" s="139">
        <v>7</v>
      </c>
      <c r="F16" s="139">
        <v>9</v>
      </c>
      <c r="G16" s="139">
        <v>10</v>
      </c>
      <c r="H16" s="139">
        <v>11</v>
      </c>
      <c r="I16" s="139">
        <v>12</v>
      </c>
      <c r="J16" s="139">
        <v>13</v>
      </c>
    </row>
    <row r="17" spans="3:10" ht="14.65" thickBot="1" x14ac:dyDescent="0.5">
      <c r="C17" s="140" t="s">
        <v>42</v>
      </c>
      <c r="D17" s="141"/>
      <c r="E17" s="142">
        <f t="shared" ref="E17:J17" si="0">SUM(E14:E16)</f>
        <v>14</v>
      </c>
      <c r="F17" s="143">
        <f t="shared" si="0"/>
        <v>16</v>
      </c>
      <c r="G17" s="143">
        <f t="shared" si="0"/>
        <v>17</v>
      </c>
      <c r="H17" s="144">
        <f t="shared" si="0"/>
        <v>18</v>
      </c>
      <c r="I17" s="143">
        <f t="shared" si="0"/>
        <v>19</v>
      </c>
      <c r="J17" s="143">
        <f t="shared" si="0"/>
        <v>20</v>
      </c>
    </row>
    <row r="18" spans="3:10" ht="14.65" thickBot="1" x14ac:dyDescent="0.5">
      <c r="C18" s="126"/>
    </row>
    <row r="19" spans="3:10" ht="38.65" thickBot="1" x14ac:dyDescent="0.5">
      <c r="C19" s="145" t="s">
        <v>43</v>
      </c>
      <c r="D19" s="146"/>
      <c r="E19" s="147" t="s">
        <v>44</v>
      </c>
      <c r="F19" s="147" t="s">
        <v>45</v>
      </c>
      <c r="G19" s="147" t="s">
        <v>46</v>
      </c>
      <c r="H19" s="147" t="s">
        <v>47</v>
      </c>
      <c r="I19" s="147" t="s">
        <v>48</v>
      </c>
      <c r="J19" s="147" t="s">
        <v>49</v>
      </c>
    </row>
    <row r="20" spans="3:10" ht="38.65" thickBot="1" x14ac:dyDescent="0.5">
      <c r="C20" s="137" t="s">
        <v>50</v>
      </c>
      <c r="D20" s="138" t="s">
        <v>51</v>
      </c>
      <c r="E20" s="139">
        <v>0</v>
      </c>
      <c r="F20" s="139">
        <v>1</v>
      </c>
      <c r="G20" s="139">
        <v>2</v>
      </c>
      <c r="H20" s="139">
        <v>3</v>
      </c>
      <c r="I20" s="139">
        <v>4</v>
      </c>
      <c r="J20" s="139">
        <v>5</v>
      </c>
    </row>
    <row r="21" spans="3:10" ht="14.65" thickBot="1" x14ac:dyDescent="0.5">
      <c r="C21" s="126"/>
    </row>
    <row r="22" spans="3:10" ht="14.65" thickBot="1" x14ac:dyDescent="0.5">
      <c r="C22" s="148" t="s">
        <v>99</v>
      </c>
      <c r="D22" s="149" t="s">
        <v>53</v>
      </c>
      <c r="E22" s="149" t="s">
        <v>53</v>
      </c>
      <c r="F22" s="149" t="s">
        <v>54</v>
      </c>
    </row>
    <row r="23" spans="3:10" ht="14.65" thickBot="1" x14ac:dyDescent="0.5">
      <c r="C23" s="150" t="s">
        <v>55</v>
      </c>
      <c r="D23" s="143">
        <v>0</v>
      </c>
      <c r="E23" s="151">
        <v>7000</v>
      </c>
      <c r="F23" s="152">
        <v>0.1</v>
      </c>
    </row>
    <row r="24" spans="3:10" ht="14.65" thickBot="1" x14ac:dyDescent="0.5">
      <c r="C24" s="150" t="s">
        <v>55</v>
      </c>
      <c r="D24" s="143">
        <v>7001</v>
      </c>
      <c r="E24" s="151">
        <v>19000</v>
      </c>
      <c r="F24" s="152">
        <v>0.11</v>
      </c>
    </row>
    <row r="25" spans="3:10" ht="14.65" thickBot="1" x14ac:dyDescent="0.5">
      <c r="C25" s="150" t="s">
        <v>55</v>
      </c>
      <c r="D25" s="151">
        <v>19001</v>
      </c>
      <c r="E25" s="151">
        <v>24000</v>
      </c>
      <c r="F25" s="152">
        <v>0.13</v>
      </c>
    </row>
    <row r="26" spans="3:10" ht="14.65" thickBot="1" x14ac:dyDescent="0.5">
      <c r="C26" s="150" t="s">
        <v>55</v>
      </c>
      <c r="D26" s="151">
        <v>24001</v>
      </c>
      <c r="E26" s="151">
        <v>28000</v>
      </c>
      <c r="F26" s="152">
        <v>0.14000000000000001</v>
      </c>
    </row>
    <row r="27" spans="3:10" ht="14.65" thickBot="1" x14ac:dyDescent="0.5">
      <c r="C27" s="150" t="s">
        <v>55</v>
      </c>
      <c r="D27" s="151">
        <v>28001</v>
      </c>
      <c r="E27" s="151">
        <v>40000</v>
      </c>
      <c r="F27" s="152">
        <v>0.15</v>
      </c>
    </row>
    <row r="28" spans="3:10" ht="14.65" thickBot="1" x14ac:dyDescent="0.5">
      <c r="C28" s="150" t="s">
        <v>55</v>
      </c>
      <c r="D28" s="151">
        <v>40001</v>
      </c>
      <c r="E28" s="151">
        <v>48000</v>
      </c>
      <c r="F28" s="152">
        <v>0.16</v>
      </c>
    </row>
    <row r="29" spans="3:10" ht="14.65" thickBot="1" x14ac:dyDescent="0.5">
      <c r="C29" s="150" t="s">
        <v>55</v>
      </c>
      <c r="D29" s="151">
        <v>48001</v>
      </c>
      <c r="E29" s="151">
        <v>60000</v>
      </c>
      <c r="F29" s="152">
        <v>0.17</v>
      </c>
    </row>
    <row r="30" spans="3:10" ht="14.65" thickBot="1" x14ac:dyDescent="0.5">
      <c r="C30" s="150" t="s">
        <v>55</v>
      </c>
      <c r="D30" s="154">
        <v>60001</v>
      </c>
      <c r="E30" s="155">
        <v>75000</v>
      </c>
      <c r="F30" s="156">
        <v>0.18</v>
      </c>
    </row>
    <row r="31" spans="3:10" ht="14.65" thickBot="1" x14ac:dyDescent="0.5">
      <c r="C31" s="157" t="s">
        <v>55</v>
      </c>
      <c r="D31" s="155">
        <v>75001</v>
      </c>
      <c r="E31" s="155">
        <v>90000</v>
      </c>
      <c r="F31" s="161">
        <v>0.19</v>
      </c>
    </row>
    <row r="32" spans="3:10" ht="14.65" thickBot="1" x14ac:dyDescent="0.5">
      <c r="C32" s="157" t="s">
        <v>55</v>
      </c>
      <c r="D32" s="155">
        <v>90001</v>
      </c>
      <c r="E32" s="154">
        <v>105000</v>
      </c>
      <c r="F32" s="158">
        <v>0.2</v>
      </c>
    </row>
    <row r="33" spans="3:6" ht="14.65" thickBot="1" x14ac:dyDescent="0.5">
      <c r="C33" s="157" t="s">
        <v>55</v>
      </c>
      <c r="D33" s="155">
        <v>105001</v>
      </c>
      <c r="E33" s="155">
        <v>115000</v>
      </c>
      <c r="F33" s="158">
        <v>0.21</v>
      </c>
    </row>
    <row r="34" spans="3:6" ht="14.65" thickBot="1" x14ac:dyDescent="0.5">
      <c r="C34" s="157" t="s">
        <v>55</v>
      </c>
      <c r="D34" s="155">
        <v>115001</v>
      </c>
      <c r="E34" s="155">
        <v>0</v>
      </c>
      <c r="F34" s="158">
        <v>0.22</v>
      </c>
    </row>
  </sheetData>
  <mergeCells count="11">
    <mergeCell ref="I12:I13"/>
    <mergeCell ref="J12:J13"/>
    <mergeCell ref="G4:G7"/>
    <mergeCell ref="D12:D13"/>
    <mergeCell ref="E12:E13"/>
    <mergeCell ref="F12:F13"/>
    <mergeCell ref="G12:G13"/>
    <mergeCell ref="H12:H13"/>
    <mergeCell ref="C9:H9"/>
    <mergeCell ref="J6:L6"/>
    <mergeCell ref="C10:D1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89B9-F467-494D-AB87-45EF638F78A4}">
  <sheetPr>
    <tabColor rgb="FF92D050"/>
  </sheetPr>
  <dimension ref="C2:J35"/>
  <sheetViews>
    <sheetView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C3" sqref="C3:K35"/>
    </sheetView>
  </sheetViews>
  <sheetFormatPr defaultRowHeight="14.25" x14ac:dyDescent="0.45"/>
  <cols>
    <col min="3" max="3" width="43" style="102" customWidth="1"/>
    <col min="4" max="7" width="13.59765625" style="102" customWidth="1"/>
    <col min="8" max="8" width="14.73046875" style="102" customWidth="1"/>
    <col min="9" max="9" width="11.265625" style="102" customWidth="1"/>
    <col min="10" max="10" width="8.73046875" style="102"/>
  </cols>
  <sheetData>
    <row r="2" spans="3:10" ht="14.65" thickBot="1" x14ac:dyDescent="0.5"/>
    <row r="3" spans="3:10" ht="38.450000000000003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14</v>
      </c>
      <c r="D4" s="109">
        <v>409425</v>
      </c>
      <c r="E4" s="109">
        <v>298999</v>
      </c>
      <c r="F4" s="109">
        <f>SUM(F5:F7)</f>
        <v>500000</v>
      </c>
      <c r="G4" s="166">
        <f>F4/E4-1</f>
        <v>0.67224639547289455</v>
      </c>
      <c r="H4" s="110"/>
      <c r="I4" s="111"/>
    </row>
    <row r="5" spans="3:10" ht="24.95" customHeight="1" x14ac:dyDescent="0.45">
      <c r="C5" s="112" t="s">
        <v>92</v>
      </c>
      <c r="D5" s="113">
        <v>290</v>
      </c>
      <c r="E5" s="113">
        <v>12622</v>
      </c>
      <c r="F5" s="114">
        <v>50000</v>
      </c>
      <c r="G5" s="167"/>
      <c r="H5" s="115">
        <v>0.01</v>
      </c>
      <c r="I5" s="116">
        <v>0.15</v>
      </c>
    </row>
    <row r="6" spans="3:10" ht="24.95" customHeight="1" x14ac:dyDescent="0.45">
      <c r="C6" s="117" t="s">
        <v>8</v>
      </c>
      <c r="D6" s="114">
        <v>270070</v>
      </c>
      <c r="E6" s="114">
        <v>62269</v>
      </c>
      <c r="F6" s="113">
        <v>200000</v>
      </c>
      <c r="G6" s="167"/>
      <c r="H6" s="115">
        <v>1.4999999999999999E-2</v>
      </c>
      <c r="I6" s="118">
        <v>0.16</v>
      </c>
    </row>
    <row r="7" spans="3:10" ht="24.95" customHeight="1" thickBot="1" x14ac:dyDescent="0.5">
      <c r="C7" s="119" t="s">
        <v>9</v>
      </c>
      <c r="D7" s="120">
        <v>139065</v>
      </c>
      <c r="E7" s="120">
        <v>224108</v>
      </c>
      <c r="F7" s="120">
        <v>250000</v>
      </c>
      <c r="G7" s="168"/>
      <c r="H7" s="121">
        <v>5.0000000000000001E-3</v>
      </c>
      <c r="I7" s="160" t="s">
        <v>102</v>
      </c>
      <c r="J7" s="129" t="s">
        <v>100</v>
      </c>
    </row>
    <row r="8" spans="3:10" ht="26.65" thickBot="1" x14ac:dyDescent="0.5">
      <c r="C8" s="123" t="s">
        <v>105</v>
      </c>
      <c r="D8" s="124"/>
      <c r="E8" s="124"/>
      <c r="F8" s="124"/>
      <c r="G8" s="124"/>
      <c r="H8" s="124"/>
      <c r="I8" s="125"/>
    </row>
    <row r="9" spans="3:10" ht="50.25" customHeight="1" x14ac:dyDescent="0.45">
      <c r="C9" s="174" t="s">
        <v>106</v>
      </c>
      <c r="D9" s="175"/>
      <c r="E9" s="175"/>
      <c r="F9" s="175"/>
      <c r="G9" s="175"/>
      <c r="H9" s="175"/>
    </row>
    <row r="11" spans="3:10" x14ac:dyDescent="0.45">
      <c r="C11" s="130" t="s">
        <v>107</v>
      </c>
    </row>
    <row r="12" spans="3:10" ht="14.65" thickBot="1" x14ac:dyDescent="0.5">
      <c r="C12" s="126"/>
    </row>
    <row r="13" spans="3:10" x14ac:dyDescent="0.45">
      <c r="C13" s="131" t="s">
        <v>30</v>
      </c>
      <c r="D13" s="181"/>
      <c r="E13" s="179" t="s">
        <v>32</v>
      </c>
      <c r="F13" s="179" t="s">
        <v>33</v>
      </c>
      <c r="G13" s="179" t="s">
        <v>34</v>
      </c>
      <c r="H13" s="179" t="s">
        <v>35</v>
      </c>
      <c r="I13" s="179" t="s">
        <v>36</v>
      </c>
      <c r="J13" s="179" t="s">
        <v>37</v>
      </c>
    </row>
    <row r="14" spans="3:10" ht="14.65" thickBot="1" x14ac:dyDescent="0.5">
      <c r="C14" s="132" t="s">
        <v>31</v>
      </c>
      <c r="D14" s="182"/>
      <c r="E14" s="180"/>
      <c r="F14" s="180"/>
      <c r="G14" s="180"/>
      <c r="H14" s="180"/>
      <c r="I14" s="180"/>
      <c r="J14" s="180"/>
    </row>
    <row r="15" spans="3:10" ht="14.65" thickBot="1" x14ac:dyDescent="0.5">
      <c r="C15" s="133" t="s">
        <v>38</v>
      </c>
      <c r="D15" s="134" t="s">
        <v>39</v>
      </c>
      <c r="E15" s="135">
        <v>6</v>
      </c>
      <c r="F15" s="135">
        <v>6</v>
      </c>
      <c r="G15" s="135">
        <v>6</v>
      </c>
      <c r="H15" s="135">
        <v>6</v>
      </c>
      <c r="I15" s="135">
        <v>6</v>
      </c>
      <c r="J15" s="135">
        <v>6</v>
      </c>
    </row>
    <row r="16" spans="3:10" ht="25.9" thickBot="1" x14ac:dyDescent="0.5">
      <c r="C16" s="136" t="s">
        <v>40</v>
      </c>
      <c r="D16" s="134" t="s">
        <v>39</v>
      </c>
      <c r="E16" s="135">
        <v>1</v>
      </c>
      <c r="F16" s="135">
        <v>1</v>
      </c>
      <c r="G16" s="135">
        <v>1</v>
      </c>
      <c r="H16" s="135">
        <v>1</v>
      </c>
      <c r="I16" s="135">
        <v>1</v>
      </c>
      <c r="J16" s="135">
        <v>1</v>
      </c>
    </row>
    <row r="17" spans="3:10" ht="14.65" thickBot="1" x14ac:dyDescent="0.5">
      <c r="C17" s="137" t="s">
        <v>41</v>
      </c>
      <c r="D17" s="138" t="s">
        <v>39</v>
      </c>
      <c r="E17" s="139">
        <v>7</v>
      </c>
      <c r="F17" s="139">
        <v>9</v>
      </c>
      <c r="G17" s="139">
        <v>10</v>
      </c>
      <c r="H17" s="139">
        <v>11</v>
      </c>
      <c r="I17" s="139">
        <v>12</v>
      </c>
      <c r="J17" s="139">
        <v>13</v>
      </c>
    </row>
    <row r="18" spans="3:10" ht="14.65" thickBot="1" x14ac:dyDescent="0.5">
      <c r="C18" s="140" t="s">
        <v>42</v>
      </c>
      <c r="D18" s="141"/>
      <c r="E18" s="142">
        <f t="shared" ref="E18:J18" si="0">SUM(E15:E17)</f>
        <v>14</v>
      </c>
      <c r="F18" s="144">
        <f t="shared" si="0"/>
        <v>16</v>
      </c>
      <c r="G18" s="143">
        <f t="shared" si="0"/>
        <v>17</v>
      </c>
      <c r="H18" s="143">
        <f t="shared" si="0"/>
        <v>18</v>
      </c>
      <c r="I18" s="143">
        <f t="shared" si="0"/>
        <v>19</v>
      </c>
      <c r="J18" s="143">
        <f t="shared" si="0"/>
        <v>20</v>
      </c>
    </row>
    <row r="19" spans="3:10" ht="14.65" thickBot="1" x14ac:dyDescent="0.5">
      <c r="C19" s="126"/>
    </row>
    <row r="20" spans="3:10" ht="25.9" thickBot="1" x14ac:dyDescent="0.5">
      <c r="C20" s="145" t="s">
        <v>43</v>
      </c>
      <c r="D20" s="146"/>
      <c r="E20" s="147" t="s">
        <v>44</v>
      </c>
      <c r="F20" s="147" t="s">
        <v>45</v>
      </c>
      <c r="G20" s="147" t="s">
        <v>46</v>
      </c>
      <c r="H20" s="147" t="s">
        <v>47</v>
      </c>
      <c r="I20" s="147" t="s">
        <v>48</v>
      </c>
      <c r="J20" s="147" t="s">
        <v>49</v>
      </c>
    </row>
    <row r="21" spans="3:10" ht="38.65" thickBot="1" x14ac:dyDescent="0.5">
      <c r="C21" s="137" t="s">
        <v>50</v>
      </c>
      <c r="D21" s="138" t="s">
        <v>51</v>
      </c>
      <c r="E21" s="139">
        <v>0</v>
      </c>
      <c r="F21" s="139">
        <v>1</v>
      </c>
      <c r="G21" s="139">
        <v>2</v>
      </c>
      <c r="H21" s="139">
        <v>3</v>
      </c>
      <c r="I21" s="139">
        <v>4</v>
      </c>
      <c r="J21" s="139">
        <v>5</v>
      </c>
    </row>
    <row r="22" spans="3:10" ht="14.65" thickBot="1" x14ac:dyDescent="0.5">
      <c r="C22" s="126"/>
    </row>
    <row r="23" spans="3:10" ht="14.65" thickBot="1" x14ac:dyDescent="0.5">
      <c r="C23" s="148" t="s">
        <v>99</v>
      </c>
      <c r="D23" s="149" t="s">
        <v>53</v>
      </c>
      <c r="E23" s="149" t="s">
        <v>53</v>
      </c>
      <c r="F23" s="149" t="s">
        <v>54</v>
      </c>
    </row>
    <row r="24" spans="3:10" ht="14.65" thickBot="1" x14ac:dyDescent="0.5">
      <c r="C24" s="150" t="s">
        <v>55</v>
      </c>
      <c r="D24" s="143">
        <v>0</v>
      </c>
      <c r="E24" s="151">
        <v>7000</v>
      </c>
      <c r="F24" s="152">
        <v>0.1</v>
      </c>
    </row>
    <row r="25" spans="3:10" ht="14.65" thickBot="1" x14ac:dyDescent="0.5">
      <c r="C25" s="150" t="s">
        <v>55</v>
      </c>
      <c r="D25" s="143">
        <v>7001</v>
      </c>
      <c r="E25" s="151">
        <v>19000</v>
      </c>
      <c r="F25" s="152">
        <v>0.11</v>
      </c>
    </row>
    <row r="26" spans="3:10" ht="14.65" thickBot="1" x14ac:dyDescent="0.5">
      <c r="C26" s="150" t="s">
        <v>55</v>
      </c>
      <c r="D26" s="151">
        <v>19001</v>
      </c>
      <c r="E26" s="151">
        <v>24000</v>
      </c>
      <c r="F26" s="152">
        <v>0.13</v>
      </c>
    </row>
    <row r="27" spans="3:10" ht="14.65" thickBot="1" x14ac:dyDescent="0.5">
      <c r="C27" s="150" t="s">
        <v>55</v>
      </c>
      <c r="D27" s="151">
        <v>24001</v>
      </c>
      <c r="E27" s="151">
        <v>28000</v>
      </c>
      <c r="F27" s="152">
        <v>0.14000000000000001</v>
      </c>
    </row>
    <row r="28" spans="3:10" ht="14.65" thickBot="1" x14ac:dyDescent="0.5">
      <c r="C28" s="150" t="s">
        <v>55</v>
      </c>
      <c r="D28" s="151">
        <v>28001</v>
      </c>
      <c r="E28" s="151">
        <v>40000</v>
      </c>
      <c r="F28" s="153">
        <v>0.15</v>
      </c>
    </row>
    <row r="29" spans="3:10" ht="14.65" thickBot="1" x14ac:dyDescent="0.5">
      <c r="C29" s="150" t="s">
        <v>55</v>
      </c>
      <c r="D29" s="151">
        <v>40001</v>
      </c>
      <c r="E29" s="151">
        <v>48000</v>
      </c>
      <c r="F29" s="152">
        <v>0.16</v>
      </c>
    </row>
    <row r="30" spans="3:10" ht="14.65" thickBot="1" x14ac:dyDescent="0.5">
      <c r="C30" s="150" t="s">
        <v>55</v>
      </c>
      <c r="D30" s="151">
        <v>48001</v>
      </c>
      <c r="E30" s="151">
        <v>60000</v>
      </c>
      <c r="F30" s="152">
        <v>0.17</v>
      </c>
    </row>
    <row r="31" spans="3:10" ht="14.65" thickBot="1" x14ac:dyDescent="0.5">
      <c r="C31" s="150" t="s">
        <v>55</v>
      </c>
      <c r="D31" s="154">
        <v>60001</v>
      </c>
      <c r="E31" s="155">
        <v>75000</v>
      </c>
      <c r="F31" s="156">
        <v>0.18</v>
      </c>
    </row>
    <row r="32" spans="3:10" ht="14.65" thickBot="1" x14ac:dyDescent="0.5">
      <c r="C32" s="157" t="s">
        <v>55</v>
      </c>
      <c r="D32" s="155">
        <v>75001</v>
      </c>
      <c r="E32" s="155">
        <v>90000</v>
      </c>
      <c r="F32" s="158">
        <v>0.19</v>
      </c>
    </row>
    <row r="33" spans="3:6" ht="14.65" thickBot="1" x14ac:dyDescent="0.5">
      <c r="C33" s="157" t="s">
        <v>55</v>
      </c>
      <c r="D33" s="155">
        <v>90001</v>
      </c>
      <c r="E33" s="154">
        <v>105000</v>
      </c>
      <c r="F33" s="158">
        <v>0.2</v>
      </c>
    </row>
    <row r="34" spans="3:6" ht="14.65" thickBot="1" x14ac:dyDescent="0.5">
      <c r="C34" s="157" t="s">
        <v>55</v>
      </c>
      <c r="D34" s="155">
        <v>105001</v>
      </c>
      <c r="E34" s="155">
        <v>115000</v>
      </c>
      <c r="F34" s="158">
        <v>0.21</v>
      </c>
    </row>
    <row r="35" spans="3:6" ht="14.65" thickBot="1" x14ac:dyDescent="0.5">
      <c r="C35" s="157" t="s">
        <v>55</v>
      </c>
      <c r="D35" s="155">
        <v>115001</v>
      </c>
      <c r="E35" s="155">
        <v>0</v>
      </c>
      <c r="F35" s="158">
        <v>0.22</v>
      </c>
    </row>
  </sheetData>
  <mergeCells count="9">
    <mergeCell ref="I13:I14"/>
    <mergeCell ref="J13:J14"/>
    <mergeCell ref="G4:G7"/>
    <mergeCell ref="D13:D14"/>
    <mergeCell ref="E13:E14"/>
    <mergeCell ref="F13:F14"/>
    <mergeCell ref="G13:G14"/>
    <mergeCell ref="H13:H14"/>
    <mergeCell ref="C9:H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F941-B600-408B-9042-06372767BF64}">
  <sheetPr>
    <tabColor rgb="FF92D050"/>
  </sheetPr>
  <dimension ref="C2:K34"/>
  <sheetViews>
    <sheetView workbookViewId="0">
      <pane xSplit="3" ySplit="3" topLeftCell="D27" activePane="bottomRight" state="frozen"/>
      <selection pane="topRight" activeCell="D1" sqref="D1"/>
      <selection pane="bottomLeft" activeCell="A4" sqref="A4"/>
      <selection pane="bottomRight" activeCell="C3" sqref="C3:J34"/>
    </sheetView>
  </sheetViews>
  <sheetFormatPr defaultRowHeight="14.25" x14ac:dyDescent="0.45"/>
  <cols>
    <col min="3" max="3" width="51.1328125" style="102" customWidth="1"/>
    <col min="4" max="4" width="16.3984375" style="102" customWidth="1"/>
    <col min="5" max="5" width="15.59765625" style="102" customWidth="1"/>
    <col min="6" max="6" width="14.265625" style="102" customWidth="1"/>
    <col min="7" max="7" width="13.86328125" style="102" customWidth="1"/>
    <col min="8" max="8" width="13.1328125" style="102" customWidth="1"/>
    <col min="9" max="9" width="9" style="102" customWidth="1"/>
    <col min="10" max="11" width="8.73046875" style="102"/>
  </cols>
  <sheetData>
    <row r="2" spans="3:10" ht="14.65" thickBot="1" x14ac:dyDescent="0.5"/>
    <row r="3" spans="3:10" ht="36.950000000000003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16</v>
      </c>
      <c r="D4" s="109">
        <v>382736</v>
      </c>
      <c r="E4" s="109">
        <v>184983</v>
      </c>
      <c r="F4" s="109">
        <f>SUM(F5:F7)</f>
        <v>350000</v>
      </c>
      <c r="G4" s="166">
        <f>F4/E4-1</f>
        <v>0.89206575739392258</v>
      </c>
      <c r="H4" s="110"/>
      <c r="I4" s="111"/>
    </row>
    <row r="5" spans="3:10" ht="24.95" customHeight="1" x14ac:dyDescent="0.45">
      <c r="C5" s="112" t="s">
        <v>92</v>
      </c>
      <c r="D5" s="113">
        <v>5377</v>
      </c>
      <c r="E5" s="113">
        <v>-1814</v>
      </c>
      <c r="F5" s="114">
        <v>50000</v>
      </c>
      <c r="G5" s="167"/>
      <c r="H5" s="115">
        <v>0.01</v>
      </c>
      <c r="I5" s="116">
        <v>0.21</v>
      </c>
      <c r="J5" s="129" t="s">
        <v>100</v>
      </c>
    </row>
    <row r="6" spans="3:10" ht="24.95" customHeight="1" x14ac:dyDescent="0.45">
      <c r="C6" s="117" t="s">
        <v>8</v>
      </c>
      <c r="D6" s="114">
        <v>141373</v>
      </c>
      <c r="E6" s="114">
        <v>85983</v>
      </c>
      <c r="F6" s="113">
        <v>150000</v>
      </c>
      <c r="G6" s="167"/>
      <c r="H6" s="115">
        <v>1.4999999999999999E-2</v>
      </c>
      <c r="I6" s="118">
        <v>0.22</v>
      </c>
      <c r="J6" s="129" t="s">
        <v>100</v>
      </c>
    </row>
    <row r="7" spans="3:10" ht="24.95" customHeight="1" thickBot="1" x14ac:dyDescent="0.5">
      <c r="C7" s="119" t="s">
        <v>9</v>
      </c>
      <c r="D7" s="120">
        <v>235986</v>
      </c>
      <c r="E7" s="120">
        <v>100814</v>
      </c>
      <c r="F7" s="120">
        <v>150000</v>
      </c>
      <c r="G7" s="168"/>
      <c r="H7" s="121">
        <v>5.0000000000000001E-3</v>
      </c>
      <c r="I7" s="122"/>
      <c r="J7" s="129" t="s">
        <v>100</v>
      </c>
    </row>
    <row r="8" spans="3:10" ht="26.65" thickBot="1" x14ac:dyDescent="0.5">
      <c r="C8" s="123" t="s">
        <v>105</v>
      </c>
      <c r="D8" s="124"/>
      <c r="E8" s="124"/>
      <c r="F8" s="124"/>
      <c r="G8" s="124"/>
      <c r="H8" s="125"/>
    </row>
    <row r="9" spans="3:10" ht="63" customHeight="1" x14ac:dyDescent="0.45">
      <c r="C9" s="174" t="s">
        <v>106</v>
      </c>
      <c r="D9" s="175"/>
      <c r="E9" s="175"/>
      <c r="F9" s="175"/>
      <c r="G9" s="175"/>
      <c r="H9" s="175"/>
    </row>
    <row r="10" spans="3:10" x14ac:dyDescent="0.45">
      <c r="C10" s="130" t="s">
        <v>107</v>
      </c>
    </row>
    <row r="11" spans="3:10" ht="14.65" thickBot="1" x14ac:dyDescent="0.5">
      <c r="C11" s="126"/>
    </row>
    <row r="12" spans="3:10" x14ac:dyDescent="0.45">
      <c r="C12" s="131" t="s">
        <v>30</v>
      </c>
      <c r="D12" s="181"/>
      <c r="E12" s="179" t="s">
        <v>32</v>
      </c>
      <c r="F12" s="179" t="s">
        <v>33</v>
      </c>
      <c r="G12" s="179" t="s">
        <v>34</v>
      </c>
      <c r="H12" s="179" t="s">
        <v>35</v>
      </c>
      <c r="I12" s="179" t="s">
        <v>36</v>
      </c>
      <c r="J12" s="179" t="s">
        <v>37</v>
      </c>
    </row>
    <row r="13" spans="3:10" ht="14.65" thickBot="1" x14ac:dyDescent="0.5">
      <c r="C13" s="132" t="s">
        <v>31</v>
      </c>
      <c r="D13" s="182"/>
      <c r="E13" s="180"/>
      <c r="F13" s="180"/>
      <c r="G13" s="180"/>
      <c r="H13" s="180"/>
      <c r="I13" s="180"/>
      <c r="J13" s="180"/>
    </row>
    <row r="14" spans="3:10" ht="14.65" thickBot="1" x14ac:dyDescent="0.5">
      <c r="C14" s="133" t="s">
        <v>38</v>
      </c>
      <c r="D14" s="134" t="s">
        <v>39</v>
      </c>
      <c r="E14" s="135">
        <v>6</v>
      </c>
      <c r="F14" s="135">
        <v>6</v>
      </c>
      <c r="G14" s="135">
        <v>6</v>
      </c>
      <c r="H14" s="135">
        <v>6</v>
      </c>
      <c r="I14" s="135">
        <v>6</v>
      </c>
      <c r="J14" s="135">
        <v>6</v>
      </c>
    </row>
    <row r="15" spans="3:10" ht="14.65" thickBot="1" x14ac:dyDescent="0.5">
      <c r="C15" s="136" t="s">
        <v>40</v>
      </c>
      <c r="D15" s="134" t="s">
        <v>39</v>
      </c>
      <c r="E15" s="135">
        <v>1</v>
      </c>
      <c r="F15" s="135">
        <v>1</v>
      </c>
      <c r="G15" s="135">
        <v>1</v>
      </c>
      <c r="H15" s="135">
        <v>1</v>
      </c>
      <c r="I15" s="135">
        <v>1</v>
      </c>
      <c r="J15" s="135">
        <v>1</v>
      </c>
    </row>
    <row r="16" spans="3:10" ht="14.65" thickBot="1" x14ac:dyDescent="0.5">
      <c r="C16" s="137" t="s">
        <v>41</v>
      </c>
      <c r="D16" s="138" t="s">
        <v>39</v>
      </c>
      <c r="E16" s="139">
        <v>0</v>
      </c>
      <c r="F16" s="139">
        <v>9</v>
      </c>
      <c r="G16" s="139">
        <v>10</v>
      </c>
      <c r="H16" s="139">
        <v>11</v>
      </c>
      <c r="I16" s="139">
        <v>12</v>
      </c>
      <c r="J16" s="139">
        <v>13</v>
      </c>
    </row>
    <row r="17" spans="3:10" ht="14.65" thickBot="1" x14ac:dyDescent="0.5">
      <c r="C17" s="140" t="s">
        <v>42</v>
      </c>
      <c r="D17" s="141"/>
      <c r="E17" s="142">
        <f t="shared" ref="E17:J17" si="0">SUM(E14:E16)</f>
        <v>7</v>
      </c>
      <c r="F17" s="143">
        <f t="shared" si="0"/>
        <v>16</v>
      </c>
      <c r="G17" s="143">
        <f t="shared" si="0"/>
        <v>17</v>
      </c>
      <c r="H17" s="143">
        <f t="shared" si="0"/>
        <v>18</v>
      </c>
      <c r="I17" s="143">
        <f t="shared" si="0"/>
        <v>19</v>
      </c>
      <c r="J17" s="143">
        <f t="shared" si="0"/>
        <v>20</v>
      </c>
    </row>
    <row r="18" spans="3:10" ht="14.65" thickBot="1" x14ac:dyDescent="0.5">
      <c r="C18" s="126"/>
    </row>
    <row r="19" spans="3:10" ht="25.9" thickBot="1" x14ac:dyDescent="0.5">
      <c r="C19" s="145" t="s">
        <v>43</v>
      </c>
      <c r="D19" s="146"/>
      <c r="E19" s="147" t="s">
        <v>44</v>
      </c>
      <c r="F19" s="147" t="s">
        <v>45</v>
      </c>
      <c r="G19" s="147" t="s">
        <v>46</v>
      </c>
      <c r="H19" s="147" t="s">
        <v>47</v>
      </c>
      <c r="I19" s="147" t="s">
        <v>48</v>
      </c>
      <c r="J19" s="147" t="s">
        <v>49</v>
      </c>
    </row>
    <row r="20" spans="3:10" ht="25.9" thickBot="1" x14ac:dyDescent="0.5">
      <c r="C20" s="137" t="s">
        <v>50</v>
      </c>
      <c r="D20" s="138" t="s">
        <v>51</v>
      </c>
      <c r="E20" s="139">
        <v>0</v>
      </c>
      <c r="F20" s="139">
        <v>1</v>
      </c>
      <c r="G20" s="139">
        <v>2</v>
      </c>
      <c r="H20" s="139">
        <v>3</v>
      </c>
      <c r="I20" s="139">
        <v>4</v>
      </c>
      <c r="J20" s="139">
        <v>5</v>
      </c>
    </row>
    <row r="21" spans="3:10" ht="14.65" thickBot="1" x14ac:dyDescent="0.5">
      <c r="C21" s="126"/>
    </row>
    <row r="22" spans="3:10" ht="14.65" thickBot="1" x14ac:dyDescent="0.5">
      <c r="C22" s="148" t="s">
        <v>99</v>
      </c>
      <c r="D22" s="149" t="s">
        <v>53</v>
      </c>
      <c r="E22" s="149" t="s">
        <v>53</v>
      </c>
      <c r="F22" s="149" t="s">
        <v>54</v>
      </c>
    </row>
    <row r="23" spans="3:10" ht="14.65" thickBot="1" x14ac:dyDescent="0.5">
      <c r="C23" s="150" t="s">
        <v>55</v>
      </c>
      <c r="D23" s="143">
        <v>0</v>
      </c>
      <c r="E23" s="151">
        <v>7000</v>
      </c>
      <c r="F23" s="152">
        <v>0.1</v>
      </c>
    </row>
    <row r="24" spans="3:10" ht="14.65" thickBot="1" x14ac:dyDescent="0.5">
      <c r="C24" s="150" t="s">
        <v>55</v>
      </c>
      <c r="D24" s="143">
        <v>7001</v>
      </c>
      <c r="E24" s="151">
        <v>19000</v>
      </c>
      <c r="F24" s="152">
        <v>0.11</v>
      </c>
    </row>
    <row r="25" spans="3:10" ht="14.65" thickBot="1" x14ac:dyDescent="0.5">
      <c r="C25" s="150" t="s">
        <v>55</v>
      </c>
      <c r="D25" s="151">
        <v>19001</v>
      </c>
      <c r="E25" s="151">
        <v>24000</v>
      </c>
      <c r="F25" s="152">
        <v>0.13</v>
      </c>
    </row>
    <row r="26" spans="3:10" ht="14.65" thickBot="1" x14ac:dyDescent="0.5">
      <c r="C26" s="150" t="s">
        <v>55</v>
      </c>
      <c r="D26" s="151">
        <v>24001</v>
      </c>
      <c r="E26" s="151">
        <v>28000</v>
      </c>
      <c r="F26" s="152">
        <v>0.14000000000000001</v>
      </c>
    </row>
    <row r="27" spans="3:10" ht="14.65" thickBot="1" x14ac:dyDescent="0.5">
      <c r="C27" s="150" t="s">
        <v>55</v>
      </c>
      <c r="D27" s="151">
        <v>28001</v>
      </c>
      <c r="E27" s="151">
        <v>40000</v>
      </c>
      <c r="F27" s="152">
        <v>0.15</v>
      </c>
    </row>
    <row r="28" spans="3:10" ht="14.65" thickBot="1" x14ac:dyDescent="0.5">
      <c r="C28" s="150" t="s">
        <v>55</v>
      </c>
      <c r="D28" s="151">
        <v>40001</v>
      </c>
      <c r="E28" s="151">
        <v>48000</v>
      </c>
      <c r="F28" s="152">
        <v>0.16</v>
      </c>
    </row>
    <row r="29" spans="3:10" ht="14.65" thickBot="1" x14ac:dyDescent="0.5">
      <c r="C29" s="150" t="s">
        <v>55</v>
      </c>
      <c r="D29" s="151">
        <v>48001</v>
      </c>
      <c r="E29" s="151">
        <v>60000</v>
      </c>
      <c r="F29" s="152">
        <v>0.17</v>
      </c>
    </row>
    <row r="30" spans="3:10" ht="14.65" thickBot="1" x14ac:dyDescent="0.5">
      <c r="C30" s="150" t="s">
        <v>55</v>
      </c>
      <c r="D30" s="154">
        <v>60001</v>
      </c>
      <c r="E30" s="155">
        <v>75000</v>
      </c>
      <c r="F30" s="156">
        <v>0.18</v>
      </c>
    </row>
    <row r="31" spans="3:10" ht="14.65" thickBot="1" x14ac:dyDescent="0.5">
      <c r="C31" s="157" t="s">
        <v>55</v>
      </c>
      <c r="D31" s="155">
        <v>75001</v>
      </c>
      <c r="E31" s="155">
        <v>90000</v>
      </c>
      <c r="F31" s="158">
        <v>0.19</v>
      </c>
    </row>
    <row r="32" spans="3:10" ht="14.65" thickBot="1" x14ac:dyDescent="0.5">
      <c r="C32" s="157" t="s">
        <v>55</v>
      </c>
      <c r="D32" s="155">
        <v>90001</v>
      </c>
      <c r="E32" s="154">
        <v>105000</v>
      </c>
      <c r="F32" s="158">
        <v>0.2</v>
      </c>
    </row>
    <row r="33" spans="3:6" ht="14.65" thickBot="1" x14ac:dyDescent="0.5">
      <c r="C33" s="157" t="s">
        <v>55</v>
      </c>
      <c r="D33" s="155">
        <v>105001</v>
      </c>
      <c r="E33" s="155">
        <v>115000</v>
      </c>
      <c r="F33" s="158">
        <v>0.21</v>
      </c>
    </row>
    <row r="34" spans="3:6" ht="14.65" thickBot="1" x14ac:dyDescent="0.5">
      <c r="C34" s="157" t="s">
        <v>55</v>
      </c>
      <c r="D34" s="155">
        <v>115001</v>
      </c>
      <c r="E34" s="155">
        <v>0</v>
      </c>
      <c r="F34" s="158">
        <v>0.22</v>
      </c>
    </row>
  </sheetData>
  <mergeCells count="9">
    <mergeCell ref="I12:I13"/>
    <mergeCell ref="J12:J13"/>
    <mergeCell ref="G4:G7"/>
    <mergeCell ref="D12:D13"/>
    <mergeCell ref="E12:E13"/>
    <mergeCell ref="F12:F13"/>
    <mergeCell ref="G12:G13"/>
    <mergeCell ref="H12:H13"/>
    <mergeCell ref="C9:H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D307-7986-44FC-B7D7-D228DD3B5586}">
  <sheetPr>
    <tabColor rgb="FF92D050"/>
  </sheetPr>
  <dimension ref="C2:J35"/>
  <sheetViews>
    <sheetView workbookViewId="0">
      <pane xSplit="3" ySplit="3" topLeftCell="D20" activePane="bottomRight" state="frozen"/>
      <selection pane="topRight" activeCell="D1" sqref="D1"/>
      <selection pane="bottomLeft" activeCell="A4" sqref="A4"/>
      <selection pane="bottomRight" activeCell="C3" sqref="C3:K35"/>
    </sheetView>
  </sheetViews>
  <sheetFormatPr defaultRowHeight="14.25" x14ac:dyDescent="0.45"/>
  <cols>
    <col min="3" max="3" width="54.59765625" style="102" customWidth="1"/>
    <col min="4" max="8" width="14.3984375" style="102" customWidth="1"/>
    <col min="9" max="10" width="8.73046875" style="102"/>
  </cols>
  <sheetData>
    <row r="2" spans="3:10" ht="14.65" thickBot="1" x14ac:dyDescent="0.5"/>
    <row r="3" spans="3:10" ht="42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19</v>
      </c>
      <c r="D4" s="109">
        <v>238898</v>
      </c>
      <c r="E4" s="109">
        <v>442043</v>
      </c>
      <c r="F4" s="109">
        <f>SUM(F5:F7)</f>
        <v>600000</v>
      </c>
      <c r="G4" s="166">
        <f>F4/E4-1</f>
        <v>0.35733401501663864</v>
      </c>
      <c r="H4" s="110"/>
      <c r="I4" s="111"/>
    </row>
    <row r="5" spans="3:10" ht="24.95" customHeight="1" x14ac:dyDescent="0.45">
      <c r="C5" s="112" t="s">
        <v>92</v>
      </c>
      <c r="D5" s="113">
        <v>16760</v>
      </c>
      <c r="E5" s="162">
        <v>23314</v>
      </c>
      <c r="F5" s="114">
        <v>50000</v>
      </c>
      <c r="G5" s="167"/>
      <c r="H5" s="115">
        <v>0.01</v>
      </c>
      <c r="I5" s="116">
        <v>0.13</v>
      </c>
    </row>
    <row r="6" spans="3:10" ht="24.95" customHeight="1" x14ac:dyDescent="0.45">
      <c r="C6" s="117" t="s">
        <v>8</v>
      </c>
      <c r="D6" s="114">
        <v>136476</v>
      </c>
      <c r="E6" s="114">
        <v>307394</v>
      </c>
      <c r="F6" s="113">
        <v>400000</v>
      </c>
      <c r="G6" s="167"/>
      <c r="H6" s="115">
        <v>1.4999999999999999E-2</v>
      </c>
      <c r="I6" s="118">
        <v>0.2</v>
      </c>
    </row>
    <row r="7" spans="3:10" ht="24.95" customHeight="1" thickBot="1" x14ac:dyDescent="0.5">
      <c r="C7" s="119" t="s">
        <v>9</v>
      </c>
      <c r="D7" s="120">
        <v>85662</v>
      </c>
      <c r="E7" s="120">
        <v>111828</v>
      </c>
      <c r="F7" s="120">
        <v>150000</v>
      </c>
      <c r="G7" s="168"/>
      <c r="H7" s="121">
        <v>5.0000000000000001E-3</v>
      </c>
      <c r="I7" s="122"/>
      <c r="J7" s="129" t="s">
        <v>100</v>
      </c>
    </row>
    <row r="8" spans="3:10" ht="26.65" thickBot="1" x14ac:dyDescent="0.5">
      <c r="C8" s="123" t="s">
        <v>105</v>
      </c>
      <c r="D8" s="124"/>
      <c r="E8" s="124"/>
      <c r="F8" s="124"/>
      <c r="G8" s="124"/>
      <c r="H8" s="125"/>
    </row>
    <row r="9" spans="3:10" ht="60.75" customHeight="1" x14ac:dyDescent="0.45">
      <c r="C9" s="174" t="s">
        <v>106</v>
      </c>
      <c r="D9" s="175"/>
      <c r="E9" s="175"/>
      <c r="F9" s="175"/>
      <c r="G9" s="175"/>
      <c r="H9" s="175"/>
    </row>
    <row r="11" spans="3:10" x14ac:dyDescent="0.45">
      <c r="C11" s="130" t="s">
        <v>107</v>
      </c>
    </row>
    <row r="12" spans="3:10" ht="14.65" thickBot="1" x14ac:dyDescent="0.5">
      <c r="C12" s="126"/>
    </row>
    <row r="13" spans="3:10" x14ac:dyDescent="0.45">
      <c r="C13" s="131" t="s">
        <v>30</v>
      </c>
      <c r="D13" s="181"/>
      <c r="E13" s="179" t="s">
        <v>32</v>
      </c>
      <c r="F13" s="179" t="s">
        <v>33</v>
      </c>
      <c r="G13" s="179" t="s">
        <v>34</v>
      </c>
      <c r="H13" s="179" t="s">
        <v>35</v>
      </c>
      <c r="I13" s="179" t="s">
        <v>36</v>
      </c>
      <c r="J13" s="179" t="s">
        <v>37</v>
      </c>
    </row>
    <row r="14" spans="3:10" ht="14.65" thickBot="1" x14ac:dyDescent="0.5">
      <c r="C14" s="132" t="s">
        <v>31</v>
      </c>
      <c r="D14" s="182"/>
      <c r="E14" s="180"/>
      <c r="F14" s="180"/>
      <c r="G14" s="180"/>
      <c r="H14" s="180"/>
      <c r="I14" s="180"/>
      <c r="J14" s="180"/>
    </row>
    <row r="15" spans="3:10" ht="14.65" thickBot="1" x14ac:dyDescent="0.5">
      <c r="C15" s="133" t="s">
        <v>38</v>
      </c>
      <c r="D15" s="134" t="s">
        <v>39</v>
      </c>
      <c r="E15" s="135">
        <v>6</v>
      </c>
      <c r="F15" s="135">
        <v>6</v>
      </c>
      <c r="G15" s="135">
        <v>6</v>
      </c>
      <c r="H15" s="135">
        <v>6</v>
      </c>
      <c r="I15" s="135">
        <v>6</v>
      </c>
      <c r="J15" s="135">
        <v>6</v>
      </c>
    </row>
    <row r="16" spans="3:10" ht="14.65" thickBot="1" x14ac:dyDescent="0.5">
      <c r="C16" s="136" t="s">
        <v>40</v>
      </c>
      <c r="D16" s="134" t="s">
        <v>39</v>
      </c>
      <c r="E16" s="135">
        <v>1</v>
      </c>
      <c r="F16" s="135">
        <v>1</v>
      </c>
      <c r="G16" s="135">
        <v>1</v>
      </c>
      <c r="H16" s="135">
        <v>1</v>
      </c>
      <c r="I16" s="135">
        <v>1</v>
      </c>
      <c r="J16" s="135">
        <v>1</v>
      </c>
    </row>
    <row r="17" spans="3:10" ht="14.65" thickBot="1" x14ac:dyDescent="0.5">
      <c r="C17" s="137" t="s">
        <v>41</v>
      </c>
      <c r="D17" s="138" t="s">
        <v>39</v>
      </c>
      <c r="E17" s="139">
        <v>7</v>
      </c>
      <c r="F17" s="139">
        <v>9</v>
      </c>
      <c r="G17" s="139">
        <v>10</v>
      </c>
      <c r="H17" s="139">
        <v>11</v>
      </c>
      <c r="I17" s="139">
        <v>12</v>
      </c>
      <c r="J17" s="139">
        <v>13</v>
      </c>
    </row>
    <row r="18" spans="3:10" ht="14.65" thickBot="1" x14ac:dyDescent="0.5">
      <c r="C18" s="140" t="s">
        <v>42</v>
      </c>
      <c r="D18" s="141"/>
      <c r="E18" s="142">
        <f t="shared" ref="E18:J18" si="0">SUM(E15:E17)</f>
        <v>14</v>
      </c>
      <c r="F18" s="143">
        <f t="shared" si="0"/>
        <v>16</v>
      </c>
      <c r="G18" s="143">
        <f t="shared" si="0"/>
        <v>17</v>
      </c>
      <c r="H18" s="143">
        <f t="shared" si="0"/>
        <v>18</v>
      </c>
      <c r="I18" s="143">
        <f t="shared" si="0"/>
        <v>19</v>
      </c>
      <c r="J18" s="144">
        <f t="shared" si="0"/>
        <v>20</v>
      </c>
    </row>
    <row r="19" spans="3:10" ht="14.65" thickBot="1" x14ac:dyDescent="0.5">
      <c r="C19" s="126"/>
    </row>
    <row r="20" spans="3:10" ht="25.9" thickBot="1" x14ac:dyDescent="0.5">
      <c r="C20" s="145" t="s">
        <v>43</v>
      </c>
      <c r="D20" s="146"/>
      <c r="E20" s="147" t="s">
        <v>44</v>
      </c>
      <c r="F20" s="147" t="s">
        <v>45</v>
      </c>
      <c r="G20" s="147" t="s">
        <v>46</v>
      </c>
      <c r="H20" s="147" t="s">
        <v>47</v>
      </c>
      <c r="I20" s="147" t="s">
        <v>48</v>
      </c>
      <c r="J20" s="147" t="s">
        <v>49</v>
      </c>
    </row>
    <row r="21" spans="3:10" ht="38.65" thickBot="1" x14ac:dyDescent="0.5">
      <c r="C21" s="137" t="s">
        <v>50</v>
      </c>
      <c r="D21" s="138" t="s">
        <v>51</v>
      </c>
      <c r="E21" s="139">
        <v>0</v>
      </c>
      <c r="F21" s="139">
        <v>1</v>
      </c>
      <c r="G21" s="139">
        <v>2</v>
      </c>
      <c r="H21" s="139">
        <v>3</v>
      </c>
      <c r="I21" s="139">
        <v>4</v>
      </c>
      <c r="J21" s="139">
        <v>5</v>
      </c>
    </row>
    <row r="22" spans="3:10" ht="14.65" thickBot="1" x14ac:dyDescent="0.5">
      <c r="C22" s="126"/>
    </row>
    <row r="23" spans="3:10" ht="14.65" thickBot="1" x14ac:dyDescent="0.5">
      <c r="C23" s="148" t="s">
        <v>99</v>
      </c>
      <c r="D23" s="149" t="s">
        <v>53</v>
      </c>
      <c r="E23" s="149" t="s">
        <v>53</v>
      </c>
      <c r="F23" s="149" t="s">
        <v>54</v>
      </c>
    </row>
    <row r="24" spans="3:10" ht="14.65" thickBot="1" x14ac:dyDescent="0.5">
      <c r="C24" s="150" t="s">
        <v>55</v>
      </c>
      <c r="D24" s="143">
        <v>0</v>
      </c>
      <c r="E24" s="151">
        <v>7000</v>
      </c>
      <c r="F24" s="152">
        <v>0.1</v>
      </c>
    </row>
    <row r="25" spans="3:10" ht="14.65" thickBot="1" x14ac:dyDescent="0.5">
      <c r="C25" s="150" t="s">
        <v>55</v>
      </c>
      <c r="D25" s="143">
        <v>7001</v>
      </c>
      <c r="E25" s="151">
        <v>19000</v>
      </c>
      <c r="F25" s="152">
        <v>0.11</v>
      </c>
    </row>
    <row r="26" spans="3:10" ht="14.65" thickBot="1" x14ac:dyDescent="0.5">
      <c r="C26" s="150" t="s">
        <v>55</v>
      </c>
      <c r="D26" s="151">
        <v>19001</v>
      </c>
      <c r="E26" s="151">
        <v>24000</v>
      </c>
      <c r="F26" s="153">
        <v>0.13</v>
      </c>
    </row>
    <row r="27" spans="3:10" ht="14.65" thickBot="1" x14ac:dyDescent="0.5">
      <c r="C27" s="150" t="s">
        <v>55</v>
      </c>
      <c r="D27" s="151">
        <v>24001</v>
      </c>
      <c r="E27" s="151">
        <v>28000</v>
      </c>
      <c r="F27" s="152">
        <v>0.14000000000000001</v>
      </c>
    </row>
    <row r="28" spans="3:10" ht="14.65" thickBot="1" x14ac:dyDescent="0.5">
      <c r="C28" s="150" t="s">
        <v>55</v>
      </c>
      <c r="D28" s="151">
        <v>28001</v>
      </c>
      <c r="E28" s="151">
        <v>40000</v>
      </c>
      <c r="F28" s="152">
        <v>0.15</v>
      </c>
    </row>
    <row r="29" spans="3:10" ht="14.65" thickBot="1" x14ac:dyDescent="0.5">
      <c r="C29" s="150" t="s">
        <v>55</v>
      </c>
      <c r="D29" s="151">
        <v>40001</v>
      </c>
      <c r="E29" s="151">
        <v>48000</v>
      </c>
      <c r="F29" s="152">
        <v>0.16</v>
      </c>
    </row>
    <row r="30" spans="3:10" ht="14.65" thickBot="1" x14ac:dyDescent="0.5">
      <c r="C30" s="150" t="s">
        <v>55</v>
      </c>
      <c r="D30" s="151">
        <v>48001</v>
      </c>
      <c r="E30" s="151">
        <v>60000</v>
      </c>
      <c r="F30" s="152">
        <v>0.17</v>
      </c>
    </row>
    <row r="31" spans="3:10" ht="14.65" thickBot="1" x14ac:dyDescent="0.5">
      <c r="C31" s="150" t="s">
        <v>55</v>
      </c>
      <c r="D31" s="154">
        <v>60001</v>
      </c>
      <c r="E31" s="155">
        <v>75000</v>
      </c>
      <c r="F31" s="156">
        <v>0.18</v>
      </c>
    </row>
    <row r="32" spans="3:10" ht="14.65" thickBot="1" x14ac:dyDescent="0.5">
      <c r="C32" s="157" t="s">
        <v>55</v>
      </c>
      <c r="D32" s="155">
        <v>75001</v>
      </c>
      <c r="E32" s="155">
        <v>90000</v>
      </c>
      <c r="F32" s="158">
        <v>0.19</v>
      </c>
    </row>
    <row r="33" spans="3:6" ht="14.65" thickBot="1" x14ac:dyDescent="0.5">
      <c r="C33" s="157" t="s">
        <v>55</v>
      </c>
      <c r="D33" s="155">
        <v>90001</v>
      </c>
      <c r="E33" s="154">
        <v>105000</v>
      </c>
      <c r="F33" s="158">
        <v>0.2</v>
      </c>
    </row>
    <row r="34" spans="3:6" ht="14.65" thickBot="1" x14ac:dyDescent="0.5">
      <c r="C34" s="157" t="s">
        <v>55</v>
      </c>
      <c r="D34" s="155">
        <v>105001</v>
      </c>
      <c r="E34" s="155">
        <v>115000</v>
      </c>
      <c r="F34" s="158">
        <v>0.21</v>
      </c>
    </row>
    <row r="35" spans="3:6" ht="14.65" thickBot="1" x14ac:dyDescent="0.5">
      <c r="C35" s="157" t="s">
        <v>55</v>
      </c>
      <c r="D35" s="155">
        <v>115001</v>
      </c>
      <c r="E35" s="155">
        <v>0</v>
      </c>
      <c r="F35" s="158">
        <v>0.22</v>
      </c>
    </row>
  </sheetData>
  <mergeCells count="9">
    <mergeCell ref="I13:I14"/>
    <mergeCell ref="J13:J14"/>
    <mergeCell ref="G4:G7"/>
    <mergeCell ref="D13:D14"/>
    <mergeCell ref="E13:E14"/>
    <mergeCell ref="F13:F14"/>
    <mergeCell ref="G13:G14"/>
    <mergeCell ref="H13:H14"/>
    <mergeCell ref="C9:H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E463-0E78-49DF-A50E-7E4656DE192A}">
  <sheetPr>
    <tabColor rgb="FF92D050"/>
  </sheetPr>
  <dimension ref="C2:M35"/>
  <sheetViews>
    <sheetView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C3" sqref="C3:J35"/>
    </sheetView>
  </sheetViews>
  <sheetFormatPr defaultRowHeight="14.25" x14ac:dyDescent="0.45"/>
  <cols>
    <col min="3" max="3" width="51.3984375" style="102" customWidth="1"/>
    <col min="4" max="7" width="13.1328125" style="102" customWidth="1"/>
    <col min="8" max="8" width="14" style="102" customWidth="1"/>
    <col min="9" max="9" width="11.1328125" style="102" customWidth="1"/>
  </cols>
  <sheetData>
    <row r="2" spans="3:13" ht="14.65" thickBot="1" x14ac:dyDescent="0.5"/>
    <row r="3" spans="3:13" ht="45.95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3" ht="24.95" customHeight="1" x14ac:dyDescent="0.45">
      <c r="C4" s="108" t="s">
        <v>17</v>
      </c>
      <c r="D4" s="109">
        <v>358495</v>
      </c>
      <c r="E4" s="109">
        <v>516525</v>
      </c>
      <c r="F4" s="109">
        <f>SUM(F5:F7)</f>
        <v>685000</v>
      </c>
      <c r="G4" s="166">
        <f>F4/E4-1</f>
        <v>0.32617007889259964</v>
      </c>
      <c r="H4" s="110"/>
      <c r="I4" s="111"/>
    </row>
    <row r="5" spans="3:13" ht="24.95" customHeight="1" x14ac:dyDescent="0.45">
      <c r="C5" s="112" t="s">
        <v>92</v>
      </c>
      <c r="D5" s="113">
        <v>25898</v>
      </c>
      <c r="E5" s="162">
        <v>33608</v>
      </c>
      <c r="F5" s="114">
        <v>50000</v>
      </c>
      <c r="G5" s="167"/>
      <c r="H5" s="115">
        <v>0.01</v>
      </c>
      <c r="I5" s="116">
        <v>0.15</v>
      </c>
    </row>
    <row r="6" spans="3:13" ht="24.95" customHeight="1" x14ac:dyDescent="0.45">
      <c r="C6" s="117" t="s">
        <v>8</v>
      </c>
      <c r="D6" s="114">
        <v>26255</v>
      </c>
      <c r="E6" s="114">
        <v>53960</v>
      </c>
      <c r="F6" s="113">
        <v>75000</v>
      </c>
      <c r="G6" s="167"/>
      <c r="H6" s="115">
        <v>1.4999999999999999E-2</v>
      </c>
      <c r="I6" s="118">
        <v>0.16</v>
      </c>
      <c r="M6" s="97"/>
    </row>
    <row r="7" spans="3:13" ht="24.95" customHeight="1" thickBot="1" x14ac:dyDescent="0.5">
      <c r="C7" s="119" t="s">
        <v>9</v>
      </c>
      <c r="D7" s="120">
        <v>306342</v>
      </c>
      <c r="E7" s="120">
        <v>436021</v>
      </c>
      <c r="F7" s="120">
        <v>560000</v>
      </c>
      <c r="G7" s="168"/>
      <c r="H7" s="121">
        <v>5.0000000000000001E-3</v>
      </c>
      <c r="I7" s="122">
        <v>0.05</v>
      </c>
    </row>
    <row r="8" spans="3:13" ht="26.65" thickBot="1" x14ac:dyDescent="0.5">
      <c r="C8" s="123" t="s">
        <v>105</v>
      </c>
      <c r="D8" s="124"/>
      <c r="E8" s="124"/>
      <c r="F8" s="124"/>
      <c r="G8" s="124"/>
      <c r="H8" s="125"/>
    </row>
    <row r="9" spans="3:13" ht="51.75" customHeight="1" x14ac:dyDescent="0.45">
      <c r="C9" s="174" t="s">
        <v>106</v>
      </c>
      <c r="D9" s="175"/>
      <c r="E9" s="175"/>
      <c r="F9" s="175"/>
      <c r="G9" s="175"/>
      <c r="H9" s="175"/>
    </row>
    <row r="11" spans="3:13" x14ac:dyDescent="0.45">
      <c r="C11" s="130" t="s">
        <v>107</v>
      </c>
    </row>
    <row r="12" spans="3:13" ht="14.65" thickBot="1" x14ac:dyDescent="0.5">
      <c r="C12" s="126"/>
    </row>
    <row r="13" spans="3:13" x14ac:dyDescent="0.45">
      <c r="C13" s="131" t="s">
        <v>30</v>
      </c>
      <c r="D13" s="181"/>
      <c r="E13" s="179" t="s">
        <v>32</v>
      </c>
      <c r="F13" s="179" t="s">
        <v>33</v>
      </c>
      <c r="G13" s="179" t="s">
        <v>34</v>
      </c>
      <c r="H13" s="179" t="s">
        <v>35</v>
      </c>
      <c r="I13" s="179" t="s">
        <v>36</v>
      </c>
      <c r="J13" s="186" t="s">
        <v>37</v>
      </c>
    </row>
    <row r="14" spans="3:13" ht="14.65" thickBot="1" x14ac:dyDescent="0.5">
      <c r="C14" s="132" t="s">
        <v>31</v>
      </c>
      <c r="D14" s="182"/>
      <c r="E14" s="180"/>
      <c r="F14" s="180"/>
      <c r="G14" s="180"/>
      <c r="H14" s="180"/>
      <c r="I14" s="180"/>
      <c r="J14" s="187"/>
    </row>
    <row r="15" spans="3:13" ht="14.65" thickBot="1" x14ac:dyDescent="0.5">
      <c r="C15" s="133" t="s">
        <v>38</v>
      </c>
      <c r="D15" s="134" t="s">
        <v>39</v>
      </c>
      <c r="E15" s="135">
        <v>6</v>
      </c>
      <c r="F15" s="135">
        <v>6</v>
      </c>
      <c r="G15" s="135">
        <v>6</v>
      </c>
      <c r="H15" s="135">
        <v>6</v>
      </c>
      <c r="I15" s="135">
        <v>6</v>
      </c>
      <c r="J15" s="49">
        <v>6</v>
      </c>
    </row>
    <row r="16" spans="3:13" ht="14.65" thickBot="1" x14ac:dyDescent="0.5">
      <c r="C16" s="136" t="s">
        <v>40</v>
      </c>
      <c r="D16" s="134" t="s">
        <v>39</v>
      </c>
      <c r="E16" s="135">
        <v>1</v>
      </c>
      <c r="F16" s="135">
        <v>1</v>
      </c>
      <c r="G16" s="135">
        <v>1</v>
      </c>
      <c r="H16" s="135">
        <v>1</v>
      </c>
      <c r="I16" s="135">
        <v>1</v>
      </c>
      <c r="J16" s="49">
        <v>1</v>
      </c>
    </row>
    <row r="17" spans="3:10" ht="14.65" thickBot="1" x14ac:dyDescent="0.5">
      <c r="C17" s="137" t="s">
        <v>41</v>
      </c>
      <c r="D17" s="138" t="s">
        <v>39</v>
      </c>
      <c r="E17" s="139">
        <v>7</v>
      </c>
      <c r="F17" s="139">
        <v>9</v>
      </c>
      <c r="G17" s="139">
        <v>10</v>
      </c>
      <c r="H17" s="139">
        <v>11</v>
      </c>
      <c r="I17" s="139">
        <v>12</v>
      </c>
      <c r="J17" s="53">
        <v>13</v>
      </c>
    </row>
    <row r="18" spans="3:10" ht="14.65" thickBot="1" x14ac:dyDescent="0.5">
      <c r="C18" s="140" t="s">
        <v>42</v>
      </c>
      <c r="D18" s="141"/>
      <c r="E18" s="142">
        <f t="shared" ref="E18:J18" si="0">SUM(E15:E17)</f>
        <v>14</v>
      </c>
      <c r="F18" s="144">
        <f t="shared" si="0"/>
        <v>16</v>
      </c>
      <c r="G18" s="143">
        <f t="shared" si="0"/>
        <v>17</v>
      </c>
      <c r="H18" s="143">
        <f t="shared" si="0"/>
        <v>18</v>
      </c>
      <c r="I18" s="143">
        <f t="shared" si="0"/>
        <v>19</v>
      </c>
      <c r="J18" s="57">
        <f t="shared" si="0"/>
        <v>20</v>
      </c>
    </row>
    <row r="19" spans="3:10" ht="14.65" thickBot="1" x14ac:dyDescent="0.5">
      <c r="C19" s="126"/>
    </row>
    <row r="20" spans="3:10" ht="25.9" thickBot="1" x14ac:dyDescent="0.5">
      <c r="C20" s="145" t="s">
        <v>43</v>
      </c>
      <c r="D20" s="146"/>
      <c r="E20" s="147" t="s">
        <v>44</v>
      </c>
      <c r="F20" s="147" t="s">
        <v>45</v>
      </c>
      <c r="G20" s="147" t="s">
        <v>46</v>
      </c>
      <c r="H20" s="147" t="s">
        <v>47</v>
      </c>
      <c r="I20" s="147" t="s">
        <v>48</v>
      </c>
      <c r="J20" s="60" t="s">
        <v>49</v>
      </c>
    </row>
    <row r="21" spans="3:10" ht="38.65" thickBot="1" x14ac:dyDescent="0.5">
      <c r="C21" s="137" t="s">
        <v>50</v>
      </c>
      <c r="D21" s="138" t="s">
        <v>51</v>
      </c>
      <c r="E21" s="139">
        <v>0</v>
      </c>
      <c r="F21" s="139">
        <v>1</v>
      </c>
      <c r="G21" s="139">
        <v>2</v>
      </c>
      <c r="H21" s="139">
        <v>3</v>
      </c>
      <c r="I21" s="139">
        <v>4</v>
      </c>
      <c r="J21" s="98">
        <v>5</v>
      </c>
    </row>
    <row r="22" spans="3:10" ht="14.65" thickBot="1" x14ac:dyDescent="0.5">
      <c r="C22" s="126"/>
    </row>
    <row r="23" spans="3:10" ht="14.65" thickBot="1" x14ac:dyDescent="0.5">
      <c r="C23" s="148" t="s">
        <v>99</v>
      </c>
      <c r="D23" s="149" t="s">
        <v>53</v>
      </c>
      <c r="E23" s="149" t="s">
        <v>53</v>
      </c>
      <c r="F23" s="149" t="s">
        <v>54</v>
      </c>
    </row>
    <row r="24" spans="3:10" ht="14.65" thickBot="1" x14ac:dyDescent="0.5">
      <c r="C24" s="150" t="s">
        <v>55</v>
      </c>
      <c r="D24" s="143">
        <v>0</v>
      </c>
      <c r="E24" s="151">
        <v>7000</v>
      </c>
      <c r="F24" s="152">
        <v>0.1</v>
      </c>
    </row>
    <row r="25" spans="3:10" ht="14.65" thickBot="1" x14ac:dyDescent="0.5">
      <c r="C25" s="150" t="s">
        <v>55</v>
      </c>
      <c r="D25" s="143">
        <v>7001</v>
      </c>
      <c r="E25" s="151">
        <v>19000</v>
      </c>
      <c r="F25" s="152">
        <v>0.11</v>
      </c>
    </row>
    <row r="26" spans="3:10" ht="14.65" thickBot="1" x14ac:dyDescent="0.5">
      <c r="C26" s="150" t="s">
        <v>55</v>
      </c>
      <c r="D26" s="151">
        <v>19001</v>
      </c>
      <c r="E26" s="151">
        <v>24000</v>
      </c>
      <c r="F26" s="152">
        <v>0.13</v>
      </c>
    </row>
    <row r="27" spans="3:10" ht="14.65" thickBot="1" x14ac:dyDescent="0.5">
      <c r="C27" s="150" t="s">
        <v>55</v>
      </c>
      <c r="D27" s="151">
        <v>24001</v>
      </c>
      <c r="E27" s="151">
        <v>28000</v>
      </c>
      <c r="F27" s="152">
        <v>0.14000000000000001</v>
      </c>
    </row>
    <row r="28" spans="3:10" ht="14.65" thickBot="1" x14ac:dyDescent="0.5">
      <c r="C28" s="150" t="s">
        <v>55</v>
      </c>
      <c r="D28" s="151">
        <v>28001</v>
      </c>
      <c r="E28" s="151">
        <v>40000</v>
      </c>
      <c r="F28" s="153">
        <v>0.15</v>
      </c>
    </row>
    <row r="29" spans="3:10" ht="14.65" thickBot="1" x14ac:dyDescent="0.5">
      <c r="C29" s="150" t="s">
        <v>55</v>
      </c>
      <c r="D29" s="151">
        <v>40001</v>
      </c>
      <c r="E29" s="151">
        <v>48000</v>
      </c>
      <c r="F29" s="152">
        <v>0.16</v>
      </c>
    </row>
    <row r="30" spans="3:10" ht="14.65" thickBot="1" x14ac:dyDescent="0.5">
      <c r="C30" s="150" t="s">
        <v>55</v>
      </c>
      <c r="D30" s="151">
        <v>48001</v>
      </c>
      <c r="E30" s="151">
        <v>60000</v>
      </c>
      <c r="F30" s="152">
        <v>0.17</v>
      </c>
    </row>
    <row r="31" spans="3:10" ht="14.65" thickBot="1" x14ac:dyDescent="0.5">
      <c r="C31" s="150" t="s">
        <v>55</v>
      </c>
      <c r="D31" s="154">
        <v>60001</v>
      </c>
      <c r="E31" s="155">
        <v>75000</v>
      </c>
      <c r="F31" s="156">
        <v>0.18</v>
      </c>
    </row>
    <row r="32" spans="3:10" ht="14.65" thickBot="1" x14ac:dyDescent="0.5">
      <c r="C32" s="157" t="s">
        <v>55</v>
      </c>
      <c r="D32" s="155">
        <v>75001</v>
      </c>
      <c r="E32" s="155">
        <v>90000</v>
      </c>
      <c r="F32" s="158">
        <v>0.19</v>
      </c>
    </row>
    <row r="33" spans="3:6" ht="14.65" thickBot="1" x14ac:dyDescent="0.5">
      <c r="C33" s="157" t="s">
        <v>55</v>
      </c>
      <c r="D33" s="155">
        <v>90001</v>
      </c>
      <c r="E33" s="154">
        <v>105000</v>
      </c>
      <c r="F33" s="158">
        <v>0.2</v>
      </c>
    </row>
    <row r="34" spans="3:6" ht="14.65" thickBot="1" x14ac:dyDescent="0.5">
      <c r="C34" s="157" t="s">
        <v>55</v>
      </c>
      <c r="D34" s="155">
        <v>105001</v>
      </c>
      <c r="E34" s="155">
        <v>115000</v>
      </c>
      <c r="F34" s="158">
        <v>0.21</v>
      </c>
    </row>
    <row r="35" spans="3:6" ht="14.65" thickBot="1" x14ac:dyDescent="0.5">
      <c r="C35" s="157" t="s">
        <v>55</v>
      </c>
      <c r="D35" s="155">
        <v>115001</v>
      </c>
      <c r="E35" s="155">
        <v>0</v>
      </c>
      <c r="F35" s="158">
        <v>0.22</v>
      </c>
    </row>
  </sheetData>
  <mergeCells count="9">
    <mergeCell ref="I13:I14"/>
    <mergeCell ref="J13:J14"/>
    <mergeCell ref="G4:G7"/>
    <mergeCell ref="D13:D14"/>
    <mergeCell ref="E13:E14"/>
    <mergeCell ref="F13:F14"/>
    <mergeCell ref="G13:G14"/>
    <mergeCell ref="H13:H14"/>
    <mergeCell ref="C9:H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449A-3D2B-44EE-9E32-1C54EB4BB133}">
  <sheetPr>
    <tabColor rgb="FF92D050"/>
  </sheetPr>
  <dimension ref="C2:N35"/>
  <sheetViews>
    <sheetView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C3" sqref="C3:J35"/>
    </sheetView>
  </sheetViews>
  <sheetFormatPr defaultRowHeight="14.25" x14ac:dyDescent="0.45"/>
  <cols>
    <col min="3" max="3" width="58.1328125" style="102" customWidth="1"/>
    <col min="4" max="8" width="10.86328125" style="102" customWidth="1"/>
    <col min="9" max="14" width="8.73046875" style="102"/>
  </cols>
  <sheetData>
    <row r="2" spans="3:12" ht="14.65" thickBot="1" x14ac:dyDescent="0.5"/>
    <row r="3" spans="3:12" ht="48.95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2" ht="24.95" customHeight="1" x14ac:dyDescent="0.45">
      <c r="C4" s="108" t="s">
        <v>20</v>
      </c>
      <c r="D4" s="109">
        <v>176093</v>
      </c>
      <c r="E4" s="109">
        <v>115940</v>
      </c>
      <c r="F4" s="109">
        <f>SUM(F5:F7)</f>
        <v>205000</v>
      </c>
      <c r="G4" s="166">
        <f>F4/E4-1</f>
        <v>0.76815594272899768</v>
      </c>
      <c r="H4" s="110"/>
      <c r="I4" s="111"/>
    </row>
    <row r="5" spans="3:12" ht="24.95" customHeight="1" x14ac:dyDescent="0.45">
      <c r="C5" s="112" t="s">
        <v>92</v>
      </c>
      <c r="D5" s="113">
        <v>6887</v>
      </c>
      <c r="E5" s="113">
        <v>3788</v>
      </c>
      <c r="F5" s="114">
        <v>0</v>
      </c>
      <c r="G5" s="167"/>
      <c r="H5" s="115">
        <v>0.01</v>
      </c>
      <c r="I5" s="116">
        <v>0.1</v>
      </c>
    </row>
    <row r="6" spans="3:12" ht="24.95" customHeight="1" x14ac:dyDescent="0.45">
      <c r="C6" s="117" t="s">
        <v>8</v>
      </c>
      <c r="D6" s="114">
        <v>31297</v>
      </c>
      <c r="E6" s="114"/>
      <c r="F6" s="113">
        <v>75000</v>
      </c>
      <c r="G6" s="167"/>
      <c r="H6" s="115">
        <v>1.4999999999999999E-2</v>
      </c>
      <c r="I6" s="118">
        <v>0.16</v>
      </c>
      <c r="L6" s="163"/>
    </row>
    <row r="7" spans="3:12" ht="24.95" customHeight="1" thickBot="1" x14ac:dyDescent="0.5">
      <c r="C7" s="119" t="s">
        <v>9</v>
      </c>
      <c r="D7" s="120">
        <v>137909</v>
      </c>
      <c r="E7" s="120">
        <v>112152</v>
      </c>
      <c r="F7" s="120">
        <v>130000</v>
      </c>
      <c r="G7" s="168"/>
      <c r="H7" s="121">
        <v>5.0000000000000001E-3</v>
      </c>
      <c r="I7" s="122"/>
    </row>
    <row r="8" spans="3:12" ht="26.65" thickBot="1" x14ac:dyDescent="0.5">
      <c r="C8" s="123" t="s">
        <v>105</v>
      </c>
      <c r="D8" s="124"/>
      <c r="E8" s="124"/>
      <c r="F8" s="124"/>
      <c r="G8" s="124"/>
      <c r="H8" s="125"/>
    </row>
    <row r="9" spans="3:12" ht="48.75" customHeight="1" x14ac:dyDescent="0.45">
      <c r="C9" s="174" t="s">
        <v>106</v>
      </c>
      <c r="D9" s="175"/>
      <c r="E9" s="175"/>
      <c r="F9" s="175"/>
      <c r="G9" s="175"/>
      <c r="H9" s="175"/>
    </row>
    <row r="11" spans="3:12" x14ac:dyDescent="0.45">
      <c r="C11" s="130" t="s">
        <v>107</v>
      </c>
    </row>
    <row r="12" spans="3:12" ht="14.65" thickBot="1" x14ac:dyDescent="0.5">
      <c r="C12" s="126"/>
    </row>
    <row r="13" spans="3:12" x14ac:dyDescent="0.45">
      <c r="C13" s="131" t="s">
        <v>30</v>
      </c>
      <c r="D13" s="181"/>
      <c r="E13" s="179" t="s">
        <v>32</v>
      </c>
      <c r="F13" s="179" t="s">
        <v>33</v>
      </c>
      <c r="G13" s="179" t="s">
        <v>34</v>
      </c>
      <c r="H13" s="179" t="s">
        <v>35</v>
      </c>
      <c r="I13" s="179" t="s">
        <v>36</v>
      </c>
      <c r="J13" s="179" t="s">
        <v>37</v>
      </c>
    </row>
    <row r="14" spans="3:12" ht="14.65" thickBot="1" x14ac:dyDescent="0.5">
      <c r="C14" s="132" t="s">
        <v>31</v>
      </c>
      <c r="D14" s="182"/>
      <c r="E14" s="180"/>
      <c r="F14" s="180"/>
      <c r="G14" s="180"/>
      <c r="H14" s="180"/>
      <c r="I14" s="180"/>
      <c r="J14" s="180"/>
    </row>
    <row r="15" spans="3:12" ht="14.65" thickBot="1" x14ac:dyDescent="0.5">
      <c r="C15" s="133" t="s">
        <v>38</v>
      </c>
      <c r="D15" s="134" t="s">
        <v>39</v>
      </c>
      <c r="E15" s="135">
        <v>6</v>
      </c>
      <c r="F15" s="135">
        <v>6</v>
      </c>
      <c r="G15" s="135">
        <v>6</v>
      </c>
      <c r="H15" s="135">
        <v>6</v>
      </c>
      <c r="I15" s="135">
        <v>6</v>
      </c>
      <c r="J15" s="135">
        <v>6</v>
      </c>
    </row>
    <row r="16" spans="3:12" ht="14.65" thickBot="1" x14ac:dyDescent="0.5">
      <c r="C16" s="136" t="s">
        <v>40</v>
      </c>
      <c r="D16" s="134" t="s">
        <v>39</v>
      </c>
      <c r="E16" s="135">
        <v>1</v>
      </c>
      <c r="F16" s="135">
        <v>1</v>
      </c>
      <c r="G16" s="135">
        <v>1</v>
      </c>
      <c r="H16" s="135">
        <v>1</v>
      </c>
      <c r="I16" s="135">
        <v>1</v>
      </c>
      <c r="J16" s="135">
        <v>1</v>
      </c>
    </row>
    <row r="17" spans="3:10" ht="14.65" thickBot="1" x14ac:dyDescent="0.5">
      <c r="C17" s="137" t="s">
        <v>41</v>
      </c>
      <c r="D17" s="138" t="s">
        <v>39</v>
      </c>
      <c r="E17" s="139">
        <v>7</v>
      </c>
      <c r="F17" s="139">
        <v>9</v>
      </c>
      <c r="G17" s="139">
        <v>10</v>
      </c>
      <c r="H17" s="139">
        <v>11</v>
      </c>
      <c r="I17" s="139">
        <v>12</v>
      </c>
      <c r="J17" s="139">
        <v>13</v>
      </c>
    </row>
    <row r="18" spans="3:10" ht="14.65" thickBot="1" x14ac:dyDescent="0.5">
      <c r="C18" s="140" t="s">
        <v>42</v>
      </c>
      <c r="D18" s="141"/>
      <c r="E18" s="142">
        <f t="shared" ref="E18:J18" si="0">SUM(E15:E17)</f>
        <v>14</v>
      </c>
      <c r="F18" s="143">
        <f t="shared" si="0"/>
        <v>16</v>
      </c>
      <c r="G18" s="143">
        <f t="shared" si="0"/>
        <v>17</v>
      </c>
      <c r="H18" s="143">
        <f t="shared" si="0"/>
        <v>18</v>
      </c>
      <c r="I18" s="143">
        <f t="shared" si="0"/>
        <v>19</v>
      </c>
      <c r="J18" s="143">
        <f t="shared" si="0"/>
        <v>20</v>
      </c>
    </row>
    <row r="19" spans="3:10" ht="14.65" thickBot="1" x14ac:dyDescent="0.5">
      <c r="C19" s="126"/>
    </row>
    <row r="20" spans="3:10" ht="25.9" thickBot="1" x14ac:dyDescent="0.5">
      <c r="C20" s="145" t="s">
        <v>43</v>
      </c>
      <c r="D20" s="146"/>
      <c r="E20" s="147" t="s">
        <v>44</v>
      </c>
      <c r="F20" s="147" t="s">
        <v>45</v>
      </c>
      <c r="G20" s="147" t="s">
        <v>46</v>
      </c>
      <c r="H20" s="147" t="s">
        <v>47</v>
      </c>
      <c r="I20" s="147" t="s">
        <v>48</v>
      </c>
      <c r="J20" s="147" t="s">
        <v>49</v>
      </c>
    </row>
    <row r="21" spans="3:10" ht="35.1" customHeight="1" thickBot="1" x14ac:dyDescent="0.5">
      <c r="C21" s="137" t="s">
        <v>50</v>
      </c>
      <c r="D21" s="138" t="s">
        <v>51</v>
      </c>
      <c r="E21" s="139">
        <v>0</v>
      </c>
      <c r="F21" s="139">
        <v>1</v>
      </c>
      <c r="G21" s="139">
        <v>2</v>
      </c>
      <c r="H21" s="139">
        <v>3</v>
      </c>
      <c r="I21" s="139">
        <v>4</v>
      </c>
      <c r="J21" s="139">
        <v>5</v>
      </c>
    </row>
    <row r="22" spans="3:10" ht="14.65" thickBot="1" x14ac:dyDescent="0.5">
      <c r="C22" s="126"/>
    </row>
    <row r="23" spans="3:10" ht="14.65" thickBot="1" x14ac:dyDescent="0.5">
      <c r="C23" s="148" t="s">
        <v>99</v>
      </c>
      <c r="D23" s="149" t="s">
        <v>53</v>
      </c>
      <c r="E23" s="149" t="s">
        <v>53</v>
      </c>
      <c r="F23" s="149" t="s">
        <v>54</v>
      </c>
    </row>
    <row r="24" spans="3:10" ht="14.65" thickBot="1" x14ac:dyDescent="0.5">
      <c r="C24" s="150" t="s">
        <v>55</v>
      </c>
      <c r="D24" s="143">
        <v>0</v>
      </c>
      <c r="E24" s="151">
        <v>7000</v>
      </c>
      <c r="F24" s="152">
        <v>0.1</v>
      </c>
    </row>
    <row r="25" spans="3:10" ht="14.65" thickBot="1" x14ac:dyDescent="0.5">
      <c r="C25" s="150" t="s">
        <v>55</v>
      </c>
      <c r="D25" s="143">
        <v>7001</v>
      </c>
      <c r="E25" s="151">
        <v>19000</v>
      </c>
      <c r="F25" s="152">
        <v>0.11</v>
      </c>
    </row>
    <row r="26" spans="3:10" ht="14.65" thickBot="1" x14ac:dyDescent="0.5">
      <c r="C26" s="150" t="s">
        <v>55</v>
      </c>
      <c r="D26" s="151">
        <v>19001</v>
      </c>
      <c r="E26" s="151">
        <v>24000</v>
      </c>
      <c r="F26" s="152">
        <v>0.13</v>
      </c>
    </row>
    <row r="27" spans="3:10" ht="14.65" thickBot="1" x14ac:dyDescent="0.5">
      <c r="C27" s="150" t="s">
        <v>55</v>
      </c>
      <c r="D27" s="151">
        <v>24001</v>
      </c>
      <c r="E27" s="151">
        <v>28000</v>
      </c>
      <c r="F27" s="152">
        <v>0.14000000000000001</v>
      </c>
    </row>
    <row r="28" spans="3:10" ht="14.65" thickBot="1" x14ac:dyDescent="0.5">
      <c r="C28" s="150" t="s">
        <v>55</v>
      </c>
      <c r="D28" s="151">
        <v>28001</v>
      </c>
      <c r="E28" s="151">
        <v>40000</v>
      </c>
      <c r="F28" s="152">
        <v>0.15</v>
      </c>
    </row>
    <row r="29" spans="3:10" ht="14.65" thickBot="1" x14ac:dyDescent="0.5">
      <c r="C29" s="150" t="s">
        <v>55</v>
      </c>
      <c r="D29" s="151">
        <v>40001</v>
      </c>
      <c r="E29" s="151">
        <v>48000</v>
      </c>
      <c r="F29" s="152">
        <v>0.16</v>
      </c>
    </row>
    <row r="30" spans="3:10" ht="14.65" thickBot="1" x14ac:dyDescent="0.5">
      <c r="C30" s="150" t="s">
        <v>55</v>
      </c>
      <c r="D30" s="151">
        <v>48001</v>
      </c>
      <c r="E30" s="151">
        <v>60000</v>
      </c>
      <c r="F30" s="152">
        <v>0.17</v>
      </c>
    </row>
    <row r="31" spans="3:10" ht="14.65" thickBot="1" x14ac:dyDescent="0.5">
      <c r="C31" s="150" t="s">
        <v>55</v>
      </c>
      <c r="D31" s="154">
        <v>60001</v>
      </c>
      <c r="E31" s="155">
        <v>75000</v>
      </c>
      <c r="F31" s="156">
        <v>0.18</v>
      </c>
    </row>
    <row r="32" spans="3:10" ht="14.65" thickBot="1" x14ac:dyDescent="0.5">
      <c r="C32" s="157" t="s">
        <v>55</v>
      </c>
      <c r="D32" s="155">
        <v>75001</v>
      </c>
      <c r="E32" s="155">
        <v>90000</v>
      </c>
      <c r="F32" s="158">
        <v>0.19</v>
      </c>
    </row>
    <row r="33" spans="3:6" ht="14.65" thickBot="1" x14ac:dyDescent="0.5">
      <c r="C33" s="157" t="s">
        <v>55</v>
      </c>
      <c r="D33" s="155">
        <v>90001</v>
      </c>
      <c r="E33" s="154">
        <v>105000</v>
      </c>
      <c r="F33" s="158">
        <v>0.2</v>
      </c>
    </row>
    <row r="34" spans="3:6" ht="14.65" thickBot="1" x14ac:dyDescent="0.5">
      <c r="C34" s="157" t="s">
        <v>55</v>
      </c>
      <c r="D34" s="155">
        <v>105001</v>
      </c>
      <c r="E34" s="155">
        <v>115000</v>
      </c>
      <c r="F34" s="158">
        <v>0.21</v>
      </c>
    </row>
    <row r="35" spans="3:6" ht="14.65" thickBot="1" x14ac:dyDescent="0.5">
      <c r="C35" s="157" t="s">
        <v>55</v>
      </c>
      <c r="D35" s="155">
        <v>115001</v>
      </c>
      <c r="E35" s="155">
        <v>0</v>
      </c>
      <c r="F35" s="158">
        <v>0.22</v>
      </c>
    </row>
  </sheetData>
  <mergeCells count="9">
    <mergeCell ref="I13:I14"/>
    <mergeCell ref="J13:J14"/>
    <mergeCell ref="G4:G7"/>
    <mergeCell ref="D13:D14"/>
    <mergeCell ref="E13:E14"/>
    <mergeCell ref="F13:F14"/>
    <mergeCell ref="G13:G14"/>
    <mergeCell ref="H13:H14"/>
    <mergeCell ref="C9:H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1638-05D1-49C0-ACEF-90A4ACBD2A51}">
  <dimension ref="C2:J31"/>
  <sheetViews>
    <sheetView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H27" sqref="H27"/>
    </sheetView>
  </sheetViews>
  <sheetFormatPr defaultRowHeight="14.25" x14ac:dyDescent="0.45"/>
  <cols>
    <col min="3" max="3" width="56.1328125" customWidth="1"/>
    <col min="4" max="4" width="16.3984375" customWidth="1"/>
    <col min="5" max="5" width="15.59765625" customWidth="1"/>
    <col min="6" max="6" width="14.265625" customWidth="1"/>
    <col min="7" max="7" width="14.59765625" customWidth="1"/>
    <col min="8" max="9" width="16.59765625" customWidth="1"/>
  </cols>
  <sheetData>
    <row r="2" spans="3:10" ht="14.65" thickBot="1" x14ac:dyDescent="0.5"/>
    <row r="3" spans="3:10" ht="28.5" customHeight="1" thickBot="1" x14ac:dyDescent="0.5">
      <c r="C3" s="32" t="s">
        <v>0</v>
      </c>
      <c r="D3" s="33" t="s">
        <v>1</v>
      </c>
      <c r="E3" s="33" t="s">
        <v>2</v>
      </c>
      <c r="F3" s="33" t="s">
        <v>3</v>
      </c>
      <c r="G3" s="34" t="s">
        <v>4</v>
      </c>
      <c r="H3" s="35" t="s">
        <v>27</v>
      </c>
    </row>
    <row r="4" spans="3:10" ht="24.95" customHeight="1" x14ac:dyDescent="0.45">
      <c r="C4" s="19" t="s">
        <v>21</v>
      </c>
      <c r="D4" s="20">
        <v>275045.50999999995</v>
      </c>
      <c r="E4" s="20">
        <v>162908.81999999995</v>
      </c>
      <c r="F4" s="20">
        <f>E6*3</f>
        <v>338375.4599999999</v>
      </c>
      <c r="G4" s="176">
        <f>F4/E4-1</f>
        <v>1.0770849607774462</v>
      </c>
      <c r="H4" s="21"/>
    </row>
    <row r="5" spans="3:10" ht="24.95" customHeight="1" x14ac:dyDescent="0.45">
      <c r="C5" s="22" t="s">
        <v>8</v>
      </c>
      <c r="D5" s="7"/>
      <c r="E5" s="7">
        <v>50117</v>
      </c>
      <c r="F5" s="10"/>
      <c r="G5" s="177"/>
      <c r="H5" s="23">
        <v>0.16</v>
      </c>
    </row>
    <row r="6" spans="3:10" ht="24.95" customHeight="1" thickBot="1" x14ac:dyDescent="0.5">
      <c r="C6" s="36" t="s">
        <v>9</v>
      </c>
      <c r="D6" s="37">
        <v>275045.50999999995</v>
      </c>
      <c r="E6" s="37">
        <v>112791.81999999996</v>
      </c>
      <c r="F6" s="38">
        <f>E6*3</f>
        <v>338375.4599999999</v>
      </c>
      <c r="G6" s="177"/>
      <c r="H6" s="39"/>
    </row>
    <row r="7" spans="3:10" ht="16.149999999999999" thickBot="1" x14ac:dyDescent="0.5">
      <c r="C7" s="40" t="s">
        <v>28</v>
      </c>
      <c r="D7" s="41"/>
      <c r="E7" s="41"/>
      <c r="F7" s="41"/>
      <c r="G7" s="41"/>
      <c r="H7" s="42"/>
    </row>
    <row r="8" spans="3:10" ht="15.75" x14ac:dyDescent="0.45">
      <c r="C8" s="190" t="s">
        <v>89</v>
      </c>
      <c r="D8" s="191"/>
      <c r="E8" s="191"/>
      <c r="F8" s="191"/>
      <c r="G8" s="191"/>
      <c r="H8" s="191"/>
    </row>
    <row r="10" spans="3:10" ht="15.4" x14ac:dyDescent="0.45">
      <c r="C10" s="43" t="s">
        <v>29</v>
      </c>
    </row>
    <row r="11" spans="3:10" ht="18" thickBot="1" x14ac:dyDescent="0.5">
      <c r="C11" s="44"/>
    </row>
    <row r="12" spans="3:10" x14ac:dyDescent="0.45">
      <c r="C12" s="45" t="s">
        <v>30</v>
      </c>
      <c r="D12" s="188"/>
      <c r="E12" s="186" t="s">
        <v>32</v>
      </c>
      <c r="F12" s="186" t="s">
        <v>33</v>
      </c>
      <c r="G12" s="186" t="s">
        <v>34</v>
      </c>
      <c r="H12" s="186" t="s">
        <v>35</v>
      </c>
      <c r="I12" s="186" t="s">
        <v>36</v>
      </c>
      <c r="J12" s="186" t="s">
        <v>37</v>
      </c>
    </row>
    <row r="13" spans="3:10" ht="14.65" thickBot="1" x14ac:dyDescent="0.5">
      <c r="C13" s="46" t="s">
        <v>31</v>
      </c>
      <c r="D13" s="189"/>
      <c r="E13" s="187"/>
      <c r="F13" s="187"/>
      <c r="G13" s="187"/>
      <c r="H13" s="187"/>
      <c r="I13" s="187"/>
      <c r="J13" s="187"/>
    </row>
    <row r="14" spans="3:10" ht="14.65" thickBot="1" x14ac:dyDescent="0.5">
      <c r="C14" s="47" t="s">
        <v>38</v>
      </c>
      <c r="D14" s="48" t="s">
        <v>39</v>
      </c>
      <c r="E14" s="49">
        <v>6</v>
      </c>
      <c r="F14" s="49">
        <v>6</v>
      </c>
      <c r="G14" s="49">
        <v>6</v>
      </c>
      <c r="H14" s="49">
        <v>6</v>
      </c>
      <c r="I14" s="49">
        <v>6</v>
      </c>
      <c r="J14" s="49">
        <v>6</v>
      </c>
    </row>
    <row r="15" spans="3:10" ht="14.65" thickBot="1" x14ac:dyDescent="0.5">
      <c r="C15" s="50" t="s">
        <v>40</v>
      </c>
      <c r="D15" s="48" t="s">
        <v>39</v>
      </c>
      <c r="E15" s="49">
        <v>1</v>
      </c>
      <c r="F15" s="49">
        <v>1</v>
      </c>
      <c r="G15" s="49">
        <v>1</v>
      </c>
      <c r="H15" s="49">
        <v>1</v>
      </c>
      <c r="I15" s="49">
        <v>1</v>
      </c>
      <c r="J15" s="49">
        <v>1</v>
      </c>
    </row>
    <row r="16" spans="3:10" ht="14.65" thickBot="1" x14ac:dyDescent="0.5">
      <c r="C16" s="51" t="s">
        <v>41</v>
      </c>
      <c r="D16" s="52" t="s">
        <v>39</v>
      </c>
      <c r="E16" s="53">
        <v>0</v>
      </c>
      <c r="F16" s="53">
        <v>9</v>
      </c>
      <c r="G16" s="53">
        <v>10</v>
      </c>
      <c r="H16" s="53">
        <v>11</v>
      </c>
      <c r="I16" s="53">
        <v>12</v>
      </c>
      <c r="J16" s="53">
        <v>13</v>
      </c>
    </row>
    <row r="17" spans="3:10" ht="14.65" thickBot="1" x14ac:dyDescent="0.5">
      <c r="C17" s="54" t="s">
        <v>42</v>
      </c>
      <c r="D17" s="55"/>
      <c r="E17" s="56">
        <v>14</v>
      </c>
      <c r="F17" s="57">
        <v>16</v>
      </c>
      <c r="G17" s="57">
        <v>17</v>
      </c>
      <c r="H17" s="57">
        <v>18</v>
      </c>
      <c r="I17" s="57">
        <v>19</v>
      </c>
      <c r="J17" s="57">
        <v>20</v>
      </c>
    </row>
    <row r="18" spans="3:10" ht="18" thickBot="1" x14ac:dyDescent="0.5">
      <c r="C18" s="44"/>
    </row>
    <row r="19" spans="3:10" ht="23.65" thickBot="1" x14ac:dyDescent="0.5">
      <c r="C19" s="58" t="s">
        <v>43</v>
      </c>
      <c r="D19" s="59"/>
      <c r="E19" s="60" t="s">
        <v>44</v>
      </c>
      <c r="F19" s="60" t="s">
        <v>45</v>
      </c>
      <c r="G19" s="60" t="s">
        <v>46</v>
      </c>
      <c r="H19" s="60" t="s">
        <v>47</v>
      </c>
      <c r="I19" s="60" t="s">
        <v>48</v>
      </c>
      <c r="J19" s="60" t="s">
        <v>49</v>
      </c>
    </row>
    <row r="20" spans="3:10" ht="23.65" thickBot="1" x14ac:dyDescent="0.5">
      <c r="C20" s="51" t="s">
        <v>50</v>
      </c>
      <c r="D20" s="52" t="s">
        <v>51</v>
      </c>
      <c r="E20" s="53">
        <v>0</v>
      </c>
      <c r="F20" s="53">
        <v>1</v>
      </c>
      <c r="G20" s="53">
        <v>2</v>
      </c>
      <c r="H20" s="53">
        <v>3</v>
      </c>
      <c r="I20" s="53">
        <v>4</v>
      </c>
      <c r="J20" s="53">
        <v>5</v>
      </c>
    </row>
    <row r="21" spans="3:10" ht="18" thickBot="1" x14ac:dyDescent="0.5">
      <c r="C21" s="44"/>
    </row>
    <row r="22" spans="3:10" ht="14.65" thickBot="1" x14ac:dyDescent="0.5">
      <c r="C22" s="61" t="s">
        <v>52</v>
      </c>
      <c r="D22" s="62" t="s">
        <v>53</v>
      </c>
      <c r="E22" s="62" t="s">
        <v>53</v>
      </c>
      <c r="F22" s="62" t="s">
        <v>54</v>
      </c>
    </row>
    <row r="23" spans="3:10" ht="14.65" thickBot="1" x14ac:dyDescent="0.5">
      <c r="C23" s="63" t="s">
        <v>55</v>
      </c>
      <c r="D23" s="57">
        <v>0</v>
      </c>
      <c r="E23" s="64">
        <v>1625</v>
      </c>
      <c r="F23" s="65">
        <v>0.05</v>
      </c>
    </row>
    <row r="24" spans="3:10" ht="14.65" thickBot="1" x14ac:dyDescent="0.5">
      <c r="C24" s="63" t="s">
        <v>55</v>
      </c>
      <c r="D24" s="64">
        <v>1625</v>
      </c>
      <c r="E24" s="64">
        <v>4375</v>
      </c>
      <c r="F24" s="65">
        <v>7.0000000000000007E-2</v>
      </c>
    </row>
    <row r="25" spans="3:10" ht="14.65" thickBot="1" x14ac:dyDescent="0.5">
      <c r="C25" s="63" t="s">
        <v>55</v>
      </c>
      <c r="D25" s="64">
        <v>4375</v>
      </c>
      <c r="E25" s="64">
        <v>8750</v>
      </c>
      <c r="F25" s="65">
        <v>0.09</v>
      </c>
    </row>
    <row r="26" spans="3:10" ht="14.65" thickBot="1" x14ac:dyDescent="0.5">
      <c r="C26" s="63" t="s">
        <v>55</v>
      </c>
      <c r="D26" s="64">
        <v>8750</v>
      </c>
      <c r="E26" s="64">
        <v>16875</v>
      </c>
      <c r="F26" s="65">
        <v>0.11</v>
      </c>
    </row>
    <row r="27" spans="3:10" ht="14.65" thickBot="1" x14ac:dyDescent="0.5">
      <c r="C27" s="63" t="s">
        <v>55</v>
      </c>
      <c r="D27" s="64">
        <v>16875</v>
      </c>
      <c r="E27" s="64">
        <v>33125</v>
      </c>
      <c r="F27" s="65">
        <v>0.13</v>
      </c>
    </row>
    <row r="28" spans="3:10" ht="14.65" thickBot="1" x14ac:dyDescent="0.5">
      <c r="C28" s="63" t="s">
        <v>55</v>
      </c>
      <c r="D28" s="64">
        <v>33125</v>
      </c>
      <c r="E28" s="64">
        <v>50000</v>
      </c>
      <c r="F28" s="65">
        <v>0.15</v>
      </c>
    </row>
    <row r="29" spans="3:10" ht="14.65" thickBot="1" x14ac:dyDescent="0.5">
      <c r="C29" s="63" t="s">
        <v>55</v>
      </c>
      <c r="D29" s="64">
        <v>50000</v>
      </c>
      <c r="E29" s="64">
        <v>87500</v>
      </c>
      <c r="F29" s="65">
        <v>0.17</v>
      </c>
    </row>
    <row r="30" spans="3:10" ht="14.65" thickBot="1" x14ac:dyDescent="0.5">
      <c r="C30" s="63" t="s">
        <v>55</v>
      </c>
      <c r="D30" s="64">
        <v>87500</v>
      </c>
      <c r="E30" s="57">
        <v>0</v>
      </c>
      <c r="F30" s="65">
        <v>0.19</v>
      </c>
    </row>
    <row r="31" spans="3:10" ht="17.649999999999999" x14ac:dyDescent="0.45">
      <c r="C31" s="44"/>
    </row>
  </sheetData>
  <mergeCells count="9">
    <mergeCell ref="I12:I13"/>
    <mergeCell ref="J12:J13"/>
    <mergeCell ref="G4:G6"/>
    <mergeCell ref="D12:D13"/>
    <mergeCell ref="E12:E13"/>
    <mergeCell ref="F12:F13"/>
    <mergeCell ref="G12:G13"/>
    <mergeCell ref="H12:H13"/>
    <mergeCell ref="C8:H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D555-772B-44B7-BFA5-72D975208662}">
  <dimension ref="C2:J32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C9" sqref="C9:H9"/>
    </sheetView>
  </sheetViews>
  <sheetFormatPr defaultRowHeight="14.25" x14ac:dyDescent="0.45"/>
  <cols>
    <col min="3" max="3" width="52.86328125" customWidth="1"/>
    <col min="4" max="4" width="16.3984375" customWidth="1"/>
    <col min="5" max="5" width="15.59765625" customWidth="1"/>
    <col min="6" max="6" width="14.265625" customWidth="1"/>
    <col min="7" max="7" width="19" customWidth="1"/>
    <col min="8" max="8" width="15.59765625" customWidth="1"/>
  </cols>
  <sheetData>
    <row r="2" spans="3:10" ht="14.65" thickBot="1" x14ac:dyDescent="0.5"/>
    <row r="3" spans="3:10" ht="28.5" customHeight="1" thickBot="1" x14ac:dyDescent="0.5">
      <c r="C3" s="32" t="s">
        <v>0</v>
      </c>
      <c r="D3" s="33" t="s">
        <v>1</v>
      </c>
      <c r="E3" s="33" t="s">
        <v>2</v>
      </c>
      <c r="F3" s="33" t="s">
        <v>3</v>
      </c>
      <c r="G3" s="34" t="s">
        <v>4</v>
      </c>
      <c r="H3" s="35" t="s">
        <v>27</v>
      </c>
    </row>
    <row r="4" spans="3:10" ht="24.95" customHeight="1" x14ac:dyDescent="0.45">
      <c r="C4" s="19" t="s">
        <v>22</v>
      </c>
      <c r="D4" s="20">
        <v>66798.840000000011</v>
      </c>
      <c r="E4" s="20">
        <v>57870.029999999984</v>
      </c>
      <c r="F4" s="20">
        <v>75000</v>
      </c>
      <c r="G4" s="176">
        <f>F4/E4-1</f>
        <v>0.29600762259843338</v>
      </c>
      <c r="H4" s="21"/>
    </row>
    <row r="5" spans="3:10" ht="24.95" customHeight="1" x14ac:dyDescent="0.45">
      <c r="C5" s="22" t="s">
        <v>7</v>
      </c>
      <c r="D5" s="7">
        <v>10809.45</v>
      </c>
      <c r="E5" s="7">
        <v>2367.3599999999997</v>
      </c>
      <c r="F5" s="10">
        <f>F4*E5/E4</f>
        <v>3068.1166054346268</v>
      </c>
      <c r="G5" s="177"/>
      <c r="H5" s="23">
        <v>0.1</v>
      </c>
    </row>
    <row r="6" spans="3:10" ht="24.95" customHeight="1" x14ac:dyDescent="0.45">
      <c r="C6" s="24" t="s">
        <v>8</v>
      </c>
      <c r="D6" s="10"/>
      <c r="E6" s="10">
        <v>4573.84</v>
      </c>
      <c r="F6" s="7">
        <f>F4*E6/E4</f>
        <v>5927.7315045456189</v>
      </c>
      <c r="G6" s="177"/>
      <c r="H6" s="25">
        <v>0.16</v>
      </c>
    </row>
    <row r="7" spans="3:10" ht="24.95" customHeight="1" thickBot="1" x14ac:dyDescent="0.5">
      <c r="C7" s="29" t="s">
        <v>9</v>
      </c>
      <c r="D7" s="30">
        <v>55989.390000000007</v>
      </c>
      <c r="E7" s="30">
        <v>50928.829999999994</v>
      </c>
      <c r="F7" s="30">
        <f>F4*E7/E4</f>
        <v>66004.15189001977</v>
      </c>
      <c r="G7" s="178"/>
      <c r="H7" s="31"/>
    </row>
    <row r="8" spans="3:10" ht="16.149999999999999" thickBot="1" x14ac:dyDescent="0.5">
      <c r="C8" s="26" t="s">
        <v>28</v>
      </c>
      <c r="D8" s="27"/>
      <c r="E8" s="27"/>
      <c r="F8" s="27"/>
      <c r="G8" s="27"/>
      <c r="H8" s="28"/>
    </row>
    <row r="9" spans="3:10" ht="15.75" x14ac:dyDescent="0.45">
      <c r="C9" s="190" t="s">
        <v>89</v>
      </c>
      <c r="D9" s="191"/>
      <c r="E9" s="191"/>
      <c r="F9" s="191"/>
      <c r="G9" s="191"/>
      <c r="H9" s="191"/>
    </row>
    <row r="11" spans="3:10" ht="15.4" x14ac:dyDescent="0.45">
      <c r="C11" s="43" t="s">
        <v>29</v>
      </c>
    </row>
    <row r="12" spans="3:10" ht="18" thickBot="1" x14ac:dyDescent="0.5">
      <c r="C12" s="44"/>
    </row>
    <row r="13" spans="3:10" x14ac:dyDescent="0.45">
      <c r="C13" s="45" t="s">
        <v>30</v>
      </c>
      <c r="D13" s="188"/>
      <c r="E13" s="186" t="s">
        <v>32</v>
      </c>
      <c r="F13" s="186" t="s">
        <v>33</v>
      </c>
      <c r="G13" s="186" t="s">
        <v>34</v>
      </c>
      <c r="H13" s="186" t="s">
        <v>35</v>
      </c>
      <c r="I13" s="186" t="s">
        <v>36</v>
      </c>
      <c r="J13" s="186" t="s">
        <v>37</v>
      </c>
    </row>
    <row r="14" spans="3:10" ht="14.65" thickBot="1" x14ac:dyDescent="0.5">
      <c r="C14" s="46" t="s">
        <v>31</v>
      </c>
      <c r="D14" s="189"/>
      <c r="E14" s="187"/>
      <c r="F14" s="187"/>
      <c r="G14" s="187"/>
      <c r="H14" s="187"/>
      <c r="I14" s="187"/>
      <c r="J14" s="187"/>
    </row>
    <row r="15" spans="3:10" ht="14.65" thickBot="1" x14ac:dyDescent="0.5">
      <c r="C15" s="47" t="s">
        <v>38</v>
      </c>
      <c r="D15" s="48" t="s">
        <v>39</v>
      </c>
      <c r="E15" s="49">
        <v>6</v>
      </c>
      <c r="F15" s="49">
        <v>6</v>
      </c>
      <c r="G15" s="49">
        <v>6</v>
      </c>
      <c r="H15" s="49">
        <v>6</v>
      </c>
      <c r="I15" s="49">
        <v>6</v>
      </c>
      <c r="J15" s="49">
        <v>6</v>
      </c>
    </row>
    <row r="16" spans="3:10" ht="14.65" thickBot="1" x14ac:dyDescent="0.5">
      <c r="C16" s="50" t="s">
        <v>40</v>
      </c>
      <c r="D16" s="48" t="s">
        <v>39</v>
      </c>
      <c r="E16" s="49">
        <v>1</v>
      </c>
      <c r="F16" s="49">
        <v>1</v>
      </c>
      <c r="G16" s="49">
        <v>1</v>
      </c>
      <c r="H16" s="49">
        <v>1</v>
      </c>
      <c r="I16" s="49">
        <v>1</v>
      </c>
      <c r="J16" s="49">
        <v>1</v>
      </c>
    </row>
    <row r="17" spans="3:10" ht="14.65" thickBot="1" x14ac:dyDescent="0.5">
      <c r="C17" s="51" t="s">
        <v>41</v>
      </c>
      <c r="D17" s="52" t="s">
        <v>39</v>
      </c>
      <c r="E17" s="53">
        <v>0</v>
      </c>
      <c r="F17" s="53">
        <v>9</v>
      </c>
      <c r="G17" s="53">
        <v>10</v>
      </c>
      <c r="H17" s="53">
        <v>11</v>
      </c>
      <c r="I17" s="53">
        <v>12</v>
      </c>
      <c r="J17" s="53">
        <v>13</v>
      </c>
    </row>
    <row r="18" spans="3:10" ht="14.65" thickBot="1" x14ac:dyDescent="0.5">
      <c r="C18" s="54" t="s">
        <v>42</v>
      </c>
      <c r="D18" s="55"/>
      <c r="E18" s="56">
        <v>14</v>
      </c>
      <c r="F18" s="57">
        <v>16</v>
      </c>
      <c r="G18" s="57">
        <v>17</v>
      </c>
      <c r="H18" s="57">
        <v>18</v>
      </c>
      <c r="I18" s="57">
        <v>19</v>
      </c>
      <c r="J18" s="57">
        <v>20</v>
      </c>
    </row>
    <row r="19" spans="3:10" ht="18" thickBot="1" x14ac:dyDescent="0.5">
      <c r="C19" s="44"/>
    </row>
    <row r="20" spans="3:10" ht="23.65" thickBot="1" x14ac:dyDescent="0.5">
      <c r="C20" s="58" t="s">
        <v>43</v>
      </c>
      <c r="D20" s="59"/>
      <c r="E20" s="60" t="s">
        <v>44</v>
      </c>
      <c r="F20" s="60" t="s">
        <v>45</v>
      </c>
      <c r="G20" s="60" t="s">
        <v>46</v>
      </c>
      <c r="H20" s="60" t="s">
        <v>47</v>
      </c>
      <c r="I20" s="60" t="s">
        <v>48</v>
      </c>
      <c r="J20" s="60" t="s">
        <v>49</v>
      </c>
    </row>
    <row r="21" spans="3:10" ht="23.65" thickBot="1" x14ac:dyDescent="0.5">
      <c r="C21" s="51" t="s">
        <v>50</v>
      </c>
      <c r="D21" s="52" t="s">
        <v>51</v>
      </c>
      <c r="E21" s="53">
        <v>0</v>
      </c>
      <c r="F21" s="53">
        <v>1</v>
      </c>
      <c r="G21" s="53">
        <v>2</v>
      </c>
      <c r="H21" s="53">
        <v>3</v>
      </c>
      <c r="I21" s="53">
        <v>4</v>
      </c>
      <c r="J21" s="53">
        <v>5</v>
      </c>
    </row>
    <row r="22" spans="3:10" ht="18" thickBot="1" x14ac:dyDescent="0.5">
      <c r="C22" s="44"/>
    </row>
    <row r="23" spans="3:10" ht="14.65" thickBot="1" x14ac:dyDescent="0.5">
      <c r="C23" s="61" t="s">
        <v>52</v>
      </c>
      <c r="D23" s="62" t="s">
        <v>53</v>
      </c>
      <c r="E23" s="62" t="s">
        <v>53</v>
      </c>
      <c r="F23" s="62" t="s">
        <v>54</v>
      </c>
    </row>
    <row r="24" spans="3:10" ht="14.65" thickBot="1" x14ac:dyDescent="0.5">
      <c r="C24" s="63" t="s">
        <v>55</v>
      </c>
      <c r="D24" s="57">
        <v>0</v>
      </c>
      <c r="E24" s="64">
        <v>1625</v>
      </c>
      <c r="F24" s="65">
        <v>0.05</v>
      </c>
    </row>
    <row r="25" spans="3:10" ht="14.65" thickBot="1" x14ac:dyDescent="0.5">
      <c r="C25" s="63" t="s">
        <v>55</v>
      </c>
      <c r="D25" s="64">
        <v>1625</v>
      </c>
      <c r="E25" s="64">
        <v>4375</v>
      </c>
      <c r="F25" s="65">
        <v>7.0000000000000007E-2</v>
      </c>
    </row>
    <row r="26" spans="3:10" ht="14.65" thickBot="1" x14ac:dyDescent="0.5">
      <c r="C26" s="63" t="s">
        <v>55</v>
      </c>
      <c r="D26" s="64">
        <v>4375</v>
      </c>
      <c r="E26" s="64">
        <v>8750</v>
      </c>
      <c r="F26" s="65">
        <v>0.09</v>
      </c>
    </row>
    <row r="27" spans="3:10" ht="14.65" thickBot="1" x14ac:dyDescent="0.5">
      <c r="C27" s="63" t="s">
        <v>55</v>
      </c>
      <c r="D27" s="64">
        <v>8750</v>
      </c>
      <c r="E27" s="64">
        <v>16875</v>
      </c>
      <c r="F27" s="65">
        <v>0.11</v>
      </c>
    </row>
    <row r="28" spans="3:10" ht="14.65" thickBot="1" x14ac:dyDescent="0.5">
      <c r="C28" s="63" t="s">
        <v>55</v>
      </c>
      <c r="D28" s="64">
        <v>16875</v>
      </c>
      <c r="E28" s="64">
        <v>33125</v>
      </c>
      <c r="F28" s="65">
        <v>0.13</v>
      </c>
    </row>
    <row r="29" spans="3:10" ht="14.65" thickBot="1" x14ac:dyDescent="0.5">
      <c r="C29" s="63" t="s">
        <v>55</v>
      </c>
      <c r="D29" s="64">
        <v>33125</v>
      </c>
      <c r="E29" s="64">
        <v>50000</v>
      </c>
      <c r="F29" s="65">
        <v>0.15</v>
      </c>
    </row>
    <row r="30" spans="3:10" ht="14.65" thickBot="1" x14ac:dyDescent="0.5">
      <c r="C30" s="63" t="s">
        <v>55</v>
      </c>
      <c r="D30" s="64">
        <v>50000</v>
      </c>
      <c r="E30" s="64">
        <v>87500</v>
      </c>
      <c r="F30" s="65">
        <v>0.17</v>
      </c>
    </row>
    <row r="31" spans="3:10" ht="14.65" thickBot="1" x14ac:dyDescent="0.5">
      <c r="C31" s="63" t="s">
        <v>55</v>
      </c>
      <c r="D31" s="64">
        <v>87500</v>
      </c>
      <c r="E31" s="57">
        <v>0</v>
      </c>
      <c r="F31" s="65">
        <v>0.19</v>
      </c>
    </row>
    <row r="32" spans="3:10" ht="17.649999999999999" x14ac:dyDescent="0.45">
      <c r="C32" s="44"/>
    </row>
  </sheetData>
  <mergeCells count="9">
    <mergeCell ref="I13:I14"/>
    <mergeCell ref="J13:J14"/>
    <mergeCell ref="G4:G7"/>
    <mergeCell ref="D13:D14"/>
    <mergeCell ref="E13:E14"/>
    <mergeCell ref="F13:F14"/>
    <mergeCell ref="G13:G14"/>
    <mergeCell ref="H13:H14"/>
    <mergeCell ref="C9:H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7553-89D4-47FB-89D6-BD7043314B58}">
  <dimension ref="C2:J31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C8" sqref="C8:H8"/>
    </sheetView>
  </sheetViews>
  <sheetFormatPr defaultRowHeight="14.25" x14ac:dyDescent="0.45"/>
  <cols>
    <col min="3" max="3" width="52.86328125" customWidth="1"/>
    <col min="4" max="4" width="16.3984375" customWidth="1"/>
    <col min="5" max="5" width="15.59765625" customWidth="1"/>
    <col min="6" max="6" width="14.265625" customWidth="1"/>
    <col min="7" max="7" width="17.265625" customWidth="1"/>
    <col min="8" max="8" width="16" customWidth="1"/>
  </cols>
  <sheetData>
    <row r="2" spans="3:10" ht="14.65" thickBot="1" x14ac:dyDescent="0.5"/>
    <row r="3" spans="3:10" ht="28.5" customHeight="1" thickBot="1" x14ac:dyDescent="0.5">
      <c r="C3" s="32" t="s">
        <v>0</v>
      </c>
      <c r="D3" s="33" t="s">
        <v>1</v>
      </c>
      <c r="E3" s="33" t="s">
        <v>2</v>
      </c>
      <c r="F3" s="33" t="s">
        <v>3</v>
      </c>
      <c r="G3" s="34" t="s">
        <v>4</v>
      </c>
      <c r="H3" s="35" t="s">
        <v>27</v>
      </c>
    </row>
    <row r="4" spans="3:10" ht="24.95" customHeight="1" x14ac:dyDescent="0.45">
      <c r="C4" s="19" t="s">
        <v>24</v>
      </c>
      <c r="D4" s="20">
        <v>37122.21</v>
      </c>
      <c r="E4" s="20">
        <v>33756</v>
      </c>
      <c r="F4" s="20">
        <v>75000</v>
      </c>
      <c r="G4" s="176">
        <f>F4/E4-1</f>
        <v>1.2218272307145397</v>
      </c>
      <c r="H4" s="21"/>
    </row>
    <row r="5" spans="3:10" ht="24.95" customHeight="1" x14ac:dyDescent="0.45">
      <c r="C5" s="22" t="s">
        <v>8</v>
      </c>
      <c r="D5" s="7">
        <v>36733</v>
      </c>
      <c r="E5" s="7">
        <v>33756</v>
      </c>
      <c r="F5" s="10">
        <v>75000</v>
      </c>
      <c r="G5" s="177"/>
      <c r="H5" s="23">
        <v>0.16</v>
      </c>
    </row>
    <row r="6" spans="3:10" ht="24.95" customHeight="1" thickBot="1" x14ac:dyDescent="0.5">
      <c r="C6" s="36" t="s">
        <v>9</v>
      </c>
      <c r="D6" s="37">
        <v>389.21</v>
      </c>
      <c r="E6" s="37"/>
      <c r="F6" s="38"/>
      <c r="G6" s="177"/>
      <c r="H6" s="39"/>
    </row>
    <row r="7" spans="3:10" ht="16.149999999999999" thickBot="1" x14ac:dyDescent="0.5">
      <c r="C7" s="40" t="s">
        <v>28</v>
      </c>
      <c r="D7" s="41"/>
      <c r="E7" s="41"/>
      <c r="F7" s="41"/>
      <c r="G7" s="41"/>
      <c r="H7" s="42"/>
    </row>
    <row r="8" spans="3:10" ht="15.75" x14ac:dyDescent="0.45">
      <c r="C8" s="190" t="s">
        <v>89</v>
      </c>
      <c r="D8" s="191"/>
      <c r="E8" s="191"/>
      <c r="F8" s="191"/>
      <c r="G8" s="191"/>
      <c r="H8" s="191"/>
    </row>
    <row r="10" spans="3:10" ht="15.4" x14ac:dyDescent="0.45">
      <c r="C10" s="43" t="s">
        <v>29</v>
      </c>
    </row>
    <row r="11" spans="3:10" ht="18" thickBot="1" x14ac:dyDescent="0.5">
      <c r="C11" s="44"/>
    </row>
    <row r="12" spans="3:10" x14ac:dyDescent="0.45">
      <c r="C12" s="45" t="s">
        <v>30</v>
      </c>
      <c r="D12" s="188"/>
      <c r="E12" s="186" t="s">
        <v>32</v>
      </c>
      <c r="F12" s="186" t="s">
        <v>33</v>
      </c>
      <c r="G12" s="186" t="s">
        <v>34</v>
      </c>
      <c r="H12" s="186" t="s">
        <v>35</v>
      </c>
      <c r="I12" s="186" t="s">
        <v>36</v>
      </c>
      <c r="J12" s="186" t="s">
        <v>37</v>
      </c>
    </row>
    <row r="13" spans="3:10" ht="14.65" thickBot="1" x14ac:dyDescent="0.5">
      <c r="C13" s="46" t="s">
        <v>31</v>
      </c>
      <c r="D13" s="189"/>
      <c r="E13" s="187"/>
      <c r="F13" s="187"/>
      <c r="G13" s="187"/>
      <c r="H13" s="187"/>
      <c r="I13" s="187"/>
      <c r="J13" s="187"/>
    </row>
    <row r="14" spans="3:10" ht="14.65" thickBot="1" x14ac:dyDescent="0.5">
      <c r="C14" s="47" t="s">
        <v>38</v>
      </c>
      <c r="D14" s="48" t="s">
        <v>39</v>
      </c>
      <c r="E14" s="49">
        <v>6</v>
      </c>
      <c r="F14" s="49">
        <v>6</v>
      </c>
      <c r="G14" s="49">
        <v>6</v>
      </c>
      <c r="H14" s="49">
        <v>6</v>
      </c>
      <c r="I14" s="49">
        <v>6</v>
      </c>
      <c r="J14" s="49">
        <v>6</v>
      </c>
    </row>
    <row r="15" spans="3:10" ht="14.65" thickBot="1" x14ac:dyDescent="0.5">
      <c r="C15" s="50" t="s">
        <v>40</v>
      </c>
      <c r="D15" s="48" t="s">
        <v>39</v>
      </c>
      <c r="E15" s="49">
        <v>1</v>
      </c>
      <c r="F15" s="49">
        <v>1</v>
      </c>
      <c r="G15" s="49">
        <v>1</v>
      </c>
      <c r="H15" s="49">
        <v>1</v>
      </c>
      <c r="I15" s="49">
        <v>1</v>
      </c>
      <c r="J15" s="49">
        <v>1</v>
      </c>
    </row>
    <row r="16" spans="3:10" ht="14.65" thickBot="1" x14ac:dyDescent="0.5">
      <c r="C16" s="51" t="s">
        <v>41</v>
      </c>
      <c r="D16" s="52" t="s">
        <v>39</v>
      </c>
      <c r="E16" s="53">
        <v>0</v>
      </c>
      <c r="F16" s="53">
        <v>9</v>
      </c>
      <c r="G16" s="53">
        <v>10</v>
      </c>
      <c r="H16" s="53">
        <v>11</v>
      </c>
      <c r="I16" s="53">
        <v>12</v>
      </c>
      <c r="J16" s="53">
        <v>13</v>
      </c>
    </row>
    <row r="17" spans="3:10" ht="14.65" thickBot="1" x14ac:dyDescent="0.5">
      <c r="C17" s="54" t="s">
        <v>42</v>
      </c>
      <c r="D17" s="55"/>
      <c r="E17" s="56">
        <v>14</v>
      </c>
      <c r="F17" s="57">
        <v>16</v>
      </c>
      <c r="G17" s="57">
        <v>17</v>
      </c>
      <c r="H17" s="57">
        <v>18</v>
      </c>
      <c r="I17" s="57">
        <v>19</v>
      </c>
      <c r="J17" s="57">
        <v>20</v>
      </c>
    </row>
    <row r="18" spans="3:10" ht="18" thickBot="1" x14ac:dyDescent="0.5">
      <c r="C18" s="44"/>
    </row>
    <row r="19" spans="3:10" ht="23.65" thickBot="1" x14ac:dyDescent="0.5">
      <c r="C19" s="58" t="s">
        <v>43</v>
      </c>
      <c r="D19" s="59"/>
      <c r="E19" s="60" t="s">
        <v>44</v>
      </c>
      <c r="F19" s="60" t="s">
        <v>45</v>
      </c>
      <c r="G19" s="60" t="s">
        <v>46</v>
      </c>
      <c r="H19" s="60" t="s">
        <v>47</v>
      </c>
      <c r="I19" s="60" t="s">
        <v>48</v>
      </c>
      <c r="J19" s="60" t="s">
        <v>49</v>
      </c>
    </row>
    <row r="20" spans="3:10" ht="23.65" thickBot="1" x14ac:dyDescent="0.5">
      <c r="C20" s="51" t="s">
        <v>50</v>
      </c>
      <c r="D20" s="52" t="s">
        <v>51</v>
      </c>
      <c r="E20" s="53">
        <v>0</v>
      </c>
      <c r="F20" s="53">
        <v>1</v>
      </c>
      <c r="G20" s="53">
        <v>2</v>
      </c>
      <c r="H20" s="53">
        <v>3</v>
      </c>
      <c r="I20" s="53">
        <v>4</v>
      </c>
      <c r="J20" s="53">
        <v>5</v>
      </c>
    </row>
    <row r="21" spans="3:10" ht="18" thickBot="1" x14ac:dyDescent="0.5">
      <c r="C21" s="44"/>
    </row>
    <row r="22" spans="3:10" ht="14.65" thickBot="1" x14ac:dyDescent="0.5">
      <c r="C22" s="61" t="s">
        <v>52</v>
      </c>
      <c r="D22" s="62" t="s">
        <v>53</v>
      </c>
      <c r="E22" s="62" t="s">
        <v>53</v>
      </c>
      <c r="F22" s="62" t="s">
        <v>54</v>
      </c>
    </row>
    <row r="23" spans="3:10" ht="14.65" thickBot="1" x14ac:dyDescent="0.5">
      <c r="C23" s="63" t="s">
        <v>55</v>
      </c>
      <c r="D23" s="57">
        <v>0</v>
      </c>
      <c r="E23" s="64">
        <v>1625</v>
      </c>
      <c r="F23" s="65">
        <v>0.05</v>
      </c>
    </row>
    <row r="24" spans="3:10" ht="14.65" thickBot="1" x14ac:dyDescent="0.5">
      <c r="C24" s="63" t="s">
        <v>55</v>
      </c>
      <c r="D24" s="64">
        <v>1625</v>
      </c>
      <c r="E24" s="64">
        <v>4375</v>
      </c>
      <c r="F24" s="65">
        <v>7.0000000000000007E-2</v>
      </c>
    </row>
    <row r="25" spans="3:10" ht="14.65" thickBot="1" x14ac:dyDescent="0.5">
      <c r="C25" s="63" t="s">
        <v>55</v>
      </c>
      <c r="D25" s="64">
        <v>4375</v>
      </c>
      <c r="E25" s="64">
        <v>8750</v>
      </c>
      <c r="F25" s="65">
        <v>0.09</v>
      </c>
    </row>
    <row r="26" spans="3:10" ht="14.65" thickBot="1" x14ac:dyDescent="0.5">
      <c r="C26" s="63" t="s">
        <v>55</v>
      </c>
      <c r="D26" s="64">
        <v>8750</v>
      </c>
      <c r="E26" s="64">
        <v>16875</v>
      </c>
      <c r="F26" s="65">
        <v>0.11</v>
      </c>
    </row>
    <row r="27" spans="3:10" ht="14.65" thickBot="1" x14ac:dyDescent="0.5">
      <c r="C27" s="63" t="s">
        <v>55</v>
      </c>
      <c r="D27" s="64">
        <v>16875</v>
      </c>
      <c r="E27" s="64">
        <v>33125</v>
      </c>
      <c r="F27" s="65">
        <v>0.13</v>
      </c>
    </row>
    <row r="28" spans="3:10" ht="14.65" thickBot="1" x14ac:dyDescent="0.5">
      <c r="C28" s="63" t="s">
        <v>55</v>
      </c>
      <c r="D28" s="64">
        <v>33125</v>
      </c>
      <c r="E28" s="64">
        <v>50000</v>
      </c>
      <c r="F28" s="65">
        <v>0.15</v>
      </c>
    </row>
    <row r="29" spans="3:10" ht="14.65" thickBot="1" x14ac:dyDescent="0.5">
      <c r="C29" s="63" t="s">
        <v>55</v>
      </c>
      <c r="D29" s="64">
        <v>50000</v>
      </c>
      <c r="E29" s="64">
        <v>87500</v>
      </c>
      <c r="F29" s="65">
        <v>0.17</v>
      </c>
    </row>
    <row r="30" spans="3:10" ht="14.65" thickBot="1" x14ac:dyDescent="0.5">
      <c r="C30" s="63" t="s">
        <v>55</v>
      </c>
      <c r="D30" s="64">
        <v>87500</v>
      </c>
      <c r="E30" s="57">
        <v>0</v>
      </c>
      <c r="F30" s="65">
        <v>0.19</v>
      </c>
    </row>
    <row r="31" spans="3:10" ht="17.649999999999999" x14ac:dyDescent="0.45">
      <c r="C31" s="44"/>
    </row>
  </sheetData>
  <mergeCells count="9">
    <mergeCell ref="I12:I13"/>
    <mergeCell ref="J12:J13"/>
    <mergeCell ref="G4:G6"/>
    <mergeCell ref="D12:D13"/>
    <mergeCell ref="E12:E13"/>
    <mergeCell ref="F12:F13"/>
    <mergeCell ref="G12:G13"/>
    <mergeCell ref="H12:H13"/>
    <mergeCell ref="C8:H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4093-73E0-4B08-B069-5D03A25A1FC2}">
  <sheetPr>
    <tabColor rgb="FF92D050"/>
  </sheetPr>
  <dimension ref="C2:J35"/>
  <sheetViews>
    <sheetView zoomScale="85" zoomScaleNormal="85" workbookViewId="0">
      <pane xSplit="3" ySplit="3" topLeftCell="D20" activePane="bottomRight" state="frozen"/>
      <selection pane="topRight" activeCell="D1" sqref="D1"/>
      <selection pane="bottomLeft" activeCell="A4" sqref="A4"/>
      <selection pane="bottomRight" activeCell="C3" sqref="C3:J35"/>
    </sheetView>
  </sheetViews>
  <sheetFormatPr defaultRowHeight="14.25" x14ac:dyDescent="0.45"/>
  <cols>
    <col min="3" max="3" width="51.1328125" style="102" customWidth="1"/>
    <col min="4" max="4" width="12.1328125" style="102" customWidth="1"/>
    <col min="5" max="7" width="11.265625" style="102" customWidth="1"/>
    <col min="8" max="8" width="15" style="102" customWidth="1"/>
    <col min="9" max="10" width="11.265625" style="102" customWidth="1"/>
  </cols>
  <sheetData>
    <row r="2" spans="3:10" ht="14.65" thickBot="1" x14ac:dyDescent="0.5"/>
    <row r="3" spans="3:10" ht="44.1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23</v>
      </c>
      <c r="D4" s="109">
        <v>48597</v>
      </c>
      <c r="E4" s="109">
        <v>58272</v>
      </c>
      <c r="F4" s="109">
        <f>SUM(F5:F7)</f>
        <v>150000</v>
      </c>
      <c r="G4" s="166">
        <f>F4/E4-1</f>
        <v>1.574135090609555</v>
      </c>
      <c r="H4" s="110"/>
      <c r="I4" s="111"/>
    </row>
    <row r="5" spans="3:10" ht="24.95" customHeight="1" x14ac:dyDescent="0.45">
      <c r="C5" s="112" t="s">
        <v>92</v>
      </c>
      <c r="D5" s="113">
        <v>3147</v>
      </c>
      <c r="E5" s="113">
        <v>5453</v>
      </c>
      <c r="F5" s="114">
        <v>0</v>
      </c>
      <c r="G5" s="167"/>
      <c r="H5" s="115">
        <v>0.01</v>
      </c>
      <c r="I5" s="116">
        <v>0.1</v>
      </c>
    </row>
    <row r="6" spans="3:10" ht="24.95" customHeight="1" x14ac:dyDescent="0.45">
      <c r="C6" s="117" t="s">
        <v>8</v>
      </c>
      <c r="D6" s="114">
        <v>25838</v>
      </c>
      <c r="E6" s="114">
        <v>28315</v>
      </c>
      <c r="F6" s="113">
        <v>75000</v>
      </c>
      <c r="G6" s="167"/>
      <c r="H6" s="115">
        <v>1.4999999999999999E-2</v>
      </c>
      <c r="I6" s="118">
        <v>0.16</v>
      </c>
    </row>
    <row r="7" spans="3:10" ht="24.95" customHeight="1" thickBot="1" x14ac:dyDescent="0.5">
      <c r="C7" s="119" t="s">
        <v>9</v>
      </c>
      <c r="D7" s="120">
        <v>19612</v>
      </c>
      <c r="E7" s="120">
        <v>24504</v>
      </c>
      <c r="F7" s="120">
        <v>75000</v>
      </c>
      <c r="G7" s="168"/>
      <c r="H7" s="121">
        <v>5.0000000000000001E-3</v>
      </c>
      <c r="I7" s="122"/>
    </row>
    <row r="8" spans="3:10" ht="26.65" thickBot="1" x14ac:dyDescent="0.5">
      <c r="C8" s="123" t="s">
        <v>105</v>
      </c>
      <c r="D8" s="124"/>
      <c r="E8" s="124"/>
      <c r="F8" s="124"/>
      <c r="G8" s="124"/>
      <c r="H8" s="125"/>
    </row>
    <row r="9" spans="3:10" ht="56.25" customHeight="1" x14ac:dyDescent="0.45">
      <c r="C9" s="174" t="s">
        <v>106</v>
      </c>
      <c r="D9" s="175"/>
      <c r="E9" s="175"/>
      <c r="F9" s="175"/>
      <c r="G9" s="175"/>
      <c r="H9" s="175"/>
    </row>
    <row r="11" spans="3:10" x14ac:dyDescent="0.45">
      <c r="C11" s="130" t="s">
        <v>107</v>
      </c>
    </row>
    <row r="12" spans="3:10" ht="14.65" thickBot="1" x14ac:dyDescent="0.5">
      <c r="C12" s="126"/>
    </row>
    <row r="13" spans="3:10" x14ac:dyDescent="0.45">
      <c r="C13" s="131" t="s">
        <v>30</v>
      </c>
      <c r="D13" s="181"/>
      <c r="E13" s="179" t="s">
        <v>32</v>
      </c>
      <c r="F13" s="179" t="s">
        <v>33</v>
      </c>
      <c r="G13" s="179" t="s">
        <v>34</v>
      </c>
      <c r="H13" s="179" t="s">
        <v>35</v>
      </c>
      <c r="I13" s="179" t="s">
        <v>36</v>
      </c>
      <c r="J13" s="179" t="s">
        <v>37</v>
      </c>
    </row>
    <row r="14" spans="3:10" ht="14.65" thickBot="1" x14ac:dyDescent="0.5">
      <c r="C14" s="132" t="s">
        <v>31</v>
      </c>
      <c r="D14" s="182"/>
      <c r="E14" s="180"/>
      <c r="F14" s="180"/>
      <c r="G14" s="180"/>
      <c r="H14" s="180"/>
      <c r="I14" s="180"/>
      <c r="J14" s="180"/>
    </row>
    <row r="15" spans="3:10" ht="14.65" thickBot="1" x14ac:dyDescent="0.5">
      <c r="C15" s="133" t="s">
        <v>38</v>
      </c>
      <c r="D15" s="134" t="s">
        <v>39</v>
      </c>
      <c r="E15" s="135">
        <v>6</v>
      </c>
      <c r="F15" s="135">
        <v>6</v>
      </c>
      <c r="G15" s="135">
        <v>6</v>
      </c>
      <c r="H15" s="135">
        <v>6</v>
      </c>
      <c r="I15" s="135">
        <v>6</v>
      </c>
      <c r="J15" s="135">
        <v>6</v>
      </c>
    </row>
    <row r="16" spans="3:10" ht="14.65" thickBot="1" x14ac:dyDescent="0.5">
      <c r="C16" s="136" t="s">
        <v>40</v>
      </c>
      <c r="D16" s="134" t="s">
        <v>39</v>
      </c>
      <c r="E16" s="135">
        <v>1</v>
      </c>
      <c r="F16" s="135">
        <v>1</v>
      </c>
      <c r="G16" s="135">
        <v>1</v>
      </c>
      <c r="H16" s="135">
        <v>1</v>
      </c>
      <c r="I16" s="135">
        <v>1</v>
      </c>
      <c r="J16" s="135">
        <v>1</v>
      </c>
    </row>
    <row r="17" spans="3:10" ht="14.65" thickBot="1" x14ac:dyDescent="0.5">
      <c r="C17" s="137" t="s">
        <v>41</v>
      </c>
      <c r="D17" s="138" t="s">
        <v>39</v>
      </c>
      <c r="E17" s="139">
        <v>7</v>
      </c>
      <c r="F17" s="139">
        <v>9</v>
      </c>
      <c r="G17" s="139">
        <v>10</v>
      </c>
      <c r="H17" s="139">
        <v>11</v>
      </c>
      <c r="I17" s="139">
        <v>12</v>
      </c>
      <c r="J17" s="139">
        <v>13</v>
      </c>
    </row>
    <row r="18" spans="3:10" ht="14.65" thickBot="1" x14ac:dyDescent="0.5">
      <c r="C18" s="140" t="s">
        <v>42</v>
      </c>
      <c r="D18" s="141"/>
      <c r="E18" s="142">
        <f t="shared" ref="E18:J18" si="0">SUM(E15:E17)</f>
        <v>14</v>
      </c>
      <c r="F18" s="144">
        <f t="shared" si="0"/>
        <v>16</v>
      </c>
      <c r="G18" s="143">
        <f t="shared" si="0"/>
        <v>17</v>
      </c>
      <c r="H18" s="143">
        <f t="shared" si="0"/>
        <v>18</v>
      </c>
      <c r="I18" s="143">
        <f t="shared" si="0"/>
        <v>19</v>
      </c>
      <c r="J18" s="143">
        <f t="shared" si="0"/>
        <v>20</v>
      </c>
    </row>
    <row r="19" spans="3:10" ht="14.65" thickBot="1" x14ac:dyDescent="0.5">
      <c r="C19" s="126"/>
    </row>
    <row r="20" spans="3:10" ht="25.9" thickBot="1" x14ac:dyDescent="0.5">
      <c r="C20" s="145" t="s">
        <v>43</v>
      </c>
      <c r="D20" s="146"/>
      <c r="E20" s="147" t="s">
        <v>44</v>
      </c>
      <c r="F20" s="147" t="s">
        <v>45</v>
      </c>
      <c r="G20" s="147" t="s">
        <v>46</v>
      </c>
      <c r="H20" s="147" t="s">
        <v>47</v>
      </c>
      <c r="I20" s="147" t="s">
        <v>48</v>
      </c>
      <c r="J20" s="147" t="s">
        <v>49</v>
      </c>
    </row>
    <row r="21" spans="3:10" ht="38.450000000000003" customHeight="1" thickBot="1" x14ac:dyDescent="0.5">
      <c r="C21" s="137" t="s">
        <v>50</v>
      </c>
      <c r="D21" s="138" t="s">
        <v>51</v>
      </c>
      <c r="E21" s="139">
        <v>0</v>
      </c>
      <c r="F21" s="139">
        <v>1</v>
      </c>
      <c r="G21" s="139">
        <v>2</v>
      </c>
      <c r="H21" s="139">
        <v>3</v>
      </c>
      <c r="I21" s="139">
        <v>4</v>
      </c>
      <c r="J21" s="139">
        <v>5</v>
      </c>
    </row>
    <row r="22" spans="3:10" ht="14.65" thickBot="1" x14ac:dyDescent="0.5">
      <c r="C22" s="126"/>
    </row>
    <row r="23" spans="3:10" ht="14.65" thickBot="1" x14ac:dyDescent="0.5">
      <c r="C23" s="148" t="s">
        <v>99</v>
      </c>
      <c r="D23" s="149" t="s">
        <v>53</v>
      </c>
      <c r="E23" s="149" t="s">
        <v>53</v>
      </c>
      <c r="F23" s="149" t="s">
        <v>54</v>
      </c>
    </row>
    <row r="24" spans="3:10" ht="14.65" thickBot="1" x14ac:dyDescent="0.5">
      <c r="C24" s="150" t="s">
        <v>55</v>
      </c>
      <c r="D24" s="143">
        <v>0</v>
      </c>
      <c r="E24" s="151">
        <v>7000</v>
      </c>
      <c r="F24" s="153">
        <v>0.1</v>
      </c>
    </row>
    <row r="25" spans="3:10" ht="14.65" thickBot="1" x14ac:dyDescent="0.5">
      <c r="C25" s="150" t="s">
        <v>55</v>
      </c>
      <c r="D25" s="143">
        <v>7001</v>
      </c>
      <c r="E25" s="151">
        <v>19000</v>
      </c>
      <c r="F25" s="152">
        <v>0.11</v>
      </c>
    </row>
    <row r="26" spans="3:10" ht="14.65" thickBot="1" x14ac:dyDescent="0.5">
      <c r="C26" s="150" t="s">
        <v>55</v>
      </c>
      <c r="D26" s="151">
        <v>19001</v>
      </c>
      <c r="E26" s="151">
        <v>24000</v>
      </c>
      <c r="F26" s="152">
        <v>0.13</v>
      </c>
    </row>
    <row r="27" spans="3:10" ht="14.65" thickBot="1" x14ac:dyDescent="0.5">
      <c r="C27" s="150" t="s">
        <v>55</v>
      </c>
      <c r="D27" s="151">
        <v>24001</v>
      </c>
      <c r="E27" s="151">
        <v>28000</v>
      </c>
      <c r="F27" s="152">
        <v>0.14000000000000001</v>
      </c>
    </row>
    <row r="28" spans="3:10" ht="14.65" thickBot="1" x14ac:dyDescent="0.5">
      <c r="C28" s="150" t="s">
        <v>55</v>
      </c>
      <c r="D28" s="151">
        <v>28001</v>
      </c>
      <c r="E28" s="151">
        <v>40000</v>
      </c>
      <c r="F28" s="152">
        <v>0.15</v>
      </c>
    </row>
    <row r="29" spans="3:10" ht="14.65" thickBot="1" x14ac:dyDescent="0.5">
      <c r="C29" s="150" t="s">
        <v>55</v>
      </c>
      <c r="D29" s="151">
        <v>40001</v>
      </c>
      <c r="E29" s="151">
        <v>48000</v>
      </c>
      <c r="F29" s="152">
        <v>0.16</v>
      </c>
    </row>
    <row r="30" spans="3:10" ht="14.65" thickBot="1" x14ac:dyDescent="0.5">
      <c r="C30" s="150" t="s">
        <v>55</v>
      </c>
      <c r="D30" s="151">
        <v>48001</v>
      </c>
      <c r="E30" s="151">
        <v>60000</v>
      </c>
      <c r="F30" s="152">
        <v>0.17</v>
      </c>
    </row>
    <row r="31" spans="3:10" ht="14.65" thickBot="1" x14ac:dyDescent="0.5">
      <c r="C31" s="150" t="s">
        <v>55</v>
      </c>
      <c r="D31" s="154">
        <v>60001</v>
      </c>
      <c r="E31" s="155">
        <v>75000</v>
      </c>
      <c r="F31" s="156">
        <v>0.18</v>
      </c>
    </row>
    <row r="32" spans="3:10" ht="14.65" thickBot="1" x14ac:dyDescent="0.5">
      <c r="C32" s="157" t="s">
        <v>55</v>
      </c>
      <c r="D32" s="155">
        <v>75001</v>
      </c>
      <c r="E32" s="155">
        <v>90000</v>
      </c>
      <c r="F32" s="158">
        <v>0.19</v>
      </c>
    </row>
    <row r="33" spans="3:6" ht="14.65" thickBot="1" x14ac:dyDescent="0.5">
      <c r="C33" s="157" t="s">
        <v>55</v>
      </c>
      <c r="D33" s="155">
        <v>90001</v>
      </c>
      <c r="E33" s="154">
        <v>105000</v>
      </c>
      <c r="F33" s="158">
        <v>0.2</v>
      </c>
    </row>
    <row r="34" spans="3:6" ht="14.65" thickBot="1" x14ac:dyDescent="0.5">
      <c r="C34" s="157" t="s">
        <v>55</v>
      </c>
      <c r="D34" s="155">
        <v>105001</v>
      </c>
      <c r="E34" s="155">
        <v>115000</v>
      </c>
      <c r="F34" s="158">
        <v>0.21</v>
      </c>
    </row>
    <row r="35" spans="3:6" ht="14.65" thickBot="1" x14ac:dyDescent="0.5">
      <c r="C35" s="157" t="s">
        <v>55</v>
      </c>
      <c r="D35" s="155">
        <v>115001</v>
      </c>
      <c r="E35" s="155">
        <v>0</v>
      </c>
      <c r="F35" s="158">
        <v>0.22</v>
      </c>
    </row>
  </sheetData>
  <mergeCells count="9">
    <mergeCell ref="I13:I14"/>
    <mergeCell ref="J13:J14"/>
    <mergeCell ref="G4:G7"/>
    <mergeCell ref="D13:D14"/>
    <mergeCell ref="E13:E14"/>
    <mergeCell ref="F13:F14"/>
    <mergeCell ref="G13:G14"/>
    <mergeCell ref="H13:H14"/>
    <mergeCell ref="C9:H9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843B-D419-454A-BB11-E28F0A58C16F}">
  <sheetPr>
    <tabColor rgb="FF92D050"/>
  </sheetPr>
  <dimension ref="C2:J35"/>
  <sheetViews>
    <sheetView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C3" sqref="C3:J35"/>
    </sheetView>
  </sheetViews>
  <sheetFormatPr defaultRowHeight="14.25" x14ac:dyDescent="0.45"/>
  <cols>
    <col min="3" max="3" width="55.1328125" style="102" customWidth="1"/>
    <col min="4" max="4" width="12.3984375" style="102" customWidth="1"/>
    <col min="5" max="7" width="9.73046875" style="102" customWidth="1"/>
    <col min="8" max="8" width="11.86328125" style="102" customWidth="1"/>
    <col min="9" max="9" width="9.73046875" style="102" customWidth="1"/>
    <col min="10" max="10" width="8.73046875" style="102"/>
  </cols>
  <sheetData>
    <row r="2" spans="3:10" ht="14.65" thickBot="1" x14ac:dyDescent="0.5"/>
    <row r="3" spans="3:10" ht="39.950000000000003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0" ht="24.95" customHeight="1" x14ac:dyDescent="0.45">
      <c r="C4" s="108" t="s">
        <v>103</v>
      </c>
      <c r="D4" s="109">
        <f>D5+D6+D7</f>
        <v>75817</v>
      </c>
      <c r="E4" s="109">
        <f>E5+E6+E7</f>
        <v>43780</v>
      </c>
      <c r="F4" s="109">
        <f>SUM(F5:F7)</f>
        <v>150000</v>
      </c>
      <c r="G4" s="166">
        <f>F4/E4-1</f>
        <v>2.4262220191868433</v>
      </c>
      <c r="H4" s="110"/>
      <c r="I4" s="111"/>
    </row>
    <row r="5" spans="3:10" ht="24.95" customHeight="1" x14ac:dyDescent="0.45">
      <c r="C5" s="112" t="s">
        <v>92</v>
      </c>
      <c r="D5" s="113">
        <v>3801</v>
      </c>
      <c r="E5" s="113">
        <v>12823</v>
      </c>
      <c r="F5" s="114">
        <v>0</v>
      </c>
      <c r="G5" s="167"/>
      <c r="H5" s="115">
        <v>0.01</v>
      </c>
      <c r="I5" s="116">
        <v>0.11</v>
      </c>
    </row>
    <row r="6" spans="3:10" ht="24.95" customHeight="1" x14ac:dyDescent="0.45">
      <c r="C6" s="117" t="s">
        <v>8</v>
      </c>
      <c r="D6" s="114">
        <v>45294</v>
      </c>
      <c r="E6" s="114">
        <v>23552</v>
      </c>
      <c r="F6" s="113">
        <v>75000</v>
      </c>
      <c r="G6" s="167"/>
      <c r="H6" s="115">
        <v>1.4999999999999999E-2</v>
      </c>
      <c r="I6" s="118">
        <v>0.14000000000000001</v>
      </c>
    </row>
    <row r="7" spans="3:10" ht="24.95" customHeight="1" thickBot="1" x14ac:dyDescent="0.5">
      <c r="C7" s="119" t="s">
        <v>9</v>
      </c>
      <c r="D7" s="120">
        <v>26722</v>
      </c>
      <c r="E7" s="120">
        <v>7405</v>
      </c>
      <c r="F7" s="120">
        <v>75000</v>
      </c>
      <c r="G7" s="168"/>
      <c r="H7" s="121">
        <v>5.0000000000000001E-3</v>
      </c>
      <c r="I7" s="122"/>
    </row>
    <row r="8" spans="3:10" ht="26.65" thickBot="1" x14ac:dyDescent="0.5">
      <c r="C8" s="123" t="s">
        <v>105</v>
      </c>
      <c r="D8" s="124"/>
      <c r="E8" s="124"/>
      <c r="F8" s="124"/>
      <c r="G8" s="124"/>
      <c r="H8" s="125"/>
    </row>
    <row r="9" spans="3:10" ht="48.75" customHeight="1" x14ac:dyDescent="0.45">
      <c r="C9" s="174" t="s">
        <v>106</v>
      </c>
      <c r="D9" s="175"/>
      <c r="E9" s="175"/>
      <c r="F9" s="175"/>
      <c r="G9" s="175"/>
      <c r="H9" s="175"/>
    </row>
    <row r="11" spans="3:10" x14ac:dyDescent="0.45">
      <c r="C11" s="130" t="s">
        <v>107</v>
      </c>
    </row>
    <row r="12" spans="3:10" ht="14.65" thickBot="1" x14ac:dyDescent="0.5">
      <c r="C12" s="126"/>
    </row>
    <row r="13" spans="3:10" x14ac:dyDescent="0.45">
      <c r="C13" s="131" t="s">
        <v>30</v>
      </c>
      <c r="D13" s="181"/>
      <c r="E13" s="179" t="s">
        <v>32</v>
      </c>
      <c r="F13" s="179" t="s">
        <v>33</v>
      </c>
      <c r="G13" s="179" t="s">
        <v>34</v>
      </c>
      <c r="H13" s="179" t="s">
        <v>35</v>
      </c>
      <c r="I13" s="179" t="s">
        <v>36</v>
      </c>
      <c r="J13" s="179" t="s">
        <v>37</v>
      </c>
    </row>
    <row r="14" spans="3:10" ht="14.65" thickBot="1" x14ac:dyDescent="0.5">
      <c r="C14" s="132" t="s">
        <v>31</v>
      </c>
      <c r="D14" s="182"/>
      <c r="E14" s="180"/>
      <c r="F14" s="180"/>
      <c r="G14" s="180"/>
      <c r="H14" s="180"/>
      <c r="I14" s="180"/>
      <c r="J14" s="180"/>
    </row>
    <row r="15" spans="3:10" ht="14.65" thickBot="1" x14ac:dyDescent="0.5">
      <c r="C15" s="133" t="s">
        <v>38</v>
      </c>
      <c r="D15" s="134" t="s">
        <v>39</v>
      </c>
      <c r="E15" s="135">
        <v>6</v>
      </c>
      <c r="F15" s="135">
        <v>6</v>
      </c>
      <c r="G15" s="135">
        <v>6</v>
      </c>
      <c r="H15" s="135">
        <v>6</v>
      </c>
      <c r="I15" s="135">
        <v>6</v>
      </c>
      <c r="J15" s="135">
        <v>6</v>
      </c>
    </row>
    <row r="16" spans="3:10" ht="14.65" thickBot="1" x14ac:dyDescent="0.5">
      <c r="C16" s="136" t="s">
        <v>40</v>
      </c>
      <c r="D16" s="134" t="s">
        <v>39</v>
      </c>
      <c r="E16" s="135">
        <v>1</v>
      </c>
      <c r="F16" s="135">
        <v>1</v>
      </c>
      <c r="G16" s="135">
        <v>1</v>
      </c>
      <c r="H16" s="135">
        <v>1</v>
      </c>
      <c r="I16" s="135">
        <v>1</v>
      </c>
      <c r="J16" s="135">
        <v>1</v>
      </c>
    </row>
    <row r="17" spans="3:10" ht="14.65" thickBot="1" x14ac:dyDescent="0.5">
      <c r="C17" s="137" t="s">
        <v>41</v>
      </c>
      <c r="D17" s="138" t="s">
        <v>39</v>
      </c>
      <c r="E17" s="139">
        <v>7</v>
      </c>
      <c r="F17" s="139">
        <v>9</v>
      </c>
      <c r="G17" s="139">
        <v>10</v>
      </c>
      <c r="H17" s="139">
        <v>11</v>
      </c>
      <c r="I17" s="139">
        <v>12</v>
      </c>
      <c r="J17" s="139">
        <v>13</v>
      </c>
    </row>
    <row r="18" spans="3:10" ht="14.65" thickBot="1" x14ac:dyDescent="0.5">
      <c r="C18" s="140" t="s">
        <v>42</v>
      </c>
      <c r="D18" s="141"/>
      <c r="E18" s="164">
        <f t="shared" ref="E18:J18" si="0">SUM(E15:E17)</f>
        <v>14</v>
      </c>
      <c r="F18" s="165">
        <f t="shared" si="0"/>
        <v>16</v>
      </c>
      <c r="G18" s="143">
        <f t="shared" si="0"/>
        <v>17</v>
      </c>
      <c r="H18" s="143">
        <f t="shared" si="0"/>
        <v>18</v>
      </c>
      <c r="I18" s="143">
        <f t="shared" si="0"/>
        <v>19</v>
      </c>
      <c r="J18" s="143">
        <f t="shared" si="0"/>
        <v>20</v>
      </c>
    </row>
    <row r="19" spans="3:10" ht="14.65" thickBot="1" x14ac:dyDescent="0.5">
      <c r="C19" s="126"/>
    </row>
    <row r="20" spans="3:10" ht="25.9" thickBot="1" x14ac:dyDescent="0.5">
      <c r="C20" s="145" t="s">
        <v>43</v>
      </c>
      <c r="D20" s="146"/>
      <c r="E20" s="147" t="s">
        <v>44</v>
      </c>
      <c r="F20" s="147" t="s">
        <v>45</v>
      </c>
      <c r="G20" s="147" t="s">
        <v>46</v>
      </c>
      <c r="H20" s="147" t="s">
        <v>47</v>
      </c>
      <c r="I20" s="147" t="s">
        <v>48</v>
      </c>
      <c r="J20" s="147" t="s">
        <v>49</v>
      </c>
    </row>
    <row r="21" spans="3:10" ht="40.5" customHeight="1" thickBot="1" x14ac:dyDescent="0.5">
      <c r="C21" s="137" t="s">
        <v>50</v>
      </c>
      <c r="D21" s="138" t="s">
        <v>51</v>
      </c>
      <c r="E21" s="139">
        <v>0</v>
      </c>
      <c r="F21" s="139">
        <v>1</v>
      </c>
      <c r="G21" s="139">
        <v>2</v>
      </c>
      <c r="H21" s="139">
        <v>3</v>
      </c>
      <c r="I21" s="139">
        <v>4</v>
      </c>
      <c r="J21" s="139">
        <v>5</v>
      </c>
    </row>
    <row r="22" spans="3:10" ht="14.65" thickBot="1" x14ac:dyDescent="0.5">
      <c r="C22" s="126"/>
    </row>
    <row r="23" spans="3:10" ht="14.65" thickBot="1" x14ac:dyDescent="0.5">
      <c r="C23" s="148" t="s">
        <v>99</v>
      </c>
      <c r="D23" s="149" t="s">
        <v>53</v>
      </c>
      <c r="E23" s="149" t="s">
        <v>53</v>
      </c>
      <c r="F23" s="149" t="s">
        <v>54</v>
      </c>
    </row>
    <row r="24" spans="3:10" ht="14.65" thickBot="1" x14ac:dyDescent="0.5">
      <c r="C24" s="150" t="s">
        <v>55</v>
      </c>
      <c r="D24" s="143">
        <v>0</v>
      </c>
      <c r="E24" s="151">
        <v>7000</v>
      </c>
      <c r="F24" s="152">
        <v>0.1</v>
      </c>
    </row>
    <row r="25" spans="3:10" ht="14.65" thickBot="1" x14ac:dyDescent="0.5">
      <c r="C25" s="150" t="s">
        <v>55</v>
      </c>
      <c r="D25" s="143">
        <v>7001</v>
      </c>
      <c r="E25" s="151">
        <v>19000</v>
      </c>
      <c r="F25" s="153">
        <v>0.11</v>
      </c>
    </row>
    <row r="26" spans="3:10" ht="14.65" thickBot="1" x14ac:dyDescent="0.5">
      <c r="C26" s="150" t="s">
        <v>55</v>
      </c>
      <c r="D26" s="151">
        <v>19001</v>
      </c>
      <c r="E26" s="151">
        <v>24000</v>
      </c>
      <c r="F26" s="152">
        <v>0.13</v>
      </c>
    </row>
    <row r="27" spans="3:10" ht="14.65" thickBot="1" x14ac:dyDescent="0.5">
      <c r="C27" s="150" t="s">
        <v>55</v>
      </c>
      <c r="D27" s="151">
        <v>24001</v>
      </c>
      <c r="E27" s="151">
        <v>28000</v>
      </c>
      <c r="F27" s="152">
        <v>0.14000000000000001</v>
      </c>
    </row>
    <row r="28" spans="3:10" ht="14.65" thickBot="1" x14ac:dyDescent="0.5">
      <c r="C28" s="150" t="s">
        <v>55</v>
      </c>
      <c r="D28" s="151">
        <v>28001</v>
      </c>
      <c r="E28" s="151">
        <v>40000</v>
      </c>
      <c r="F28" s="152">
        <v>0.15</v>
      </c>
    </row>
    <row r="29" spans="3:10" ht="14.65" thickBot="1" x14ac:dyDescent="0.5">
      <c r="C29" s="150" t="s">
        <v>55</v>
      </c>
      <c r="D29" s="151">
        <v>40001</v>
      </c>
      <c r="E29" s="151">
        <v>48000</v>
      </c>
      <c r="F29" s="152">
        <v>0.16</v>
      </c>
    </row>
    <row r="30" spans="3:10" ht="14.65" thickBot="1" x14ac:dyDescent="0.5">
      <c r="C30" s="150" t="s">
        <v>55</v>
      </c>
      <c r="D30" s="151">
        <v>48001</v>
      </c>
      <c r="E30" s="151">
        <v>60000</v>
      </c>
      <c r="F30" s="152">
        <v>0.17</v>
      </c>
    </row>
    <row r="31" spans="3:10" ht="14.65" thickBot="1" x14ac:dyDescent="0.5">
      <c r="C31" s="150" t="s">
        <v>55</v>
      </c>
      <c r="D31" s="154">
        <v>60001</v>
      </c>
      <c r="E31" s="155">
        <v>75000</v>
      </c>
      <c r="F31" s="156">
        <v>0.18</v>
      </c>
    </row>
    <row r="32" spans="3:10" ht="14.65" thickBot="1" x14ac:dyDescent="0.5">
      <c r="C32" s="157" t="s">
        <v>55</v>
      </c>
      <c r="D32" s="155">
        <v>75001</v>
      </c>
      <c r="E32" s="155">
        <v>90000</v>
      </c>
      <c r="F32" s="158">
        <v>0.19</v>
      </c>
    </row>
    <row r="33" spans="3:6" ht="14.65" thickBot="1" x14ac:dyDescent="0.5">
      <c r="C33" s="157" t="s">
        <v>55</v>
      </c>
      <c r="D33" s="155">
        <v>90001</v>
      </c>
      <c r="E33" s="154">
        <v>105000</v>
      </c>
      <c r="F33" s="158">
        <v>0.2</v>
      </c>
    </row>
    <row r="34" spans="3:6" ht="14.65" thickBot="1" x14ac:dyDescent="0.5">
      <c r="C34" s="157" t="s">
        <v>55</v>
      </c>
      <c r="D34" s="155">
        <v>105001</v>
      </c>
      <c r="E34" s="155">
        <v>115000</v>
      </c>
      <c r="F34" s="158">
        <v>0.21</v>
      </c>
    </row>
    <row r="35" spans="3:6" ht="14.65" thickBot="1" x14ac:dyDescent="0.5">
      <c r="C35" s="157" t="s">
        <v>55</v>
      </c>
      <c r="D35" s="155">
        <v>115001</v>
      </c>
      <c r="E35" s="155">
        <v>0</v>
      </c>
      <c r="F35" s="158">
        <v>0.22</v>
      </c>
    </row>
  </sheetData>
  <mergeCells count="9">
    <mergeCell ref="I13:I14"/>
    <mergeCell ref="J13:J14"/>
    <mergeCell ref="G4:G7"/>
    <mergeCell ref="C9:H9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0D01-47FF-4832-AA5B-EAD59ACC58FD}">
  <sheetPr>
    <tabColor rgb="FF92D050"/>
  </sheetPr>
  <dimension ref="C2:M34"/>
  <sheetViews>
    <sheetView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I27" sqref="I27"/>
    </sheetView>
  </sheetViews>
  <sheetFormatPr defaultRowHeight="14.25" x14ac:dyDescent="0.45"/>
  <cols>
    <col min="3" max="3" width="57.73046875" style="102" customWidth="1"/>
    <col min="4" max="8" width="12.59765625" style="102" customWidth="1"/>
    <col min="9" max="9" width="10.3984375" style="102" customWidth="1"/>
    <col min="10" max="13" width="8.73046875" style="102"/>
  </cols>
  <sheetData>
    <row r="2" spans="3:13" ht="14.65" thickBot="1" x14ac:dyDescent="0.5"/>
    <row r="3" spans="3:13" ht="39" customHeight="1" thickBot="1" x14ac:dyDescent="0.5">
      <c r="C3" s="103" t="s">
        <v>0</v>
      </c>
      <c r="D3" s="104" t="s">
        <v>2</v>
      </c>
      <c r="E3" s="104" t="s">
        <v>96</v>
      </c>
      <c r="F3" s="104" t="s">
        <v>97</v>
      </c>
      <c r="G3" s="105" t="s">
        <v>4</v>
      </c>
      <c r="H3" s="106" t="s">
        <v>101</v>
      </c>
      <c r="I3" s="107" t="s">
        <v>94</v>
      </c>
    </row>
    <row r="4" spans="3:13" ht="24.95" customHeight="1" x14ac:dyDescent="0.45">
      <c r="C4" s="108" t="s">
        <v>104</v>
      </c>
      <c r="D4" s="109">
        <f>D5+D6+D7</f>
        <v>85433</v>
      </c>
      <c r="E4" s="109">
        <f>E5+E6+E7</f>
        <v>27404</v>
      </c>
      <c r="F4" s="109">
        <f>SUM(F5:F7)</f>
        <v>175000</v>
      </c>
      <c r="G4" s="166">
        <f>F4/E4-1</f>
        <v>5.3859290614508835</v>
      </c>
      <c r="H4" s="110"/>
      <c r="I4" s="111"/>
    </row>
    <row r="5" spans="3:13" ht="24.95" customHeight="1" x14ac:dyDescent="0.45">
      <c r="C5" s="112" t="s">
        <v>92</v>
      </c>
      <c r="D5" s="113">
        <v>23538</v>
      </c>
      <c r="E5" s="113">
        <v>7079</v>
      </c>
      <c r="F5" s="114">
        <v>25000</v>
      </c>
      <c r="G5" s="167"/>
      <c r="H5" s="115">
        <v>0.01</v>
      </c>
      <c r="I5" s="116">
        <v>0.11</v>
      </c>
      <c r="M5" s="163"/>
    </row>
    <row r="6" spans="3:13" ht="24.95" customHeight="1" x14ac:dyDescent="0.45">
      <c r="C6" s="117" t="s">
        <v>8</v>
      </c>
      <c r="D6" s="114">
        <v>44599</v>
      </c>
      <c r="E6" s="114"/>
      <c r="F6" s="113">
        <v>75000</v>
      </c>
      <c r="G6" s="167"/>
      <c r="H6" s="115">
        <v>1.4999999999999999E-2</v>
      </c>
      <c r="I6" s="118">
        <v>0.14000000000000001</v>
      </c>
    </row>
    <row r="7" spans="3:13" ht="24.95" customHeight="1" thickBot="1" x14ac:dyDescent="0.5">
      <c r="C7" s="119" t="s">
        <v>9</v>
      </c>
      <c r="D7" s="120">
        <v>17296</v>
      </c>
      <c r="E7" s="120">
        <v>20325</v>
      </c>
      <c r="F7" s="120">
        <v>75000</v>
      </c>
      <c r="G7" s="168"/>
      <c r="H7" s="121">
        <v>5.0000000000000001E-3</v>
      </c>
      <c r="I7" s="122"/>
    </row>
    <row r="8" spans="3:13" ht="26.65" thickBot="1" x14ac:dyDescent="0.5">
      <c r="C8" s="123" t="s">
        <v>105</v>
      </c>
      <c r="D8" s="124"/>
      <c r="E8" s="124"/>
      <c r="F8" s="124"/>
      <c r="G8" s="124"/>
      <c r="H8" s="125"/>
    </row>
    <row r="9" spans="3:13" ht="50.25" customHeight="1" x14ac:dyDescent="0.45">
      <c r="C9" s="174" t="s">
        <v>106</v>
      </c>
      <c r="D9" s="175"/>
      <c r="E9" s="175"/>
      <c r="F9" s="175"/>
      <c r="G9" s="175"/>
      <c r="H9" s="175"/>
    </row>
    <row r="10" spans="3:13" x14ac:dyDescent="0.45">
      <c r="C10" s="130" t="s">
        <v>107</v>
      </c>
    </row>
    <row r="11" spans="3:13" ht="14.65" thickBot="1" x14ac:dyDescent="0.5">
      <c r="C11" s="126"/>
    </row>
    <row r="12" spans="3:13" x14ac:dyDescent="0.45">
      <c r="C12" s="131" t="s">
        <v>30</v>
      </c>
      <c r="D12" s="181"/>
      <c r="E12" s="179" t="s">
        <v>32</v>
      </c>
      <c r="F12" s="179" t="s">
        <v>33</v>
      </c>
      <c r="G12" s="179" t="s">
        <v>34</v>
      </c>
      <c r="H12" s="179" t="s">
        <v>35</v>
      </c>
      <c r="I12" s="179" t="s">
        <v>36</v>
      </c>
      <c r="J12" s="179" t="s">
        <v>37</v>
      </c>
    </row>
    <row r="13" spans="3:13" ht="14.65" thickBot="1" x14ac:dyDescent="0.5">
      <c r="C13" s="132" t="s">
        <v>31</v>
      </c>
      <c r="D13" s="182"/>
      <c r="E13" s="180"/>
      <c r="F13" s="180"/>
      <c r="G13" s="180"/>
      <c r="H13" s="180"/>
      <c r="I13" s="180"/>
      <c r="J13" s="180"/>
    </row>
    <row r="14" spans="3:13" ht="14.65" thickBot="1" x14ac:dyDescent="0.5">
      <c r="C14" s="133" t="s">
        <v>38</v>
      </c>
      <c r="D14" s="134" t="s">
        <v>39</v>
      </c>
      <c r="E14" s="135">
        <v>6</v>
      </c>
      <c r="F14" s="135">
        <v>6</v>
      </c>
      <c r="G14" s="135">
        <v>6</v>
      </c>
      <c r="H14" s="135">
        <v>6</v>
      </c>
      <c r="I14" s="135">
        <v>6</v>
      </c>
      <c r="J14" s="135">
        <v>6</v>
      </c>
    </row>
    <row r="15" spans="3:13" ht="14.65" thickBot="1" x14ac:dyDescent="0.5">
      <c r="C15" s="136" t="s">
        <v>40</v>
      </c>
      <c r="D15" s="134" t="s">
        <v>39</v>
      </c>
      <c r="E15" s="135">
        <v>1</v>
      </c>
      <c r="F15" s="135">
        <v>1</v>
      </c>
      <c r="G15" s="135">
        <v>1</v>
      </c>
      <c r="H15" s="135">
        <v>1</v>
      </c>
      <c r="I15" s="135">
        <v>1</v>
      </c>
      <c r="J15" s="135">
        <v>1</v>
      </c>
    </row>
    <row r="16" spans="3:13" ht="14.65" thickBot="1" x14ac:dyDescent="0.5">
      <c r="C16" s="137" t="s">
        <v>41</v>
      </c>
      <c r="D16" s="138" t="s">
        <v>39</v>
      </c>
      <c r="E16" s="139">
        <v>7</v>
      </c>
      <c r="F16" s="139">
        <v>9</v>
      </c>
      <c r="G16" s="139">
        <v>10</v>
      </c>
      <c r="H16" s="139">
        <v>11</v>
      </c>
      <c r="I16" s="139">
        <v>12</v>
      </c>
      <c r="J16" s="139">
        <v>13</v>
      </c>
    </row>
    <row r="17" spans="3:10" ht="14.65" thickBot="1" x14ac:dyDescent="0.5">
      <c r="C17" s="140" t="s">
        <v>42</v>
      </c>
      <c r="D17" s="141"/>
      <c r="E17" s="164">
        <f t="shared" ref="E17:J17" si="0">SUM(E14:E16)</f>
        <v>14</v>
      </c>
      <c r="F17" s="143">
        <f t="shared" si="0"/>
        <v>16</v>
      </c>
      <c r="G17" s="143">
        <f t="shared" si="0"/>
        <v>17</v>
      </c>
      <c r="H17" s="143">
        <f t="shared" si="0"/>
        <v>18</v>
      </c>
      <c r="I17" s="143">
        <f t="shared" si="0"/>
        <v>19</v>
      </c>
      <c r="J17" s="143">
        <f t="shared" si="0"/>
        <v>20</v>
      </c>
    </row>
    <row r="18" spans="3:10" ht="14.65" thickBot="1" x14ac:dyDescent="0.5">
      <c r="C18" s="126"/>
    </row>
    <row r="19" spans="3:10" ht="25.9" thickBot="1" x14ac:dyDescent="0.5">
      <c r="C19" s="145" t="s">
        <v>43</v>
      </c>
      <c r="D19" s="146"/>
      <c r="E19" s="147" t="s">
        <v>44</v>
      </c>
      <c r="F19" s="147" t="s">
        <v>45</v>
      </c>
      <c r="G19" s="147" t="s">
        <v>46</v>
      </c>
      <c r="H19" s="147" t="s">
        <v>47</v>
      </c>
      <c r="I19" s="147" t="s">
        <v>48</v>
      </c>
      <c r="J19" s="147" t="s">
        <v>49</v>
      </c>
    </row>
    <row r="20" spans="3:10" ht="37.5" customHeight="1" thickBot="1" x14ac:dyDescent="0.5">
      <c r="C20" s="137" t="s">
        <v>50</v>
      </c>
      <c r="D20" s="138" t="s">
        <v>51</v>
      </c>
      <c r="E20" s="139">
        <v>0</v>
      </c>
      <c r="F20" s="139">
        <v>1</v>
      </c>
      <c r="G20" s="139">
        <v>2</v>
      </c>
      <c r="H20" s="139">
        <v>3</v>
      </c>
      <c r="I20" s="139">
        <v>4</v>
      </c>
      <c r="J20" s="139">
        <v>5</v>
      </c>
    </row>
    <row r="21" spans="3:10" ht="14.65" thickBot="1" x14ac:dyDescent="0.5">
      <c r="C21" s="126"/>
    </row>
    <row r="22" spans="3:10" ht="14.65" thickBot="1" x14ac:dyDescent="0.5">
      <c r="C22" s="148" t="s">
        <v>99</v>
      </c>
      <c r="D22" s="149" t="s">
        <v>53</v>
      </c>
      <c r="E22" s="149" t="s">
        <v>53</v>
      </c>
      <c r="F22" s="149" t="s">
        <v>54</v>
      </c>
    </row>
    <row r="23" spans="3:10" ht="14.65" thickBot="1" x14ac:dyDescent="0.5">
      <c r="C23" s="150" t="s">
        <v>55</v>
      </c>
      <c r="D23" s="143">
        <v>0</v>
      </c>
      <c r="E23" s="151">
        <v>7000</v>
      </c>
      <c r="F23" s="152">
        <v>0.1</v>
      </c>
    </row>
    <row r="24" spans="3:10" ht="14.65" thickBot="1" x14ac:dyDescent="0.5">
      <c r="C24" s="150" t="s">
        <v>55</v>
      </c>
      <c r="D24" s="143">
        <v>7001</v>
      </c>
      <c r="E24" s="151">
        <v>19000</v>
      </c>
      <c r="F24" s="153">
        <v>0.11</v>
      </c>
    </row>
    <row r="25" spans="3:10" ht="14.65" thickBot="1" x14ac:dyDescent="0.5">
      <c r="C25" s="150" t="s">
        <v>55</v>
      </c>
      <c r="D25" s="151">
        <v>19001</v>
      </c>
      <c r="E25" s="151">
        <v>24000</v>
      </c>
      <c r="F25" s="152">
        <v>0.13</v>
      </c>
    </row>
    <row r="26" spans="3:10" ht="14.65" thickBot="1" x14ac:dyDescent="0.5">
      <c r="C26" s="150" t="s">
        <v>55</v>
      </c>
      <c r="D26" s="151">
        <v>24001</v>
      </c>
      <c r="E26" s="151">
        <v>28000</v>
      </c>
      <c r="F26" s="152">
        <v>0.14000000000000001</v>
      </c>
    </row>
    <row r="27" spans="3:10" ht="14.65" thickBot="1" x14ac:dyDescent="0.5">
      <c r="C27" s="150" t="s">
        <v>55</v>
      </c>
      <c r="D27" s="151">
        <v>28001</v>
      </c>
      <c r="E27" s="151">
        <v>40000</v>
      </c>
      <c r="F27" s="152">
        <v>0.15</v>
      </c>
    </row>
    <row r="28" spans="3:10" ht="14.65" thickBot="1" x14ac:dyDescent="0.5">
      <c r="C28" s="150" t="s">
        <v>55</v>
      </c>
      <c r="D28" s="151">
        <v>40001</v>
      </c>
      <c r="E28" s="151">
        <v>48000</v>
      </c>
      <c r="F28" s="152">
        <v>0.16</v>
      </c>
    </row>
    <row r="29" spans="3:10" ht="14.65" thickBot="1" x14ac:dyDescent="0.5">
      <c r="C29" s="150" t="s">
        <v>55</v>
      </c>
      <c r="D29" s="151">
        <v>48001</v>
      </c>
      <c r="E29" s="151">
        <v>60000</v>
      </c>
      <c r="F29" s="152">
        <v>0.17</v>
      </c>
    </row>
    <row r="30" spans="3:10" ht="14.65" thickBot="1" x14ac:dyDescent="0.5">
      <c r="C30" s="150" t="s">
        <v>55</v>
      </c>
      <c r="D30" s="154">
        <v>60001</v>
      </c>
      <c r="E30" s="155">
        <v>75000</v>
      </c>
      <c r="F30" s="156">
        <v>0.18</v>
      </c>
    </row>
    <row r="31" spans="3:10" ht="14.65" thickBot="1" x14ac:dyDescent="0.5">
      <c r="C31" s="157" t="s">
        <v>55</v>
      </c>
      <c r="D31" s="155">
        <v>75001</v>
      </c>
      <c r="E31" s="155">
        <v>90000</v>
      </c>
      <c r="F31" s="158">
        <v>0.19</v>
      </c>
    </row>
    <row r="32" spans="3:10" ht="14.65" thickBot="1" x14ac:dyDescent="0.5">
      <c r="C32" s="157" t="s">
        <v>55</v>
      </c>
      <c r="D32" s="155">
        <v>90001</v>
      </c>
      <c r="E32" s="154">
        <v>105000</v>
      </c>
      <c r="F32" s="158">
        <v>0.2</v>
      </c>
    </row>
    <row r="33" spans="3:6" ht="14.65" thickBot="1" x14ac:dyDescent="0.5">
      <c r="C33" s="157" t="s">
        <v>55</v>
      </c>
      <c r="D33" s="155">
        <v>105001</v>
      </c>
      <c r="E33" s="155">
        <v>115000</v>
      </c>
      <c r="F33" s="158">
        <v>0.21</v>
      </c>
    </row>
    <row r="34" spans="3:6" ht="14.65" thickBot="1" x14ac:dyDescent="0.5">
      <c r="C34" s="157" t="s">
        <v>55</v>
      </c>
      <c r="D34" s="155">
        <v>115001</v>
      </c>
      <c r="E34" s="155">
        <v>0</v>
      </c>
      <c r="F34" s="158">
        <v>0.22</v>
      </c>
    </row>
  </sheetData>
  <mergeCells count="9">
    <mergeCell ref="I12:I13"/>
    <mergeCell ref="J12:J13"/>
    <mergeCell ref="G4:G7"/>
    <mergeCell ref="C9:H9"/>
    <mergeCell ref="D12:D13"/>
    <mergeCell ref="E12:E13"/>
    <mergeCell ref="F12:F13"/>
    <mergeCell ref="G12:G13"/>
    <mergeCell ref="H1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Лист1</vt:lpstr>
      <vt:lpstr>КТ</vt:lpstr>
      <vt:lpstr>НоваПак</vt:lpstr>
      <vt:lpstr>КСП</vt:lpstr>
      <vt:lpstr>Богатовъ Торговый Дом, Челябинс</vt:lpstr>
      <vt:lpstr>Лист3</vt:lpstr>
      <vt:lpstr>Лист2</vt:lpstr>
      <vt:lpstr>ABS</vt:lpstr>
      <vt:lpstr>Deling fod</vt:lpstr>
      <vt:lpstr>VitLine</vt:lpstr>
      <vt:lpstr>Universal meat</vt:lpstr>
      <vt:lpstr>KNA</vt:lpstr>
      <vt:lpstr>LUCKY &amp; S CO</vt:lpstr>
      <vt:lpstr>Сейитлиев</vt:lpstr>
      <vt:lpstr>Ingreda</vt:lpstr>
      <vt:lpstr>CLIPSOMAC</vt:lpstr>
      <vt:lpstr>Tida Tech</vt:lpstr>
      <vt:lpstr>Ari Makina</vt:lpstr>
      <vt:lpstr>Кабири Хучанд ООО</vt:lpstr>
      <vt:lpstr>Flexo Food Ltd, Грузия</vt:lpstr>
      <vt:lpstr>ГИНАП, Армения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Никитюк Денис Владимирович</dc:creator>
  <cp:lastModifiedBy>PBI Analyst</cp:lastModifiedBy>
  <dcterms:created xsi:type="dcterms:W3CDTF">2025-04-21T11:43:13Z</dcterms:created>
  <dcterms:modified xsi:type="dcterms:W3CDTF">2026-07-08T11:57:48Z</dcterms:modified>
</cp:coreProperties>
</file>