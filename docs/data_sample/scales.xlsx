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калы" sheetId="1" state="visible" r:id="rId1"/>
    <sheet name="Витрина" sheetId="2" state="visible" r:id="rId2"/>
    <sheet name="Блоки" sheetId="3" state="visible" r:id="rId3"/>
  </sheets>
  <definedNames>
    <definedName name="_xlnm._FilterDatabase" localSheetId="0" hidden="1">'Шкалы'!$A$1:$P$1148</definedName>
    <definedName name="_xlnm.Print_Titles" localSheetId="0">'Шкалы'!$1:$1</definedName>
    <definedName name="_xlnm.Print_Titles" localSheetId="1">'Витрина'!$4:$4</definedName>
    <definedName name="_xlnm.Print_Titles" localSheetId="2">'Блоки'!$7:$7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\ &quot;€&quot;;\-#,##0\ &quot;€&quot;;#,##0\ &quot;€&quot;"/>
    <numFmt numFmtId="165" formatCode="0.0%"/>
  </numFmts>
  <fonts count="35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94A3B8"/>
      <sz val="9"/>
    </font>
    <font>
      <color rgb="FF0F172A"/>
      <sz val="10"/>
    </font>
    <font>
      <color rgb="FF94A3B8"/>
      <sz val="9"/>
    </font>
    <font>
      <b val="1"/>
      <color rgb="FFFFFFFF"/>
      <sz val="11"/>
    </font>
    <font>
      <color rgb="FF475569"/>
      <sz val="10"/>
    </font>
    <font>
      <b val="1"/>
      <color rgb="FF475569"/>
      <sz val="10"/>
    </font>
    <font>
      <b val="1"/>
      <color rgb="FF1F4E79"/>
      <sz val="11"/>
    </font>
    <font>
      <color rgb="FF1F2937"/>
      <sz val="10"/>
    </font>
    <font>
      <b val="1"/>
      <color rgb="FF1F4E79"/>
      <sz val="10"/>
    </font>
    <font>
      <b val="1"/>
      <color rgb="FF1F2937"/>
      <sz val="14"/>
    </font>
    <font>
      <name val="Calibri"/>
      <charset val="204"/>
      <family val="2"/>
      <b val="1"/>
      <color rgb="FF000000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C65911"/>
      <sz val="10"/>
    </font>
    <font>
      <name val="Calibri"/>
      <charset val="204"/>
      <family val="2"/>
      <b val="1"/>
      <sz val="10"/>
    </font>
    <font>
      <name val="Calibri"/>
      <charset val="204"/>
      <family val="2"/>
      <color theme="1"/>
      <sz val="10"/>
      <scheme val="minor"/>
    </font>
    <font>
      <name val="Calibri"/>
      <charset val="204"/>
      <family val="2"/>
      <b val="1"/>
      <i val="1"/>
      <color rgb="FFC65911"/>
      <sz val="10"/>
    </font>
    <font>
      <name val="Times New Roman"/>
      <charset val="204"/>
      <family val="1"/>
      <color theme="1"/>
      <sz val="10"/>
    </font>
    <font>
      <name val="Calibri"/>
      <charset val="204"/>
      <family val="2"/>
      <b val="1"/>
      <color rgb="FF000000"/>
      <sz val="10"/>
      <scheme val="minor"/>
    </font>
    <font>
      <name val="Calibri"/>
      <charset val="204"/>
      <family val="2"/>
      <color rgb="FF000000"/>
      <sz val="10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b val="1"/>
      <color theme="1"/>
      <sz val="10"/>
    </font>
    <font>
      <name val="Calibri"/>
      <charset val="204"/>
      <family val="2"/>
      <b val="1"/>
      <color theme="1"/>
      <sz val="10"/>
      <scheme val="minor"/>
    </font>
    <font>
      <name val="Times New Roman"/>
      <charset val="204"/>
      <family val="1"/>
      <color rgb="FF2B2B2B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color rgb="FF000000"/>
      <sz val="9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color rgb="FFC65911"/>
      <sz val="12"/>
    </font>
    <font>
      <name val="Calibri"/>
      <charset val="204"/>
      <family val="2"/>
      <b val="1"/>
      <sz val="12"/>
    </font>
    <font>
      <name val="Calibri"/>
      <charset val="204"/>
      <family val="2"/>
      <b val="1"/>
      <i val="1"/>
      <color rgb="FFC65911"/>
      <sz val="12"/>
    </font>
    <font>
      <name val="Times New Roman"/>
      <charset val="204"/>
      <family val="1"/>
      <color rgb="FF2B2B2B"/>
      <sz val="12"/>
    </font>
    <font>
      <name val="Times New Roman"/>
      <charset val="204"/>
      <family val="1"/>
      <color theme="1"/>
      <sz val="14"/>
    </font>
    <font>
      <name val="Arial"/>
      <charset val="204"/>
      <family val="2"/>
      <color theme="1"/>
      <sz val="9"/>
    </font>
    <font>
      <color rgb="FF1F4E79"/>
      <sz val="10"/>
      <u val="single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475569"/>
      </patternFill>
    </fill>
    <fill>
      <patternFill patternType="solid">
        <fgColor rgb="FFFFF7E6"/>
      </patternFill>
    </fill>
    <fill>
      <patternFill patternType="solid">
        <fgColor rgb="FFDDEBF7"/>
      </patternFill>
    </fill>
    <fill>
      <patternFill patternType="solid">
        <fgColor rgb="FFF2F7FC"/>
      </patternFill>
    </fill>
    <fill>
      <patternFill patternType="solid">
        <fgColor rgb="FFFAFBFD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</fills>
  <borders count="47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medium">
        <color theme="5" tint="-0.249977111117893"/>
      </left>
      <right style="thin">
        <color rgb="FFED7D31"/>
      </right>
      <top style="medium">
        <color theme="5" tint="-0.249977111117893"/>
      </top>
      <bottom/>
      <diagonal/>
    </border>
    <border>
      <left style="thin">
        <color rgb="FFED7D31"/>
      </left>
      <right style="thin">
        <color rgb="FFED7D31"/>
      </right>
      <top style="medium">
        <color theme="5" tint="-0.249977111117893"/>
      </top>
      <bottom/>
      <diagonal/>
    </border>
    <border>
      <left style="thin">
        <color rgb="FFED7D31"/>
      </left>
      <right/>
      <top style="medium">
        <color theme="5" tint="-0.249977111117893"/>
      </top>
      <bottom/>
      <diagonal/>
    </border>
    <border>
      <left style="thin">
        <color rgb="FFED7D31"/>
      </left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 style="thin">
        <color rgb="FFED7D31"/>
      </right>
      <top style="medium">
        <color theme="5" tint="-0.249977111117893"/>
      </top>
      <bottom style="thin">
        <color rgb="FFFFFFFF"/>
      </bottom>
      <diagonal/>
    </border>
    <border>
      <left style="thin">
        <color rgb="FFED7D31"/>
      </left>
      <right style="thin">
        <color rgb="FFED7D31"/>
      </right>
      <top style="medium">
        <color theme="5" tint="-0.249977111117893"/>
      </top>
      <bottom style="thin">
        <color rgb="FFFFFFFF"/>
      </bottom>
      <diagonal/>
    </border>
    <border>
      <left style="thin">
        <color rgb="FFED7D31"/>
      </left>
      <right style="thin">
        <color rgb="FFED7D31"/>
      </right>
      <top style="medium">
        <color theme="5" tint="-0.249977111117893"/>
      </top>
      <bottom style="medium">
        <color theme="5" tint="-0.249977111117893"/>
      </bottom>
      <diagonal/>
    </border>
    <border>
      <left/>
      <right/>
      <top style="medium">
        <color theme="5" tint="-0.249977111117893"/>
      </top>
      <bottom/>
      <diagonal/>
    </border>
    <border>
      <left/>
      <right style="medium">
        <color theme="5" tint="-0.249977111117893"/>
      </right>
      <top style="medium">
        <color theme="5" tint="-0.249977111117893"/>
      </top>
      <bottom style="thin">
        <color rgb="FFFFFFFF"/>
      </bottom>
      <diagonal/>
    </border>
    <border>
      <left style="medium">
        <color theme="5" tint="-0.249977111117893"/>
      </left>
      <right style="thin">
        <color rgb="FFED7D31"/>
      </right>
      <top style="thin">
        <color rgb="FFFCE4D6"/>
      </top>
      <bottom style="thin">
        <color rgb="FFFCE4D6"/>
      </bottom>
      <diagonal/>
    </border>
    <border>
      <left style="thin">
        <color rgb="FFED7D31"/>
      </left>
      <right style="thin">
        <color rgb="FFED7D31"/>
      </right>
      <top style="thin">
        <color rgb="FFFCE4D6"/>
      </top>
      <bottom style="thin">
        <color rgb="FFFCE4D6"/>
      </bottom>
      <diagonal/>
    </border>
    <border>
      <left style="thin">
        <color rgb="FFED7D31"/>
      </left>
      <right style="thin">
        <color rgb="FFED7D31"/>
      </right>
      <top style="thin">
        <color rgb="FFF8CBAD"/>
      </top>
      <bottom style="thin">
        <color rgb="FFF8CBAD"/>
      </bottom>
      <diagonal/>
    </border>
    <border>
      <left style="thin">
        <color rgb="FFED7D31"/>
      </left>
      <right style="thin">
        <color rgb="FFED7D31"/>
      </right>
      <top/>
      <bottom/>
      <diagonal/>
    </border>
    <border>
      <left/>
      <right style="medium">
        <color theme="5" tint="-0.249977111117893"/>
      </right>
      <top style="thin">
        <color rgb="FFFCE4D6"/>
      </top>
      <bottom style="thin">
        <color rgb="FFFCE4D6"/>
      </bottom>
      <diagonal/>
    </border>
    <border>
      <left style="medium">
        <color theme="5" tint="-0.249977111117893"/>
      </left>
      <right style="thin">
        <color rgb="FFED7D31"/>
      </right>
      <top style="thin">
        <color rgb="FFF8CBAD"/>
      </top>
      <bottom style="thin">
        <color rgb="FFF8CBAD"/>
      </bottom>
      <diagonal/>
    </border>
    <border>
      <left/>
      <right style="medium">
        <color theme="5" tint="-0.249977111117893"/>
      </right>
      <top style="thin">
        <color rgb="FFF8CBAD"/>
      </top>
      <bottom style="thin">
        <color rgb="FFF8CBAD"/>
      </bottom>
      <diagonal/>
    </border>
    <border>
      <left style="medium">
        <color theme="5" tint="-0.249977111117893"/>
      </left>
      <right style="thin">
        <color rgb="FFED7D31"/>
      </right>
      <top style="thin">
        <color rgb="FFF8CBAD"/>
      </top>
      <bottom style="medium">
        <color theme="5" tint="-0.249977111117893"/>
      </bottom>
      <diagonal/>
    </border>
    <border>
      <left style="thin">
        <color rgb="FFED7D31"/>
      </left>
      <right style="thin">
        <color rgb="FFED7D31"/>
      </right>
      <top style="thin">
        <color rgb="FFF8CBAD"/>
      </top>
      <bottom style="medium">
        <color theme="5" tint="-0.249977111117893"/>
      </bottom>
      <diagonal/>
    </border>
    <border>
      <left style="thin">
        <color rgb="FFED7D31"/>
      </left>
      <right style="thin">
        <color rgb="FFED7D31"/>
      </right>
      <top/>
      <bottom style="medium">
        <color theme="5" tint="-0.249977111117893"/>
      </bottom>
      <diagonal/>
    </border>
    <border>
      <left/>
      <right/>
      <top/>
      <bottom style="medium">
        <color theme="5" tint="-0.249977111117893"/>
      </bottom>
      <diagonal/>
    </border>
    <border>
      <left/>
      <right style="medium">
        <color theme="5" tint="-0.249977111117893"/>
      </right>
      <top style="thin">
        <color rgb="FFF8CBAD"/>
      </top>
      <bottom style="medium">
        <color theme="5" tint="-0.249977111117893"/>
      </bottom>
      <diagonal/>
    </border>
    <border>
      <left style="medium">
        <color theme="5" tint="-0.249977111117893"/>
      </left>
      <right style="thin">
        <color rgb="FFED7D31"/>
      </right>
      <top/>
      <bottom style="medium">
        <color theme="5" tint="-0.249977111117893"/>
      </bottom>
      <diagonal/>
    </border>
    <border>
      <left/>
      <right style="medium">
        <color theme="5" tint="-0.249977111117893"/>
      </right>
      <top/>
      <bottom style="medium">
        <color theme="5" tint="-0.249977111117893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ED7D31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5" tint="-0.249977111117893"/>
      </left>
      <right/>
      <top/>
      <bottom/>
      <diagonal/>
    </border>
    <border>
      <left style="medium">
        <color theme="5" tint="-0.249977111117893"/>
      </left>
      <right style="thin">
        <color rgb="FFED7D31"/>
      </right>
      <top style="thin">
        <color rgb="FFF8CBAD"/>
      </top>
      <bottom/>
      <diagonal/>
    </border>
    <border>
      <left style="thin">
        <color rgb="FFED7D31"/>
      </left>
      <right style="thin">
        <color rgb="FFED7D31"/>
      </right>
      <top style="thin">
        <color rgb="FFF8CBAD"/>
      </top>
      <bottom/>
      <diagonal/>
    </border>
    <border>
      <left style="thin">
        <color rgb="FFED7D31"/>
      </left>
      <right style="thin">
        <color rgb="FFED7D31"/>
      </right>
      <top style="thin">
        <color rgb="FFFCE4D6"/>
      </top>
      <bottom/>
      <diagonal/>
    </border>
    <border>
      <left/>
      <right style="medium">
        <color theme="5" tint="-0.249977111117893"/>
      </right>
      <top style="thin">
        <color rgb="FFF8CBAD"/>
      </top>
      <bottom/>
      <diagonal/>
    </border>
    <border>
      <left style="medium">
        <color theme="5" tint="-0.249977111117893"/>
      </left>
      <right style="thin">
        <color rgb="FFED7D31"/>
      </right>
      <top style="medium">
        <color theme="5" tint="-0.249977111117893"/>
      </top>
      <bottom style="medium">
        <color theme="5" tint="-0.249977111117893"/>
      </bottom>
      <diagonal/>
    </border>
    <border>
      <left/>
      <right/>
      <top style="medium">
        <color theme="5" tint="-0.249977111117893"/>
      </top>
      <bottom style="medium">
        <color theme="5" tint="-0.249977111117893"/>
      </bottom>
      <diagonal/>
    </border>
    <border>
      <left/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</borders>
  <cellStyleXfs count="1">
    <xf numFmtId="0" fontId="0" fillId="0" borderId="0"/>
  </cellStyleXfs>
  <cellXfs count="1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  <xf numFmtId="9" fontId="3" fillId="0" borderId="0" applyAlignment="1" pivotButton="0" quotePrefix="0" xfId="0">
      <alignment vertical="top"/>
    </xf>
    <xf numFmtId="0" fontId="5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8" fillId="5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9" fontId="9" fillId="0" borderId="1" applyAlignment="1" pivotButton="0" quotePrefix="0" xfId="0">
      <alignment horizontal="center" vertical="center"/>
    </xf>
    <xf numFmtId="9" fontId="10" fillId="6" borderId="1" applyAlignment="1" pivotButton="0" quotePrefix="0" xfId="0">
      <alignment horizontal="center" vertical="center"/>
    </xf>
    <xf numFmtId="9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9" fontId="10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4" fillId="6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165" fontId="12" fillId="0" borderId="3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9" fontId="12" fillId="0" borderId="5" applyAlignment="1" pivotButton="0" quotePrefix="0" xfId="0">
      <alignment horizontal="center" vertical="center" wrapText="1"/>
    </xf>
    <xf numFmtId="164" fontId="12" fillId="8" borderId="6" applyAlignment="1" pivotButton="0" quotePrefix="0" xfId="0">
      <alignment vertical="center" wrapText="1"/>
    </xf>
    <xf numFmtId="164" fontId="12" fillId="8" borderId="7" applyAlignment="1" pivotButton="0" quotePrefix="0" xfId="0">
      <alignment vertical="center" wrapText="1"/>
    </xf>
    <xf numFmtId="165" fontId="12" fillId="8" borderId="8" applyAlignment="1" pivotButton="0" quotePrefix="0" xfId="0">
      <alignment horizontal="center" vertical="center" wrapText="1"/>
    </xf>
    <xf numFmtId="165" fontId="12" fillId="8" borderId="9" applyAlignment="1" pivotButton="0" quotePrefix="0" xfId="0">
      <alignment horizontal="center" vertical="center" wrapText="1"/>
    </xf>
    <xf numFmtId="9" fontId="12" fillId="8" borderId="10" applyAlignment="1" pivotButton="0" quotePrefix="0" xfId="0">
      <alignment vertical="center" wrapText="1"/>
    </xf>
    <xf numFmtId="164" fontId="13" fillId="0" borderId="0" pivotButton="0" quotePrefix="0" xfId="0"/>
    <xf numFmtId="164" fontId="14" fillId="0" borderId="11" applyAlignment="1" pivotButton="0" quotePrefix="0" xfId="0">
      <alignment vertical="center" wrapText="1"/>
    </xf>
    <xf numFmtId="164" fontId="14" fillId="0" borderId="12" applyAlignment="1" pivotButton="0" quotePrefix="0" xfId="0">
      <alignment vertical="center" wrapText="1"/>
    </xf>
    <xf numFmtId="164" fontId="14" fillId="0" borderId="13" applyAlignment="1" pivotButton="0" quotePrefix="0" xfId="0">
      <alignment vertical="center" wrapText="1"/>
    </xf>
    <xf numFmtId="0" fontId="0" fillId="0" borderId="14" pivotButton="0" quotePrefix="0" xfId="0"/>
    <xf numFmtId="165" fontId="12" fillId="8" borderId="0" applyAlignment="1" pivotButton="0" quotePrefix="0" xfId="0">
      <alignment horizontal="center" vertical="center" wrapText="1"/>
    </xf>
    <xf numFmtId="9" fontId="14" fillId="0" borderId="15" applyAlignment="1" pivotButton="0" quotePrefix="0" xfId="0">
      <alignment vertical="center" wrapText="1"/>
    </xf>
    <xf numFmtId="164" fontId="14" fillId="0" borderId="16" applyAlignment="1" pivotButton="0" quotePrefix="0" xfId="0">
      <alignment vertical="center" wrapText="1"/>
    </xf>
    <xf numFmtId="9" fontId="14" fillId="0" borderId="17" applyAlignment="1" pivotButton="0" quotePrefix="0" xfId="0">
      <alignment vertical="center" wrapText="1"/>
    </xf>
    <xf numFmtId="164" fontId="14" fillId="0" borderId="18" applyAlignment="1" pivotButton="0" quotePrefix="0" xfId="0">
      <alignment vertical="center" wrapText="1"/>
    </xf>
    <xf numFmtId="164" fontId="14" fillId="0" borderId="19" applyAlignment="1" pivotButton="0" quotePrefix="0" xfId="0">
      <alignment vertical="center" wrapText="1"/>
    </xf>
    <xf numFmtId="0" fontId="0" fillId="0" borderId="20" pivotButton="0" quotePrefix="0" xfId="0"/>
    <xf numFmtId="165" fontId="12" fillId="8" borderId="21" applyAlignment="1" pivotButton="0" quotePrefix="0" xfId="0">
      <alignment horizontal="center" vertical="center" wrapText="1"/>
    </xf>
    <xf numFmtId="9" fontId="14" fillId="0" borderId="22" applyAlignment="1" pivotButton="0" quotePrefix="0" xfId="0">
      <alignment vertical="center" wrapText="1"/>
    </xf>
    <xf numFmtId="164" fontId="15" fillId="0" borderId="23" applyAlignment="1" pivotButton="0" quotePrefix="0" xfId="0">
      <alignment vertical="center" wrapText="1"/>
    </xf>
    <xf numFmtId="0" fontId="16" fillId="0" borderId="21" pivotButton="0" quotePrefix="0" xfId="0"/>
    <xf numFmtId="0" fontId="16" fillId="0" borderId="24" pivotButton="0" quotePrefix="0" xfId="0"/>
    <xf numFmtId="164" fontId="17" fillId="0" borderId="25" applyAlignment="1" pivotButton="0" quotePrefix="0" xfId="0">
      <alignment horizontal="left" vertical="center" wrapText="1"/>
    </xf>
    <xf numFmtId="0" fontId="0" fillId="0" borderId="9" pivotButton="0" quotePrefix="0" xfId="0"/>
    <xf numFmtId="0" fontId="18" fillId="0" borderId="0" applyAlignment="1" pivotButton="0" quotePrefix="0" xfId="0">
      <alignment horizontal="justify" vertical="center"/>
    </xf>
    <xf numFmtId="0" fontId="19" fillId="0" borderId="26" applyAlignment="1" pivotButton="0" quotePrefix="0" xfId="0">
      <alignment vertical="center" wrapText="1"/>
    </xf>
    <xf numFmtId="0" fontId="20" fillId="0" borderId="27" applyAlignment="1" pivotButton="0" quotePrefix="0" xfId="0">
      <alignment vertical="center" wrapText="1"/>
    </xf>
    <xf numFmtId="0" fontId="19" fillId="0" borderId="27" applyAlignment="1" pivotButton="0" quotePrefix="0" xfId="0">
      <alignment horizontal="center" vertical="center" wrapText="1"/>
    </xf>
    <xf numFmtId="0" fontId="20" fillId="9" borderId="28" applyAlignment="1" pivotButton="0" quotePrefix="0" xfId="0">
      <alignment vertical="center" wrapText="1"/>
    </xf>
    <xf numFmtId="0" fontId="20" fillId="9" borderId="29" applyAlignment="1" pivotButton="0" quotePrefix="0" xfId="0">
      <alignment vertical="center" wrapText="1"/>
    </xf>
    <xf numFmtId="0" fontId="20" fillId="9" borderId="29" applyAlignment="1" pivotButton="0" quotePrefix="0" xfId="0">
      <alignment horizontal="right" vertical="center"/>
    </xf>
    <xf numFmtId="0" fontId="20" fillId="10" borderId="28" applyAlignment="1" pivotButton="0" quotePrefix="0" xfId="0">
      <alignment vertical="center" wrapText="1"/>
    </xf>
    <xf numFmtId="0" fontId="20" fillId="10" borderId="29" applyAlignment="1" pivotButton="0" quotePrefix="0" xfId="0">
      <alignment horizontal="right" vertical="center"/>
    </xf>
    <xf numFmtId="0" fontId="20" fillId="11" borderId="28" applyAlignment="1" pivotButton="0" quotePrefix="0" xfId="0">
      <alignment vertical="center" wrapText="1"/>
    </xf>
    <xf numFmtId="0" fontId="20" fillId="11" borderId="29" applyAlignment="1" pivotButton="0" quotePrefix="0" xfId="0">
      <alignment vertical="center" wrapText="1"/>
    </xf>
    <xf numFmtId="0" fontId="20" fillId="11" borderId="29" applyAlignment="1" pivotButton="0" quotePrefix="0" xfId="0">
      <alignment horizontal="right" vertical="center"/>
    </xf>
    <xf numFmtId="0" fontId="19" fillId="0" borderId="28" applyAlignment="1" pivotButton="0" quotePrefix="0" xfId="0">
      <alignment vertical="center" wrapText="1"/>
    </xf>
    <xf numFmtId="0" fontId="20" fillId="0" borderId="29" applyAlignment="1" pivotButton="0" quotePrefix="0" xfId="0">
      <alignment vertical="center" wrapText="1"/>
    </xf>
    <xf numFmtId="0" fontId="19" fillId="0" borderId="29" applyAlignment="1" pivotButton="0" quotePrefix="0" xfId="0">
      <alignment horizontal="right" vertical="center"/>
    </xf>
    <xf numFmtId="0" fontId="19" fillId="12" borderId="29" applyAlignment="1" pivotButton="0" quotePrefix="0" xfId="0">
      <alignment horizontal="right" vertical="center"/>
    </xf>
    <xf numFmtId="0" fontId="20" fillId="12" borderId="29" applyAlignment="1" pivotButton="0" quotePrefix="0" xfId="0">
      <alignment horizontal="right" vertical="center"/>
    </xf>
    <xf numFmtId="0" fontId="21" fillId="0" borderId="26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7" pivotButton="0" quotePrefix="0" xfId="0"/>
    <xf numFmtId="0" fontId="21" fillId="0" borderId="28" applyAlignment="1" pivotButton="0" quotePrefix="0" xfId="0">
      <alignment horizontal="center" vertical="center"/>
    </xf>
    <xf numFmtId="0" fontId="22" fillId="0" borderId="26" applyAlignment="1" pivotButton="0" quotePrefix="0" xfId="0">
      <alignment horizontal="center" vertical="center" wrapText="1"/>
    </xf>
    <xf numFmtId="0" fontId="22" fillId="0" borderId="29" applyAlignment="1" pivotButton="0" quotePrefix="0" xfId="0">
      <alignment horizontal="center" vertical="center" wrapText="1"/>
    </xf>
    <xf numFmtId="0" fontId="21" fillId="0" borderId="28" applyAlignment="1" pivotButton="0" quotePrefix="0" xfId="0">
      <alignment vertical="center"/>
    </xf>
    <xf numFmtId="0" fontId="21" fillId="0" borderId="29" applyAlignment="1" pivotButton="0" quotePrefix="0" xfId="0">
      <alignment horizontal="center" vertical="center"/>
    </xf>
    <xf numFmtId="9" fontId="21" fillId="0" borderId="29" applyAlignment="1" pivotButton="0" quotePrefix="0" xfId="0">
      <alignment horizontal="center" vertical="center" wrapText="1"/>
    </xf>
    <xf numFmtId="0" fontId="21" fillId="0" borderId="29" applyAlignment="1" pivotButton="0" quotePrefix="0" xfId="0">
      <alignment horizontal="center" vertical="center" wrapText="1"/>
    </xf>
    <xf numFmtId="3" fontId="21" fillId="0" borderId="29" applyAlignment="1" pivotButton="0" quotePrefix="0" xfId="0">
      <alignment horizontal="center" vertical="center" wrapText="1"/>
    </xf>
    <xf numFmtId="9" fontId="21" fillId="12" borderId="29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23" fillId="0" borderId="26" applyAlignment="1" pivotButton="0" quotePrefix="0" xfId="0">
      <alignment vertical="center" wrapText="1"/>
    </xf>
    <xf numFmtId="0" fontId="16" fillId="0" borderId="27" applyAlignment="1" pivotButton="0" quotePrefix="0" xfId="0">
      <alignment vertical="center" wrapText="1"/>
    </xf>
    <xf numFmtId="0" fontId="16" fillId="0" borderId="27" applyAlignment="1" pivotButton="0" quotePrefix="0" xfId="0">
      <alignment horizontal="right" vertical="center"/>
    </xf>
    <xf numFmtId="0" fontId="16" fillId="13" borderId="28" applyAlignment="1" pivotButton="0" quotePrefix="0" xfId="0">
      <alignment vertical="center" wrapText="1"/>
    </xf>
    <xf numFmtId="0" fontId="16" fillId="13" borderId="29" applyAlignment="1" pivotButton="0" quotePrefix="0" xfId="0">
      <alignment vertical="center" wrapText="1"/>
    </xf>
    <xf numFmtId="0" fontId="16" fillId="13" borderId="29" applyAlignment="1" pivotButton="0" quotePrefix="0" xfId="0">
      <alignment horizontal="center" vertical="center"/>
    </xf>
    <xf numFmtId="0" fontId="16" fillId="11" borderId="28" applyAlignment="1" pivotButton="0" quotePrefix="0" xfId="0">
      <alignment vertical="center" wrapText="1"/>
    </xf>
    <xf numFmtId="0" fontId="16" fillId="11" borderId="29" applyAlignment="1" pivotButton="0" quotePrefix="0" xfId="0">
      <alignment vertical="center" wrapText="1"/>
    </xf>
    <xf numFmtId="0" fontId="16" fillId="11" borderId="29" applyAlignment="1" pivotButton="0" quotePrefix="0" xfId="0">
      <alignment horizontal="center" vertical="center"/>
    </xf>
    <xf numFmtId="0" fontId="23" fillId="0" borderId="0" applyAlignment="1" pivotButton="0" quotePrefix="0" xfId="0">
      <alignment wrapText="1"/>
    </xf>
    <xf numFmtId="0" fontId="24" fillId="0" borderId="0" applyAlignment="1" pivotButton="0" quotePrefix="0" xfId="0">
      <alignment horizontal="justify" vertical="center"/>
    </xf>
    <xf numFmtId="0" fontId="25" fillId="0" borderId="34" applyAlignment="1" pivotButton="0" quotePrefix="0" xfId="0">
      <alignment vertical="center" wrapText="1"/>
    </xf>
    <xf numFmtId="0" fontId="25" fillId="0" borderId="26" applyAlignment="1" pivotButton="0" quotePrefix="0" xfId="0">
      <alignment vertical="center" wrapText="1"/>
    </xf>
    <xf numFmtId="0" fontId="25" fillId="0" borderId="26" applyAlignment="1" pivotButton="0" quotePrefix="0" xfId="0">
      <alignment horizontal="center" vertical="center" wrapText="1"/>
    </xf>
    <xf numFmtId="0" fontId="25" fillId="0" borderId="28" applyAlignment="1" pivotButton="0" quotePrefix="0" xfId="0">
      <alignment vertical="center" wrapText="1"/>
    </xf>
    <xf numFmtId="0" fontId="0" fillId="0" borderId="28" pivotButton="0" quotePrefix="0" xfId="0"/>
    <xf numFmtId="0" fontId="25" fillId="9" borderId="28" applyAlignment="1" pivotButton="0" quotePrefix="0" xfId="0">
      <alignment vertical="center"/>
    </xf>
    <xf numFmtId="0" fontId="25" fillId="9" borderId="29" applyAlignment="1" pivotButton="0" quotePrefix="0" xfId="0">
      <alignment vertical="center"/>
    </xf>
    <xf numFmtId="0" fontId="25" fillId="9" borderId="29" applyAlignment="1" pivotButton="0" quotePrefix="0" xfId="0">
      <alignment horizontal="right" vertical="center"/>
    </xf>
    <xf numFmtId="0" fontId="25" fillId="9" borderId="28" applyAlignment="1" pivotButton="0" quotePrefix="0" xfId="0">
      <alignment vertical="center" wrapText="1"/>
    </xf>
    <xf numFmtId="0" fontId="25" fillId="11" borderId="28" applyAlignment="1" pivotButton="0" quotePrefix="0" xfId="0">
      <alignment vertical="center"/>
    </xf>
    <xf numFmtId="0" fontId="25" fillId="11" borderId="29" applyAlignment="1" pivotButton="0" quotePrefix="0" xfId="0">
      <alignment vertical="center" wrapText="1"/>
    </xf>
    <xf numFmtId="0" fontId="25" fillId="11" borderId="29" applyAlignment="1" pivotButton="0" quotePrefix="0" xfId="0">
      <alignment horizontal="right" vertical="center"/>
    </xf>
    <xf numFmtId="0" fontId="25" fillId="0" borderId="28" applyAlignment="1" pivotButton="0" quotePrefix="0" xfId="0">
      <alignment vertical="center"/>
    </xf>
    <xf numFmtId="0" fontId="25" fillId="0" borderId="29" applyAlignment="1" pivotButton="0" quotePrefix="0" xfId="0">
      <alignment vertical="center"/>
    </xf>
    <xf numFmtId="0" fontId="21" fillId="0" borderId="29" applyAlignment="1" pivotButton="0" quotePrefix="0" xfId="0">
      <alignment horizontal="right" vertical="center"/>
    </xf>
    <xf numFmtId="0" fontId="25" fillId="0" borderId="29" applyAlignment="1" pivotButton="0" quotePrefix="0" xfId="0">
      <alignment horizontal="right" vertical="center"/>
    </xf>
    <xf numFmtId="0" fontId="25" fillId="12" borderId="29" applyAlignment="1" pivotButton="0" quotePrefix="0" xfId="0">
      <alignment horizontal="right" vertical="center"/>
    </xf>
    <xf numFmtId="0" fontId="25" fillId="0" borderId="27" applyAlignment="1" pivotButton="0" quotePrefix="0" xfId="0">
      <alignment vertical="center" wrapText="1"/>
    </xf>
    <xf numFmtId="0" fontId="25" fillId="0" borderId="27" applyAlignment="1" pivotButton="0" quotePrefix="0" xfId="0">
      <alignment horizontal="center" vertical="center" wrapText="1"/>
    </xf>
    <xf numFmtId="0" fontId="25" fillId="11" borderId="26" applyAlignment="1" pivotButton="0" quotePrefix="0" xfId="0">
      <alignment vertical="center"/>
    </xf>
    <xf numFmtId="0" fontId="25" fillId="11" borderId="27" applyAlignment="1" pivotButton="0" quotePrefix="0" xfId="0">
      <alignment vertical="center"/>
    </xf>
    <xf numFmtId="0" fontId="25" fillId="0" borderId="28" applyAlignment="1" pivotButton="0" quotePrefix="0" xfId="0">
      <alignment horizontal="center" vertical="center"/>
    </xf>
    <xf numFmtId="3" fontId="25" fillId="0" borderId="29" applyAlignment="1" pivotButton="0" quotePrefix="0" xfId="0">
      <alignment horizontal="right" vertical="center"/>
    </xf>
    <xf numFmtId="9" fontId="25" fillId="0" borderId="29" applyAlignment="1" pivotButton="0" quotePrefix="0" xfId="0">
      <alignment horizontal="right" vertical="center"/>
    </xf>
    <xf numFmtId="9" fontId="25" fillId="12" borderId="29" applyAlignment="1" pivotButton="0" quotePrefix="0" xfId="0">
      <alignment horizontal="right" vertical="center"/>
    </xf>
    <xf numFmtId="3" fontId="25" fillId="0" borderId="35" applyAlignment="1" pivotButton="0" quotePrefix="0" xfId="0">
      <alignment horizontal="right" vertical="center"/>
    </xf>
    <xf numFmtId="3" fontId="25" fillId="0" borderId="26" applyAlignment="1" pivotButton="0" quotePrefix="0" xfId="0">
      <alignment horizontal="right" vertical="center"/>
    </xf>
    <xf numFmtId="9" fontId="25" fillId="0" borderId="35" applyAlignment="1" pivotButton="0" quotePrefix="0" xfId="0">
      <alignment horizontal="right" vertical="center"/>
    </xf>
    <xf numFmtId="0" fontId="25" fillId="0" borderId="36" applyAlignment="1" pivotButton="0" quotePrefix="0" xfId="0">
      <alignment horizontal="center" vertical="center"/>
    </xf>
    <xf numFmtId="9" fontId="25" fillId="0" borderId="26" applyAlignment="1" pivotButton="0" quotePrefix="0" xfId="0">
      <alignment horizontal="right" vertical="center"/>
    </xf>
    <xf numFmtId="0" fontId="16" fillId="0" borderId="39" applyAlignment="1" pivotButton="0" quotePrefix="0" xfId="0">
      <alignment horizontal="center" wrapText="1"/>
    </xf>
    <xf numFmtId="9" fontId="14" fillId="0" borderId="22" applyAlignment="1" pivotButton="0" quotePrefix="0" xfId="0">
      <alignment horizontal="right" vertical="center" wrapText="1"/>
    </xf>
    <xf numFmtId="0" fontId="23" fillId="0" borderId="0" pivotButton="0" quotePrefix="0" xfId="0"/>
    <xf numFmtId="0" fontId="24" fillId="0" borderId="0" applyAlignment="1" pivotButton="0" quotePrefix="0" xfId="0">
      <alignment horizontal="center" vertical="center"/>
    </xf>
    <xf numFmtId="9" fontId="25" fillId="12" borderId="26" applyAlignment="1" pivotButton="0" quotePrefix="0" xfId="0">
      <alignment horizontal="right" vertical="center"/>
    </xf>
    <xf numFmtId="164" fontId="14" fillId="12" borderId="12" applyAlignment="1" pivotButton="0" quotePrefix="0" xfId="0">
      <alignment vertical="center" wrapText="1"/>
    </xf>
    <xf numFmtId="0" fontId="26" fillId="0" borderId="26" applyAlignment="1" pivotButton="0" quotePrefix="0" xfId="0">
      <alignment horizontal="center" vertical="center" wrapText="1"/>
    </xf>
    <xf numFmtId="0" fontId="26" fillId="9" borderId="29" applyAlignment="1" pivotButton="0" quotePrefix="0" xfId="0">
      <alignment horizontal="right" vertical="center"/>
    </xf>
    <xf numFmtId="0" fontId="26" fillId="11" borderId="29" applyAlignment="1" pivotButton="0" quotePrefix="0" xfId="0">
      <alignment horizontal="right" vertical="center"/>
    </xf>
    <xf numFmtId="0" fontId="26" fillId="0" borderId="29" applyAlignment="1" pivotButton="0" quotePrefix="0" xfId="0">
      <alignment horizontal="right" vertical="center"/>
    </xf>
    <xf numFmtId="0" fontId="26" fillId="0" borderId="27" applyAlignment="1" pivotButton="0" quotePrefix="0" xfId="0">
      <alignment horizontal="center" vertical="center" wrapText="1"/>
    </xf>
    <xf numFmtId="0" fontId="26" fillId="12" borderId="29" applyAlignment="1" pivotButton="0" quotePrefix="0" xfId="0">
      <alignment horizontal="right" vertical="center"/>
    </xf>
    <xf numFmtId="164" fontId="16" fillId="0" borderId="0" pivotButton="0" quotePrefix="0" xfId="0"/>
    <xf numFmtId="0" fontId="27" fillId="0" borderId="2" applyAlignment="1" pivotButton="0" quotePrefix="0" xfId="0">
      <alignment horizontal="center" vertical="center" wrapText="1"/>
    </xf>
    <xf numFmtId="0" fontId="27" fillId="0" borderId="3" applyAlignment="1" pivotButton="0" quotePrefix="0" xfId="0">
      <alignment horizontal="center" vertical="center" wrapText="1"/>
    </xf>
    <xf numFmtId="165" fontId="27" fillId="0" borderId="3" applyAlignment="1" pivotButton="0" quotePrefix="0" xfId="0">
      <alignment horizontal="center" vertical="center" wrapText="1"/>
    </xf>
    <xf numFmtId="9" fontId="27" fillId="0" borderId="5" applyAlignment="1" pivotButton="0" quotePrefix="0" xfId="0">
      <alignment horizontal="center" vertical="center" wrapText="1"/>
    </xf>
    <xf numFmtId="164" fontId="27" fillId="8" borderId="6" applyAlignment="1" pivotButton="0" quotePrefix="0" xfId="0">
      <alignment vertical="center" wrapText="1"/>
    </xf>
    <xf numFmtId="164" fontId="27" fillId="8" borderId="7" applyAlignment="1" pivotButton="0" quotePrefix="0" xfId="0">
      <alignment vertical="center" wrapText="1"/>
    </xf>
    <xf numFmtId="165" fontId="27" fillId="8" borderId="3" applyAlignment="1" pivotButton="0" quotePrefix="0" xfId="0">
      <alignment horizontal="center" vertical="center" wrapText="1"/>
    </xf>
    <xf numFmtId="9" fontId="27" fillId="8" borderId="10" applyAlignment="1" pivotButton="0" quotePrefix="0" xfId="0">
      <alignment vertical="center" wrapText="1"/>
    </xf>
    <xf numFmtId="164" fontId="28" fillId="0" borderId="11" applyAlignment="1" pivotButton="0" quotePrefix="0" xfId="0">
      <alignment vertical="center" wrapText="1"/>
    </xf>
    <xf numFmtId="164" fontId="28" fillId="0" borderId="12" applyAlignment="1" pivotButton="0" quotePrefix="0" xfId="0">
      <alignment vertical="center" wrapText="1"/>
    </xf>
    <xf numFmtId="164" fontId="28" fillId="0" borderId="13" applyAlignment="1" pivotButton="0" quotePrefix="0" xfId="0">
      <alignment vertical="center" wrapText="1"/>
    </xf>
    <xf numFmtId="9" fontId="28" fillId="0" borderId="15" applyAlignment="1" pivotButton="0" quotePrefix="0" xfId="0">
      <alignment vertical="center" wrapText="1"/>
    </xf>
    <xf numFmtId="164" fontId="28" fillId="0" borderId="40" applyAlignment="1" pivotButton="0" quotePrefix="0" xfId="0">
      <alignment vertical="center" wrapText="1"/>
    </xf>
    <xf numFmtId="164" fontId="28" fillId="0" borderId="41" applyAlignment="1" pivotButton="0" quotePrefix="0" xfId="0">
      <alignment vertical="center" wrapText="1"/>
    </xf>
    <xf numFmtId="164" fontId="28" fillId="0" borderId="42" applyAlignment="1" pivotButton="0" quotePrefix="0" xfId="0">
      <alignment vertical="center" wrapText="1"/>
    </xf>
    <xf numFmtId="9" fontId="28" fillId="0" borderId="43" applyAlignment="1" pivotButton="0" quotePrefix="0" xfId="0">
      <alignment vertical="center" wrapText="1"/>
    </xf>
    <xf numFmtId="164" fontId="29" fillId="0" borderId="44" applyAlignment="1" pivotButton="0" quotePrefix="0" xfId="0">
      <alignment vertical="center" wrapText="1"/>
    </xf>
    <xf numFmtId="0" fontId="13" fillId="0" borderId="45" pivotButton="0" quotePrefix="0" xfId="0"/>
    <xf numFmtId="0" fontId="13" fillId="0" borderId="46" pivotButton="0" quotePrefix="0" xfId="0"/>
    <xf numFmtId="164" fontId="30" fillId="0" borderId="25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justify" vertical="center"/>
    </xf>
    <xf numFmtId="0" fontId="32" fillId="0" borderId="0" applyAlignment="1" pivotButton="0" quotePrefix="0" xfId="0">
      <alignment horizontal="justify" vertical="center"/>
    </xf>
    <xf numFmtId="0" fontId="26" fillId="0" borderId="34" applyAlignment="1" pivotButton="0" quotePrefix="0" xfId="0">
      <alignment vertical="center" wrapText="1"/>
    </xf>
    <xf numFmtId="0" fontId="26" fillId="0" borderId="26" applyAlignment="1" pivotButton="0" quotePrefix="0" xfId="0">
      <alignment vertical="center" wrapText="1"/>
    </xf>
    <xf numFmtId="0" fontId="26" fillId="0" borderId="28" applyAlignment="1" pivotButton="0" quotePrefix="0" xfId="0">
      <alignment vertical="center" wrapText="1"/>
    </xf>
    <xf numFmtId="0" fontId="26" fillId="9" borderId="28" applyAlignment="1" pivotButton="0" quotePrefix="0" xfId="0">
      <alignment vertical="center"/>
    </xf>
    <xf numFmtId="0" fontId="26" fillId="9" borderId="29" applyAlignment="1" pivotButton="0" quotePrefix="0" xfId="0">
      <alignment vertical="center"/>
    </xf>
    <xf numFmtId="0" fontId="26" fillId="9" borderId="28" applyAlignment="1" pivotButton="0" quotePrefix="0" xfId="0">
      <alignment vertical="center" wrapText="1"/>
    </xf>
    <xf numFmtId="0" fontId="26" fillId="11" borderId="28" applyAlignment="1" pivotButton="0" quotePrefix="0" xfId="0">
      <alignment vertical="center"/>
    </xf>
    <xf numFmtId="0" fontId="26" fillId="11" borderId="29" applyAlignment="1" pivotButton="0" quotePrefix="0" xfId="0">
      <alignment vertical="center" wrapText="1"/>
    </xf>
    <xf numFmtId="0" fontId="26" fillId="0" borderId="28" applyAlignment="1" pivotButton="0" quotePrefix="0" xfId="0">
      <alignment vertical="center"/>
    </xf>
    <xf numFmtId="0" fontId="26" fillId="0" borderId="29" applyAlignment="1" pivotButton="0" quotePrefix="0" xfId="0">
      <alignment vertical="center"/>
    </xf>
    <xf numFmtId="0" fontId="33" fillId="0" borderId="29" applyAlignment="1" pivotButton="0" quotePrefix="0" xfId="0">
      <alignment horizontal="right" vertical="center"/>
    </xf>
    <xf numFmtId="0" fontId="26" fillId="0" borderId="27" applyAlignment="1" pivotButton="0" quotePrefix="0" xfId="0">
      <alignment vertical="center" wrapText="1"/>
    </xf>
    <xf numFmtId="0" fontId="26" fillId="11" borderId="26" applyAlignment="1" pivotButton="0" quotePrefix="0" xfId="0">
      <alignment vertical="center"/>
    </xf>
    <xf numFmtId="0" fontId="26" fillId="11" borderId="27" applyAlignment="1" pivotButton="0" quotePrefix="0" xfId="0">
      <alignment vertical="center"/>
    </xf>
    <xf numFmtId="0" fontId="26" fillId="0" borderId="28" applyAlignment="1" pivotButton="0" quotePrefix="0" xfId="0">
      <alignment horizontal="center" vertical="center"/>
    </xf>
    <xf numFmtId="3" fontId="26" fillId="0" borderId="29" applyAlignment="1" pivotButton="0" quotePrefix="0" xfId="0">
      <alignment horizontal="right" vertical="center"/>
    </xf>
    <xf numFmtId="9" fontId="26" fillId="0" borderId="29" applyAlignment="1" pivotButton="0" quotePrefix="0" xfId="0">
      <alignment horizontal="right" vertical="center"/>
    </xf>
    <xf numFmtId="165" fontId="27" fillId="8" borderId="8" applyAlignment="1" pivotButton="0" quotePrefix="0" xfId="0">
      <alignment horizontal="center" vertical="center" wrapText="1"/>
    </xf>
    <xf numFmtId="164" fontId="28" fillId="0" borderId="16" applyAlignment="1" pivotButton="0" quotePrefix="0" xfId="0">
      <alignment vertical="center" wrapText="1"/>
    </xf>
    <xf numFmtId="9" fontId="28" fillId="0" borderId="17" applyAlignment="1" pivotButton="0" quotePrefix="0" xfId="0">
      <alignment vertical="center" wrapText="1"/>
    </xf>
    <xf numFmtId="164" fontId="28" fillId="0" borderId="18" applyAlignment="1" pivotButton="0" quotePrefix="0" xfId="0">
      <alignment vertical="center" wrapText="1"/>
    </xf>
    <xf numFmtId="164" fontId="28" fillId="0" borderId="19" applyAlignment="1" pivotButton="0" quotePrefix="0" xfId="0">
      <alignment vertical="center" wrapText="1"/>
    </xf>
    <xf numFmtId="9" fontId="28" fillId="0" borderId="22" applyAlignment="1" pivotButton="0" quotePrefix="0" xfId="0">
      <alignment vertical="center" wrapText="1"/>
    </xf>
    <xf numFmtId="164" fontId="29" fillId="0" borderId="23" applyAlignment="1" pivotButton="0" quotePrefix="0" xfId="0">
      <alignment vertical="center" wrapText="1"/>
    </xf>
    <xf numFmtId="0" fontId="13" fillId="0" borderId="21" pivotButton="0" quotePrefix="0" xfId="0"/>
    <xf numFmtId="0" fontId="13" fillId="0" borderId="24" pivotButton="0" quotePrefix="0" xfId="0"/>
    <xf numFmtId="0" fontId="21" fillId="12" borderId="2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148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9" customWidth="1" min="3" max="3"/>
    <col width="22" customWidth="1" min="4" max="4"/>
    <col width="44" customWidth="1" min="5" max="5"/>
    <col width="54" customWidth="1" min="6" max="6"/>
    <col width="9" customWidth="1" min="7" max="7"/>
    <col width="7" customWidth="1" min="8" max="8"/>
    <col width="14" customWidth="1" min="9" max="9"/>
    <col width="8" customWidth="1" min="10" max="10"/>
    <col width="9" customWidth="1" min="11" max="11"/>
    <col width="9" customWidth="1" min="12" max="12"/>
    <col width="11" customWidth="1" min="13" max="13"/>
    <col width="9" customWidth="1" min="14" max="14"/>
    <col width="15" customWidth="1" min="15" max="15"/>
    <col width="17" customWidth="1" min="16" max="16"/>
    <col hidden="1" outlineLevel="1" width="42" customWidth="1" min="17" max="22"/>
  </cols>
  <sheetData>
    <row r="1" ht="30" customHeight="1">
      <c r="A1" s="1" t="inlineStr">
        <is>
          <t>Дилер</t>
        </is>
      </c>
      <c r="B1" s="1" t="inlineStr">
        <is>
          <t>Тип</t>
        </is>
      </c>
      <c r="C1" s="1" t="inlineStr">
        <is>
          <t>Раздел</t>
        </is>
      </c>
      <c r="D1" s="1" t="inlineStr">
        <is>
          <t>Категория</t>
        </is>
      </c>
      <c r="E1" s="1" t="inlineStr">
        <is>
          <t>Таблица</t>
        </is>
      </c>
      <c r="F1" s="1" t="inlineStr">
        <is>
          <t>Показатель</t>
        </is>
      </c>
      <c r="G1" s="1" t="inlineStr">
        <is>
          <t>№ строки</t>
        </is>
      </c>
      <c r="H1" s="1" t="inlineStr">
        <is>
          <t>Итог</t>
        </is>
      </c>
      <c r="I1" s="1" t="inlineStr">
        <is>
          <t>Тир</t>
        </is>
      </c>
      <c r="J1" s="1" t="inlineStr">
        <is>
          <t>№ тира</t>
        </is>
      </c>
      <c r="K1" s="1" t="inlineStr">
        <is>
          <t>Тир от</t>
        </is>
      </c>
      <c r="L1" s="1" t="inlineStr">
        <is>
          <t>Тир до</t>
        </is>
      </c>
      <c r="M1" s="1" t="inlineStr">
        <is>
          <t>Значение</t>
        </is>
      </c>
      <c r="N1" s="1" t="inlineStr">
        <is>
          <t>Единица</t>
        </is>
      </c>
      <c r="O1" s="1" t="inlineStr">
        <is>
          <t>Вкладка (была)</t>
        </is>
      </c>
      <c r="P1" s="1" t="inlineStr">
        <is>
          <t>Ячейка в исходнике</t>
        </is>
      </c>
      <c r="Q1" s="2" t="inlineStr">
        <is>
          <t>Ключ: строка</t>
        </is>
      </c>
      <c r="R1" s="2" t="inlineStr">
        <is>
          <t>Ключ: тир</t>
        </is>
      </c>
      <c r="S1" s="2" t="inlineStr">
        <is>
          <t>Ключ: значение</t>
        </is>
      </c>
      <c r="T1" s="2" t="inlineStr">
        <is>
          <t>Ключ: порядок строки</t>
        </is>
      </c>
      <c r="U1" s="2" t="inlineStr">
        <is>
          <t>Ключ: итог</t>
        </is>
      </c>
      <c r="V1" s="2" t="inlineStr">
        <is>
          <t>Ключ: колонка плана</t>
        </is>
      </c>
    </row>
    <row r="2">
      <c r="A2" s="3" t="inlineStr">
        <is>
          <t>КОМПО Технолоджис</t>
        </is>
      </c>
      <c r="B2" s="3" t="inlineStr">
        <is>
          <t>РФ</t>
        </is>
      </c>
      <c r="C2" s="3" t="inlineStr">
        <is>
          <t>План</t>
        </is>
      </c>
      <c r="D2" s="3" t="inlineStr">
        <is>
          <t>Итого по дилеру</t>
        </is>
      </c>
      <c r="E2" s="3" t="inlineStr">
        <is>
          <t>План и бонусы</t>
        </is>
      </c>
      <c r="F2" s="3" t="inlineStr">
        <is>
          <t>Выручка 2024</t>
        </is>
      </c>
      <c r="G2" s="4" t="n">
        <v>1</v>
      </c>
      <c r="H2" s="4" t="n"/>
      <c r="I2" s="3" t="n"/>
      <c r="J2" s="4" t="n">
        <v>1</v>
      </c>
      <c r="K2" s="4" t="n"/>
      <c r="L2" s="4" t="n"/>
      <c r="M2" s="5" t="n">
        <v>4164812</v>
      </c>
      <c r="N2" s="4" t="inlineStr">
        <is>
          <t>EUR</t>
        </is>
      </c>
      <c r="O2" s="3" t="inlineStr">
        <is>
          <t>КТ</t>
        </is>
      </c>
      <c r="P2" s="3" t="inlineStr">
        <is>
          <t>D4</t>
        </is>
      </c>
      <c t="str" r="Q2" s="6">
        <f>A2&amp;"|"&amp;C2&amp;"|"&amp;D2&amp;"|"&amp;G2</f>
        <v>КОМПО Технолоджис|План|Итого по дилеру|1</v>
      </c>
      <c t="str" r="R2" s="6">
        <f>A2&amp;"|"&amp;C2&amp;"|"&amp;D2&amp;"|"&amp;J2</f>
        <v>КОМПО Технолоджис|План|Итого по дилеру|1</v>
      </c>
      <c t="str" r="S2" s="6">
        <f>A2&amp;"|"&amp;C2&amp;"|"&amp;D2&amp;"|"&amp;G2&amp;"|"&amp;J2</f>
        <v>КОМПО Технолоджис|План|Итого по дилеру|1|1</v>
      </c>
      <c t="str" r="T2" s="6">
        <f>A2&amp;"|"&amp;C2&amp;"|"&amp;G2</f>
        <v>КОМПО Технолоджис|План|1</v>
      </c>
      <c t="str" r="U2" s="6">
        <f>IF(H2="да",A2&amp;"|"&amp;C2&amp;"|"&amp;D2&amp;"|"&amp;J2,"")</f>
        <v/>
      </c>
      <c t="str" r="V2" s="6">
        <f>IF(C2="План",A2&amp;"|"&amp;J2,"")</f>
        <v>КОМПО Технолоджис|1</v>
      </c>
    </row>
    <row r="3">
      <c r="A3" s="3" t="inlineStr">
        <is>
          <t>КОМПО Технолоджис</t>
        </is>
      </c>
      <c r="B3" s="3" t="inlineStr">
        <is>
          <t>РФ</t>
        </is>
      </c>
      <c r="C3" s="3" t="inlineStr">
        <is>
          <t>План</t>
        </is>
      </c>
      <c r="D3" s="3" t="inlineStr">
        <is>
          <t>Итого по дилеру</t>
        </is>
      </c>
      <c r="E3" s="3" t="inlineStr">
        <is>
          <t>План и бонусы</t>
        </is>
      </c>
      <c r="F3" s="3" t="inlineStr">
        <is>
          <t>Выручка 2025</t>
        </is>
      </c>
      <c r="G3" s="4" t="n">
        <v>1</v>
      </c>
      <c r="H3" s="4" t="n"/>
      <c r="I3" s="3" t="n"/>
      <c r="J3" s="4" t="n">
        <v>2</v>
      </c>
      <c r="K3" s="4" t="n"/>
      <c r="L3" s="4" t="n"/>
      <c r="M3" s="5" t="n">
        <v>4121760</v>
      </c>
      <c r="N3" s="4" t="inlineStr">
        <is>
          <t>EUR</t>
        </is>
      </c>
      <c r="O3" s="3" t="inlineStr">
        <is>
          <t>КТ</t>
        </is>
      </c>
      <c r="P3" s="3" t="inlineStr">
        <is>
          <t>E4</t>
        </is>
      </c>
      <c t="str" r="Q3" s="6">
        <f>A3&amp;"|"&amp;C3&amp;"|"&amp;D3&amp;"|"&amp;G3</f>
        <v>КОМПО Технолоджис|План|Итого по дилеру|1</v>
      </c>
      <c t="str" r="R3" s="6">
        <f>A3&amp;"|"&amp;C3&amp;"|"&amp;D3&amp;"|"&amp;J3</f>
        <v>КОМПО Технолоджис|План|Итого по дилеру|2</v>
      </c>
      <c t="str" r="S3" s="6">
        <f>A3&amp;"|"&amp;C3&amp;"|"&amp;D3&amp;"|"&amp;G3&amp;"|"&amp;J3</f>
        <v>КОМПО Технолоджис|План|Итого по дилеру|1|2</v>
      </c>
      <c t="str" r="T3" s="6">
        <f>A3&amp;"|"&amp;C3&amp;"|"&amp;G3</f>
        <v>КОМПО Технолоджис|План|1</v>
      </c>
      <c t="str" r="U3" s="6">
        <f>IF(H3="да",A3&amp;"|"&amp;C3&amp;"|"&amp;D3&amp;"|"&amp;J3,"")</f>
        <v/>
      </c>
      <c t="str" r="V3" s="6">
        <f>IF(C3="План",A3&amp;"|"&amp;J3,"")</f>
        <v>КОМПО Технолоджис|2</v>
      </c>
    </row>
    <row r="4">
      <c r="A4" s="3" t="inlineStr">
        <is>
          <t>КОМПО Технолоджис</t>
        </is>
      </c>
      <c r="B4" s="3" t="inlineStr">
        <is>
          <t>РФ</t>
        </is>
      </c>
      <c r="C4" s="3" t="inlineStr">
        <is>
          <t>План</t>
        </is>
      </c>
      <c r="D4" s="3" t="inlineStr">
        <is>
          <t>Итого по дилеру</t>
        </is>
      </c>
      <c r="E4" s="3" t="inlineStr">
        <is>
          <t>План и бонусы</t>
        </is>
      </c>
      <c r="F4" s="3" t="inlineStr">
        <is>
          <t>План 2026</t>
        </is>
      </c>
      <c r="G4" s="4" t="n">
        <v>1</v>
      </c>
      <c r="H4" s="4" t="n"/>
      <c r="I4" s="3" t="n"/>
      <c r="J4" s="4" t="n">
        <v>3</v>
      </c>
      <c r="K4" s="4" t="n"/>
      <c r="L4" s="4" t="n"/>
      <c r="M4" s="5" t="n">
        <v>4142911.99</v>
      </c>
      <c r="N4" s="4" t="inlineStr">
        <is>
          <t>EUR</t>
        </is>
      </c>
      <c r="O4" s="3" t="inlineStr">
        <is>
          <t>КТ</t>
        </is>
      </c>
      <c r="P4" s="3" t="inlineStr">
        <is>
          <t>F4</t>
        </is>
      </c>
      <c t="str" r="Q4" s="6">
        <f>A4&amp;"|"&amp;C4&amp;"|"&amp;D4&amp;"|"&amp;G4</f>
        <v>КОМПО Технолоджис|План|Итого по дилеру|1</v>
      </c>
      <c t="str" r="R4" s="6">
        <f>A4&amp;"|"&amp;C4&amp;"|"&amp;D4&amp;"|"&amp;J4</f>
        <v>КОМПО Технолоджис|План|Итого по дилеру|3</v>
      </c>
      <c t="str" r="S4" s="6">
        <f>A4&amp;"|"&amp;C4&amp;"|"&amp;D4&amp;"|"&amp;G4&amp;"|"&amp;J4</f>
        <v>КОМПО Технолоджис|План|Итого по дилеру|1|3</v>
      </c>
      <c t="str" r="T4" s="6">
        <f>A4&amp;"|"&amp;C4&amp;"|"&amp;G4</f>
        <v>КОМПО Технолоджис|План|1</v>
      </c>
      <c t="str" r="U4" s="6">
        <f>IF(H4="да",A4&amp;"|"&amp;C4&amp;"|"&amp;D4&amp;"|"&amp;J4,"")</f>
        <v/>
      </c>
      <c t="str" r="V4" s="6">
        <f>IF(C4="План",A4&amp;"|"&amp;J4,"")</f>
        <v>КОМПО Технолоджис|3</v>
      </c>
    </row>
    <row r="5">
      <c r="A5" s="3" t="inlineStr">
        <is>
          <t>КОМПО Технолоджис</t>
        </is>
      </c>
      <c r="B5" s="3" t="inlineStr">
        <is>
          <t>РФ</t>
        </is>
      </c>
      <c r="C5" s="3" t="inlineStr">
        <is>
          <t>План</t>
        </is>
      </c>
      <c r="D5" s="3" t="inlineStr">
        <is>
          <t>Итого по дилеру</t>
        </is>
      </c>
      <c r="E5" s="3" t="inlineStr">
        <is>
          <t>План и бонусы</t>
        </is>
      </c>
      <c r="F5" s="3" t="inlineStr">
        <is>
          <t>Прирост П/Ф</t>
        </is>
      </c>
      <c r="G5" s="4" t="n">
        <v>1</v>
      </c>
      <c r="H5" s="4" t="n"/>
      <c r="I5" s="3" t="n"/>
      <c r="J5" s="4" t="n">
        <v>4</v>
      </c>
      <c r="K5" s="4" t="n"/>
      <c r="L5" s="4" t="n"/>
      <c r="M5" s="7" t="n">
        <v>0.005131785936105082</v>
      </c>
      <c r="N5" s="4" t="inlineStr">
        <is>
          <t>%</t>
        </is>
      </c>
      <c r="O5" s="3" t="inlineStr">
        <is>
          <t>КТ</t>
        </is>
      </c>
      <c r="P5" s="3" t="inlineStr">
        <is>
          <t>G4</t>
        </is>
      </c>
      <c t="str" r="Q5" s="6">
        <f>A5&amp;"|"&amp;C5&amp;"|"&amp;D5&amp;"|"&amp;G5</f>
        <v>КОМПО Технолоджис|План|Итого по дилеру|1</v>
      </c>
      <c t="str" r="R5" s="6">
        <f>A5&amp;"|"&amp;C5&amp;"|"&amp;D5&amp;"|"&amp;J5</f>
        <v>КОМПО Технолоджис|План|Итого по дилеру|4</v>
      </c>
      <c t="str" r="S5" s="6">
        <f>A5&amp;"|"&amp;C5&amp;"|"&amp;D5&amp;"|"&amp;G5&amp;"|"&amp;J5</f>
        <v>КОМПО Технолоджис|План|Итого по дилеру|1|4</v>
      </c>
      <c t="str" r="T5" s="6">
        <f>A5&amp;"|"&amp;C5&amp;"|"&amp;G5</f>
        <v>КОМПО Технолоджис|План|1</v>
      </c>
      <c t="str" r="U5" s="6">
        <f>IF(H5="да",A5&amp;"|"&amp;C5&amp;"|"&amp;D5&amp;"|"&amp;J5,"")</f>
        <v/>
      </c>
      <c t="str" r="V5" s="6">
        <f>IF(C5="План",A5&amp;"|"&amp;J5,"")</f>
        <v>КОМПО Технолоджис|4</v>
      </c>
    </row>
    <row r="6">
      <c r="A6" s="3" t="inlineStr">
        <is>
          <t>КОМПО Технолоджис</t>
        </is>
      </c>
      <c r="B6" s="3" t="inlineStr">
        <is>
          <t>РФ</t>
        </is>
      </c>
      <c r="C6" s="3" t="inlineStr">
        <is>
          <t>План</t>
        </is>
      </c>
      <c r="D6" s="3" t="inlineStr">
        <is>
          <t>Сервис</t>
        </is>
      </c>
      <c r="E6" s="3" t="inlineStr">
        <is>
          <t>План и бонусы</t>
        </is>
      </c>
      <c r="F6" s="3" t="inlineStr">
        <is>
          <t>Выручка 2024</t>
        </is>
      </c>
      <c r="G6" s="4" t="n">
        <v>2</v>
      </c>
      <c r="H6" s="4" t="n"/>
      <c r="I6" s="3" t="n"/>
      <c r="J6" s="4" t="n">
        <v>1</v>
      </c>
      <c r="K6" s="4" t="n"/>
      <c r="L6" s="4" t="n"/>
      <c r="M6" s="5" t="n">
        <v>346883</v>
      </c>
      <c r="N6" s="4" t="inlineStr">
        <is>
          <t>EUR</t>
        </is>
      </c>
      <c r="O6" s="3" t="inlineStr">
        <is>
          <t>КТ</t>
        </is>
      </c>
      <c r="P6" s="3" t="inlineStr">
        <is>
          <t>D5</t>
        </is>
      </c>
      <c t="str" r="Q6" s="6">
        <f>A6&amp;"|"&amp;C6&amp;"|"&amp;D6&amp;"|"&amp;G6</f>
        <v>КОМПО Технолоджис|План|Сервис|2</v>
      </c>
      <c t="str" r="R6" s="6">
        <f>A6&amp;"|"&amp;C6&amp;"|"&amp;D6&amp;"|"&amp;J6</f>
        <v>КОМПО Технолоджис|План|Сервис|1</v>
      </c>
      <c t="str" r="S6" s="6">
        <f>A6&amp;"|"&amp;C6&amp;"|"&amp;D6&amp;"|"&amp;G6&amp;"|"&amp;J6</f>
        <v>КОМПО Технолоджис|План|Сервис|2|1</v>
      </c>
      <c t="str" r="T6" s="6">
        <f>A6&amp;"|"&amp;C6&amp;"|"&amp;G6</f>
        <v>КОМПО Технолоджис|План|2</v>
      </c>
      <c t="str" r="U6" s="6">
        <f>IF(H6="да",A6&amp;"|"&amp;C6&amp;"|"&amp;D6&amp;"|"&amp;J6,"")</f>
        <v/>
      </c>
      <c t="str" r="V6" s="6">
        <f>IF(C6="План",A6&amp;"|"&amp;J6,"")</f>
        <v>КОМПО Технолоджис|1</v>
      </c>
    </row>
    <row r="7">
      <c r="A7" s="3" t="inlineStr">
        <is>
          <t>КОМПО Технолоджис</t>
        </is>
      </c>
      <c r="B7" s="3" t="inlineStr">
        <is>
          <t>РФ</t>
        </is>
      </c>
      <c r="C7" s="3" t="inlineStr">
        <is>
          <t>План</t>
        </is>
      </c>
      <c r="D7" s="3" t="inlineStr">
        <is>
          <t>Сервис</t>
        </is>
      </c>
      <c r="E7" s="3" t="inlineStr">
        <is>
          <t>План и бонусы</t>
        </is>
      </c>
      <c r="F7" s="3" t="inlineStr">
        <is>
          <t>Выручка 2025</t>
        </is>
      </c>
      <c r="G7" s="4" t="n">
        <v>2</v>
      </c>
      <c r="H7" s="4" t="n"/>
      <c r="I7" s="3" t="n"/>
      <c r="J7" s="4" t="n">
        <v>2</v>
      </c>
      <c r="K7" s="4" t="n"/>
      <c r="L7" s="4" t="n"/>
      <c r="M7" s="5" t="n">
        <v>448343</v>
      </c>
      <c r="N7" s="4" t="inlineStr">
        <is>
          <t>EUR</t>
        </is>
      </c>
      <c r="O7" s="3" t="inlineStr">
        <is>
          <t>КТ</t>
        </is>
      </c>
      <c r="P7" s="3" t="inlineStr">
        <is>
          <t>E5</t>
        </is>
      </c>
      <c t="str" r="Q7" s="6">
        <f>A7&amp;"|"&amp;C7&amp;"|"&amp;D7&amp;"|"&amp;G7</f>
        <v>КОМПО Технолоджис|План|Сервис|2</v>
      </c>
      <c t="str" r="R7" s="6">
        <f>A7&amp;"|"&amp;C7&amp;"|"&amp;D7&amp;"|"&amp;J7</f>
        <v>КОМПО Технолоджис|План|Сервис|2</v>
      </c>
      <c t="str" r="S7" s="6">
        <f>A7&amp;"|"&amp;C7&amp;"|"&amp;D7&amp;"|"&amp;G7&amp;"|"&amp;J7</f>
        <v>КОМПО Технолоджис|План|Сервис|2|2</v>
      </c>
      <c t="str" r="T7" s="6">
        <f>A7&amp;"|"&amp;C7&amp;"|"&amp;G7</f>
        <v>КОМПО Технолоджис|План|2</v>
      </c>
      <c t="str" r="U7" s="6">
        <f>IF(H7="да",A7&amp;"|"&amp;C7&amp;"|"&amp;D7&amp;"|"&amp;J7,"")</f>
        <v/>
      </c>
      <c t="str" r="V7" s="6">
        <f>IF(C7="План",A7&amp;"|"&amp;J7,"")</f>
        <v>КОМПО Технолоджис|2</v>
      </c>
    </row>
    <row r="8">
      <c r="A8" s="3" t="inlineStr">
        <is>
          <t>КОМПО Технолоджис</t>
        </is>
      </c>
      <c r="B8" s="3" t="inlineStr">
        <is>
          <t>РФ</t>
        </is>
      </c>
      <c r="C8" s="3" t="inlineStr">
        <is>
          <t>План</t>
        </is>
      </c>
      <c r="D8" s="3" t="inlineStr">
        <is>
          <t>Сервис</t>
        </is>
      </c>
      <c r="E8" s="3" t="inlineStr">
        <is>
          <t>План и бонусы</t>
        </is>
      </c>
      <c r="F8" s="3" t="inlineStr">
        <is>
          <t>План 2026</t>
        </is>
      </c>
      <c r="G8" s="4" t="n">
        <v>2</v>
      </c>
      <c r="H8" s="4" t="n"/>
      <c r="I8" s="3" t="n"/>
      <c r="J8" s="4" t="n">
        <v>3</v>
      </c>
      <c r="K8" s="4" t="n"/>
      <c r="L8" s="4" t="n"/>
      <c r="M8" s="5" t="n">
        <v>480437.9999999999</v>
      </c>
      <c r="N8" s="4" t="inlineStr">
        <is>
          <t>EUR</t>
        </is>
      </c>
      <c r="O8" s="3" t="inlineStr">
        <is>
          <t>КТ</t>
        </is>
      </c>
      <c r="P8" s="3" t="inlineStr">
        <is>
          <t>F5</t>
        </is>
      </c>
      <c t="str" r="Q8" s="6">
        <f>A8&amp;"|"&amp;C8&amp;"|"&amp;D8&amp;"|"&amp;G8</f>
        <v>КОМПО Технолоджис|План|Сервис|2</v>
      </c>
      <c t="str" r="R8" s="6">
        <f>A8&amp;"|"&amp;C8&amp;"|"&amp;D8&amp;"|"&amp;J8</f>
        <v>КОМПО Технолоджис|План|Сервис|3</v>
      </c>
      <c t="str" r="S8" s="6">
        <f>A8&amp;"|"&amp;C8&amp;"|"&amp;D8&amp;"|"&amp;G8&amp;"|"&amp;J8</f>
        <v>КОМПО Технолоджис|План|Сервис|2|3</v>
      </c>
      <c t="str" r="T8" s="6">
        <f>A8&amp;"|"&amp;C8&amp;"|"&amp;G8</f>
        <v>КОМПО Технолоджис|План|2</v>
      </c>
      <c t="str" r="U8" s="6">
        <f>IF(H8="да",A8&amp;"|"&amp;C8&amp;"|"&amp;D8&amp;"|"&amp;J8,"")</f>
        <v/>
      </c>
      <c t="str" r="V8" s="6">
        <f>IF(C8="План",A8&amp;"|"&amp;J8,"")</f>
        <v>КОМПО Технолоджис|3</v>
      </c>
    </row>
    <row r="9">
      <c r="A9" s="3" t="inlineStr">
        <is>
          <t>КОМПО Технолоджис</t>
        </is>
      </c>
      <c r="B9" s="3" t="inlineStr">
        <is>
          <t>РФ</t>
        </is>
      </c>
      <c r="C9" s="3" t="inlineStr">
        <is>
          <t>План</t>
        </is>
      </c>
      <c r="D9" s="3" t="inlineStr">
        <is>
          <t>Сервис</t>
        </is>
      </c>
      <c r="E9" s="3" t="inlineStr">
        <is>
          <t>План и бонусы</t>
        </is>
      </c>
      <c r="F9" s="3" t="inlineStr">
        <is>
          <t>Размер бонуса по итогам 2026 г</t>
        </is>
      </c>
      <c r="G9" s="4" t="n">
        <v>2</v>
      </c>
      <c r="H9" s="4" t="n"/>
      <c r="I9" s="3" t="n"/>
      <c r="J9" s="4" t="n">
        <v>5</v>
      </c>
      <c r="K9" s="4" t="n"/>
      <c r="L9" s="4" t="n"/>
      <c r="M9" s="7" t="n">
        <v>0.01</v>
      </c>
      <c r="N9" s="4" t="inlineStr">
        <is>
          <t>%</t>
        </is>
      </c>
      <c r="O9" s="3" t="inlineStr">
        <is>
          <t>КТ</t>
        </is>
      </c>
      <c r="P9" s="3" t="inlineStr">
        <is>
          <t>H5</t>
        </is>
      </c>
      <c t="str" r="Q9" s="6">
        <f>A9&amp;"|"&amp;C9&amp;"|"&amp;D9&amp;"|"&amp;G9</f>
        <v>КОМПО Технолоджис|План|Сервис|2</v>
      </c>
      <c t="str" r="R9" s="6">
        <f>A9&amp;"|"&amp;C9&amp;"|"&amp;D9&amp;"|"&amp;J9</f>
        <v>КОМПО Технолоджис|План|Сервис|5</v>
      </c>
      <c t="str" r="S9" s="6">
        <f>A9&amp;"|"&amp;C9&amp;"|"&amp;D9&amp;"|"&amp;G9&amp;"|"&amp;J9</f>
        <v>КОМПО Технолоджис|План|Сервис|2|5</v>
      </c>
      <c t="str" r="T9" s="6">
        <f>A9&amp;"|"&amp;C9&amp;"|"&amp;G9</f>
        <v>КОМПО Технолоджис|План|2</v>
      </c>
      <c t="str" r="U9" s="6">
        <f>IF(H9="да",A9&amp;"|"&amp;C9&amp;"|"&amp;D9&amp;"|"&amp;J9,"")</f>
        <v/>
      </c>
      <c t="str" r="V9" s="6">
        <f>IF(C9="План",A9&amp;"|"&amp;J9,"")</f>
        <v>КОМПО Технолоджис|5</v>
      </c>
    </row>
    <row r="10">
      <c r="A10" s="3" t="inlineStr">
        <is>
          <t>КОМПО Технолоджис</t>
        </is>
      </c>
      <c r="B10" s="3" t="inlineStr">
        <is>
          <t>РФ</t>
        </is>
      </c>
      <c r="C10" s="3" t="inlineStr">
        <is>
          <t>План</t>
        </is>
      </c>
      <c r="D10" s="3" t="inlineStr">
        <is>
          <t>Сервис</t>
        </is>
      </c>
      <c r="E10" s="3" t="inlineStr">
        <is>
          <t>План и бонусы</t>
        </is>
      </c>
      <c r="F10" s="3" t="inlineStr">
        <is>
          <t>Скидка в 1 кв. 2026 ф.г.*</t>
        </is>
      </c>
      <c r="G10" s="4" t="n">
        <v>2</v>
      </c>
      <c r="H10" s="4" t="n"/>
      <c r="I10" s="3" t="n"/>
      <c r="J10" s="4" t="n">
        <v>6</v>
      </c>
      <c r="K10" s="4" t="n"/>
      <c r="L10" s="4" t="n"/>
      <c r="M10" s="8" t="n">
        <v>0.3</v>
      </c>
      <c r="N10" s="4" t="inlineStr">
        <is>
          <t>%</t>
        </is>
      </c>
      <c r="O10" s="3" t="inlineStr">
        <is>
          <t>КТ</t>
        </is>
      </c>
      <c r="P10" s="3" t="inlineStr">
        <is>
          <t>I5</t>
        </is>
      </c>
      <c t="str" r="Q10" s="6">
        <f>A10&amp;"|"&amp;C10&amp;"|"&amp;D10&amp;"|"&amp;G10</f>
        <v>КОМПО Технолоджис|План|Сервис|2</v>
      </c>
      <c t="str" r="R10" s="6">
        <f>A10&amp;"|"&amp;C10&amp;"|"&amp;D10&amp;"|"&amp;J10</f>
        <v>КОМПО Технолоджис|План|Сервис|6</v>
      </c>
      <c t="str" r="S10" s="6">
        <f>A10&amp;"|"&amp;C10&amp;"|"&amp;D10&amp;"|"&amp;G10&amp;"|"&amp;J10</f>
        <v>КОМПО Технолоджис|План|Сервис|2|6</v>
      </c>
      <c t="str" r="T10" s="6">
        <f>A10&amp;"|"&amp;C10&amp;"|"&amp;G10</f>
        <v>КОМПО Технолоджис|План|2</v>
      </c>
      <c t="str" r="U10" s="6">
        <f>IF(H10="да",A10&amp;"|"&amp;C10&amp;"|"&amp;D10&amp;"|"&amp;J10,"")</f>
        <v/>
      </c>
      <c t="str" r="V10" s="6">
        <f>IF(C10="План",A10&amp;"|"&amp;J10,"")</f>
        <v>КОМПО Технолоджис|6</v>
      </c>
    </row>
    <row r="11">
      <c r="A11" s="3" t="inlineStr">
        <is>
          <t>КОМПО Технолоджис</t>
        </is>
      </c>
      <c r="B11" s="3" t="inlineStr">
        <is>
          <t>РФ</t>
        </is>
      </c>
      <c r="C11" s="3" t="inlineStr">
        <is>
          <t>План</t>
        </is>
      </c>
      <c r="D11" s="3" t="inlineStr">
        <is>
          <t>Оборудование</t>
        </is>
      </c>
      <c r="E11" s="3" t="inlineStr">
        <is>
          <t>План и бонусы</t>
        </is>
      </c>
      <c r="F11" s="3" t="inlineStr">
        <is>
          <t>Выручка 2024</t>
        </is>
      </c>
      <c r="G11" s="4" t="n">
        <v>3</v>
      </c>
      <c r="H11" s="4" t="n"/>
      <c r="I11" s="3" t="n"/>
      <c r="J11" s="4" t="n">
        <v>1</v>
      </c>
      <c r="K11" s="4" t="n"/>
      <c r="L11" s="4" t="n"/>
      <c r="M11" s="5" t="n">
        <v>2205660</v>
      </c>
      <c r="N11" s="4" t="inlineStr">
        <is>
          <t>EUR</t>
        </is>
      </c>
      <c r="O11" s="3" t="inlineStr">
        <is>
          <t>КТ</t>
        </is>
      </c>
      <c r="P11" s="3" t="inlineStr">
        <is>
          <t>D6</t>
        </is>
      </c>
      <c t="str" r="Q11" s="6">
        <f>A11&amp;"|"&amp;C11&amp;"|"&amp;D11&amp;"|"&amp;G11</f>
        <v>КОМПО Технолоджис|План|Оборудование|3</v>
      </c>
      <c t="str" r="R11" s="6">
        <f>A11&amp;"|"&amp;C11&amp;"|"&amp;D11&amp;"|"&amp;J11</f>
        <v>КОМПО Технолоджис|План|Оборудование|1</v>
      </c>
      <c t="str" r="S11" s="6">
        <f>A11&amp;"|"&amp;C11&amp;"|"&amp;D11&amp;"|"&amp;G11&amp;"|"&amp;J11</f>
        <v>КОМПО Технолоджис|План|Оборудование|3|1</v>
      </c>
      <c t="str" r="T11" s="6">
        <f>A11&amp;"|"&amp;C11&amp;"|"&amp;G11</f>
        <v>КОМПО Технолоджис|План|3</v>
      </c>
      <c t="str" r="U11" s="6">
        <f>IF(H11="да",A11&amp;"|"&amp;C11&amp;"|"&amp;D11&amp;"|"&amp;J11,"")</f>
        <v/>
      </c>
      <c t="str" r="V11" s="6">
        <f>IF(C11="План",A11&amp;"|"&amp;J11,"")</f>
        <v>КОМПО Технолоджис|1</v>
      </c>
    </row>
    <row r="12">
      <c r="A12" s="3" t="inlineStr">
        <is>
          <t>КОМПО Технолоджис</t>
        </is>
      </c>
      <c r="B12" s="3" t="inlineStr">
        <is>
          <t>РФ</t>
        </is>
      </c>
      <c r="C12" s="3" t="inlineStr">
        <is>
          <t>План</t>
        </is>
      </c>
      <c r="D12" s="3" t="inlineStr">
        <is>
          <t>Оборудование</t>
        </is>
      </c>
      <c r="E12" s="3" t="inlineStr">
        <is>
          <t>План и бонусы</t>
        </is>
      </c>
      <c r="F12" s="3" t="inlineStr">
        <is>
          <t>Выручка 2025</t>
        </is>
      </c>
      <c r="G12" s="4" t="n">
        <v>3</v>
      </c>
      <c r="H12" s="4" t="n"/>
      <c r="I12" s="3" t="n"/>
      <c r="J12" s="4" t="n">
        <v>2</v>
      </c>
      <c r="K12" s="4" t="n"/>
      <c r="L12" s="4" t="n"/>
      <c r="M12" s="5" t="n">
        <v>1710368</v>
      </c>
      <c r="N12" s="4" t="inlineStr">
        <is>
          <t>EUR</t>
        </is>
      </c>
      <c r="O12" s="3" t="inlineStr">
        <is>
          <t>КТ</t>
        </is>
      </c>
      <c r="P12" s="3" t="inlineStr">
        <is>
          <t>E6</t>
        </is>
      </c>
      <c t="str" r="Q12" s="6">
        <f>A12&amp;"|"&amp;C12&amp;"|"&amp;D12&amp;"|"&amp;G12</f>
        <v>КОМПО Технолоджис|План|Оборудование|3</v>
      </c>
      <c t="str" r="R12" s="6">
        <f>A12&amp;"|"&amp;C12&amp;"|"&amp;D12&amp;"|"&amp;J12</f>
        <v>КОМПО Технолоджис|План|Оборудование|2</v>
      </c>
      <c t="str" r="S12" s="6">
        <f>A12&amp;"|"&amp;C12&amp;"|"&amp;D12&amp;"|"&amp;G12&amp;"|"&amp;J12</f>
        <v>КОМПО Технолоджис|План|Оборудование|3|2</v>
      </c>
      <c t="str" r="T12" s="6">
        <f>A12&amp;"|"&amp;C12&amp;"|"&amp;G12</f>
        <v>КОМПО Технолоджис|План|3</v>
      </c>
      <c t="str" r="U12" s="6">
        <f>IF(H12="да",A12&amp;"|"&amp;C12&amp;"|"&amp;D12&amp;"|"&amp;J12,"")</f>
        <v/>
      </c>
      <c t="str" r="V12" s="6">
        <f>IF(C12="План",A12&amp;"|"&amp;J12,"")</f>
        <v>КОМПО Технолоджис|2</v>
      </c>
    </row>
    <row r="13">
      <c r="A13" s="3" t="inlineStr">
        <is>
          <t>КОМПО Технолоджис</t>
        </is>
      </c>
      <c r="B13" s="3" t="inlineStr">
        <is>
          <t>РФ</t>
        </is>
      </c>
      <c r="C13" s="3" t="inlineStr">
        <is>
          <t>План</t>
        </is>
      </c>
      <c r="D13" s="3" t="inlineStr">
        <is>
          <t>Оборудование</t>
        </is>
      </c>
      <c r="E13" s="3" t="inlineStr">
        <is>
          <t>План и бонусы</t>
        </is>
      </c>
      <c r="F13" s="3" t="inlineStr">
        <is>
          <t>План 2026</t>
        </is>
      </c>
      <c r="G13" s="4" t="n">
        <v>3</v>
      </c>
      <c r="H13" s="4" t="n"/>
      <c r="I13" s="3" t="n"/>
      <c r="J13" s="4" t="n">
        <v>3</v>
      </c>
      <c r="K13" s="4" t="n"/>
      <c r="L13" s="4" t="n"/>
      <c r="M13" s="5" t="n">
        <v>2020593.75</v>
      </c>
      <c r="N13" s="4" t="inlineStr">
        <is>
          <t>EUR</t>
        </is>
      </c>
      <c r="O13" s="3" t="inlineStr">
        <is>
          <t>КТ</t>
        </is>
      </c>
      <c r="P13" s="3" t="inlineStr">
        <is>
          <t>F6</t>
        </is>
      </c>
      <c t="str" r="Q13" s="6">
        <f>A13&amp;"|"&amp;C13&amp;"|"&amp;D13&amp;"|"&amp;G13</f>
        <v>КОМПО Технолоджис|План|Оборудование|3</v>
      </c>
      <c t="str" r="R13" s="6">
        <f>A13&amp;"|"&amp;C13&amp;"|"&amp;D13&amp;"|"&amp;J13</f>
        <v>КОМПО Технолоджис|План|Оборудование|3</v>
      </c>
      <c t="str" r="S13" s="6">
        <f>A13&amp;"|"&amp;C13&amp;"|"&amp;D13&amp;"|"&amp;G13&amp;"|"&amp;J13</f>
        <v>КОМПО Технолоджис|План|Оборудование|3|3</v>
      </c>
      <c t="str" r="T13" s="6">
        <f>A13&amp;"|"&amp;C13&amp;"|"&amp;G13</f>
        <v>КОМПО Технолоджис|План|3</v>
      </c>
      <c t="str" r="U13" s="6">
        <f>IF(H13="да",A13&amp;"|"&amp;C13&amp;"|"&amp;D13&amp;"|"&amp;J13,"")</f>
        <v/>
      </c>
      <c t="str" r="V13" s="6">
        <f>IF(C13="План",A13&amp;"|"&amp;J13,"")</f>
        <v>КОМПО Технолоджис|3</v>
      </c>
    </row>
    <row r="14">
      <c r="A14" s="3" t="inlineStr">
        <is>
          <t>КОМПО Технолоджис</t>
        </is>
      </c>
      <c r="B14" s="3" t="inlineStr">
        <is>
          <t>РФ</t>
        </is>
      </c>
      <c r="C14" s="3" t="inlineStr">
        <is>
          <t>План</t>
        </is>
      </c>
      <c r="D14" s="3" t="inlineStr">
        <is>
          <t>Оборудование</t>
        </is>
      </c>
      <c r="E14" s="3" t="inlineStr">
        <is>
          <t>План и бонусы</t>
        </is>
      </c>
      <c r="F14" s="3" t="inlineStr">
        <is>
          <t>Размер бонуса по итогам 2026 г</t>
        </is>
      </c>
      <c r="G14" s="4" t="n">
        <v>3</v>
      </c>
      <c r="H14" s="4" t="n"/>
      <c r="I14" s="3" t="n"/>
      <c r="J14" s="4" t="n">
        <v>5</v>
      </c>
      <c r="K14" s="4" t="n"/>
      <c r="L14" s="4" t="n"/>
      <c r="M14" s="7" t="n">
        <v>0.015</v>
      </c>
      <c r="N14" s="4" t="inlineStr">
        <is>
          <t>%</t>
        </is>
      </c>
      <c r="O14" s="3" t="inlineStr">
        <is>
          <t>КТ</t>
        </is>
      </c>
      <c r="P14" s="3" t="inlineStr">
        <is>
          <t>H6</t>
        </is>
      </c>
      <c t="str" r="Q14" s="6">
        <f>A14&amp;"|"&amp;C14&amp;"|"&amp;D14&amp;"|"&amp;G14</f>
        <v>КОМПО Технолоджис|План|Оборудование|3</v>
      </c>
      <c t="str" r="R14" s="6">
        <f>A14&amp;"|"&amp;C14&amp;"|"&amp;D14&amp;"|"&amp;J14</f>
        <v>КОМПО Технолоджис|План|Оборудование|5</v>
      </c>
      <c t="str" r="S14" s="6">
        <f>A14&amp;"|"&amp;C14&amp;"|"&amp;D14&amp;"|"&amp;G14&amp;"|"&amp;J14</f>
        <v>КОМПО Технолоджис|План|Оборудование|3|5</v>
      </c>
      <c t="str" r="T14" s="6">
        <f>A14&amp;"|"&amp;C14&amp;"|"&amp;G14</f>
        <v>КОМПО Технолоджис|План|3</v>
      </c>
      <c t="str" r="U14" s="6">
        <f>IF(H14="да",A14&amp;"|"&amp;C14&amp;"|"&amp;D14&amp;"|"&amp;J14,"")</f>
        <v/>
      </c>
      <c t="str" r="V14" s="6">
        <f>IF(C14="План",A14&amp;"|"&amp;J14,"")</f>
        <v>КОМПО Технолоджис|5</v>
      </c>
    </row>
    <row r="15">
      <c r="A15" s="3" t="inlineStr">
        <is>
          <t>КОМПО Технолоджис</t>
        </is>
      </c>
      <c r="B15" s="3" t="inlineStr">
        <is>
          <t>РФ</t>
        </is>
      </c>
      <c r="C15" s="3" t="inlineStr">
        <is>
          <t>План</t>
        </is>
      </c>
      <c r="D15" s="3" t="inlineStr">
        <is>
          <t>Оборудование</t>
        </is>
      </c>
      <c r="E15" s="3" t="inlineStr">
        <is>
          <t>План и бонусы</t>
        </is>
      </c>
      <c r="F15" s="3" t="inlineStr">
        <is>
          <t>Скидка в 1 кв. 2026 ф.г.*</t>
        </is>
      </c>
      <c r="G15" s="4" t="n">
        <v>3</v>
      </c>
      <c r="H15" s="4" t="n"/>
      <c r="I15" s="3" t="n"/>
      <c r="J15" s="4" t="n">
        <v>6</v>
      </c>
      <c r="K15" s="4" t="n"/>
      <c r="L15" s="4" t="n"/>
      <c r="M15" s="8" t="n">
        <v>0.19</v>
      </c>
      <c r="N15" s="4" t="inlineStr">
        <is>
          <t>%</t>
        </is>
      </c>
      <c r="O15" s="3" t="inlineStr">
        <is>
          <t>КТ</t>
        </is>
      </c>
      <c r="P15" s="3" t="inlineStr">
        <is>
          <t>I6</t>
        </is>
      </c>
      <c t="str" r="Q15" s="6">
        <f>A15&amp;"|"&amp;C15&amp;"|"&amp;D15&amp;"|"&amp;G15</f>
        <v>КОМПО Технолоджис|План|Оборудование|3</v>
      </c>
      <c t="str" r="R15" s="6">
        <f>A15&amp;"|"&amp;C15&amp;"|"&amp;D15&amp;"|"&amp;J15</f>
        <v>КОМПО Технолоджис|План|Оборудование|6</v>
      </c>
      <c t="str" r="S15" s="6">
        <f>A15&amp;"|"&amp;C15&amp;"|"&amp;D15&amp;"|"&amp;G15&amp;"|"&amp;J15</f>
        <v>КОМПО Технолоджис|План|Оборудование|3|6</v>
      </c>
      <c t="str" r="T15" s="6">
        <f>A15&amp;"|"&amp;C15&amp;"|"&amp;G15</f>
        <v>КОМПО Технолоджис|План|3</v>
      </c>
      <c t="str" r="U15" s="6">
        <f>IF(H15="да",A15&amp;"|"&amp;C15&amp;"|"&amp;D15&amp;"|"&amp;J15,"")</f>
        <v/>
      </c>
      <c t="str" r="V15" s="6">
        <f>IF(C15="План",A15&amp;"|"&amp;J15,"")</f>
        <v>КОМПО Технолоджис|6</v>
      </c>
    </row>
    <row r="16">
      <c r="A16" s="3" t="inlineStr">
        <is>
          <t>КОМПО Технолоджис</t>
        </is>
      </c>
      <c r="B16" s="3" t="inlineStr">
        <is>
          <t>РФ</t>
        </is>
      </c>
      <c r="C16" s="3" t="inlineStr">
        <is>
          <t>План</t>
        </is>
      </c>
      <c r="D16" s="3" t="inlineStr">
        <is>
          <t>Расходные материалы</t>
        </is>
      </c>
      <c r="E16" s="3" t="inlineStr">
        <is>
          <t>План и бонусы</t>
        </is>
      </c>
      <c r="F16" s="3" t="inlineStr">
        <is>
          <t>Выручка 2024</t>
        </is>
      </c>
      <c r="G16" s="4" t="n">
        <v>4</v>
      </c>
      <c r="H16" s="4" t="n"/>
      <c r="I16" s="3" t="n"/>
      <c r="J16" s="4" t="n">
        <v>1</v>
      </c>
      <c r="K16" s="4" t="n"/>
      <c r="L16" s="4" t="n"/>
      <c r="M16" s="5" t="n">
        <v>1612269</v>
      </c>
      <c r="N16" s="4" t="inlineStr">
        <is>
          <t>EUR</t>
        </is>
      </c>
      <c r="O16" s="3" t="inlineStr">
        <is>
          <t>КТ</t>
        </is>
      </c>
      <c r="P16" s="3" t="inlineStr">
        <is>
          <t>D7</t>
        </is>
      </c>
      <c t="str" r="Q16" s="6">
        <f>A16&amp;"|"&amp;C16&amp;"|"&amp;D16&amp;"|"&amp;G16</f>
        <v>КОМПО Технолоджис|План|Расходные материалы|4</v>
      </c>
      <c t="str" r="R16" s="6">
        <f>A16&amp;"|"&amp;C16&amp;"|"&amp;D16&amp;"|"&amp;J16</f>
        <v>КОМПО Технолоджис|План|Расходные материалы|1</v>
      </c>
      <c t="str" r="S16" s="6">
        <f>A16&amp;"|"&amp;C16&amp;"|"&amp;D16&amp;"|"&amp;G16&amp;"|"&amp;J16</f>
        <v>КОМПО Технолоджис|План|Расходные материалы|4|1</v>
      </c>
      <c t="str" r="T16" s="6">
        <f>A16&amp;"|"&amp;C16&amp;"|"&amp;G16</f>
        <v>КОМПО Технолоджис|План|4</v>
      </c>
      <c t="str" r="U16" s="6">
        <f>IF(H16="да",A16&amp;"|"&amp;C16&amp;"|"&amp;D16&amp;"|"&amp;J16,"")</f>
        <v/>
      </c>
      <c t="str" r="V16" s="6">
        <f>IF(C16="План",A16&amp;"|"&amp;J16,"")</f>
        <v>КОМПО Технолоджис|1</v>
      </c>
    </row>
    <row r="17">
      <c r="A17" s="3" t="inlineStr">
        <is>
          <t>КОМПО Технолоджис</t>
        </is>
      </c>
      <c r="B17" s="3" t="inlineStr">
        <is>
          <t>РФ</t>
        </is>
      </c>
      <c r="C17" s="3" t="inlineStr">
        <is>
          <t>План</t>
        </is>
      </c>
      <c r="D17" s="3" t="inlineStr">
        <is>
          <t>Расходные материалы</t>
        </is>
      </c>
      <c r="E17" s="3" t="inlineStr">
        <is>
          <t>План и бонусы</t>
        </is>
      </c>
      <c r="F17" s="3" t="inlineStr">
        <is>
          <t>Выручка 2025</t>
        </is>
      </c>
      <c r="G17" s="4" t="n">
        <v>4</v>
      </c>
      <c r="H17" s="4" t="n"/>
      <c r="I17" s="3" t="n"/>
      <c r="J17" s="4" t="n">
        <v>2</v>
      </c>
      <c r="K17" s="4" t="n"/>
      <c r="L17" s="4" t="n"/>
      <c r="M17" s="5" t="n">
        <v>1963049</v>
      </c>
      <c r="N17" s="4" t="inlineStr">
        <is>
          <t>EUR</t>
        </is>
      </c>
      <c r="O17" s="3" t="inlineStr">
        <is>
          <t>КТ</t>
        </is>
      </c>
      <c r="P17" s="3" t="inlineStr">
        <is>
          <t>E7</t>
        </is>
      </c>
      <c t="str" r="Q17" s="6">
        <f>A17&amp;"|"&amp;C17&amp;"|"&amp;D17&amp;"|"&amp;G17</f>
        <v>КОМПО Технолоджис|План|Расходные материалы|4</v>
      </c>
      <c t="str" r="R17" s="6">
        <f>A17&amp;"|"&amp;C17&amp;"|"&amp;D17&amp;"|"&amp;J17</f>
        <v>КОМПО Технолоджис|План|Расходные материалы|2</v>
      </c>
      <c t="str" r="S17" s="6">
        <f>A17&amp;"|"&amp;C17&amp;"|"&amp;D17&amp;"|"&amp;G17&amp;"|"&amp;J17</f>
        <v>КОМПО Технолоджис|План|Расходные материалы|4|2</v>
      </c>
      <c t="str" r="T17" s="6">
        <f>A17&amp;"|"&amp;C17&amp;"|"&amp;G17</f>
        <v>КОМПО Технолоджис|План|4</v>
      </c>
      <c t="str" r="U17" s="6">
        <f>IF(H17="да",A17&amp;"|"&amp;C17&amp;"|"&amp;D17&amp;"|"&amp;J17,"")</f>
        <v/>
      </c>
      <c t="str" r="V17" s="6">
        <f>IF(C17="План",A17&amp;"|"&amp;J17,"")</f>
        <v>КОМПО Технолоджис|2</v>
      </c>
    </row>
    <row r="18">
      <c r="A18" s="3" t="inlineStr">
        <is>
          <t>КОМПО Технолоджис</t>
        </is>
      </c>
      <c r="B18" s="3" t="inlineStr">
        <is>
          <t>РФ</t>
        </is>
      </c>
      <c r="C18" s="3" t="inlineStr">
        <is>
          <t>План</t>
        </is>
      </c>
      <c r="D18" s="3" t="inlineStr">
        <is>
          <t>Расходные материалы</t>
        </is>
      </c>
      <c r="E18" s="3" t="inlineStr">
        <is>
          <t>План и бонусы</t>
        </is>
      </c>
      <c r="F18" s="3" t="inlineStr">
        <is>
          <t>План 2026</t>
        </is>
      </c>
      <c r="G18" s="4" t="n">
        <v>4</v>
      </c>
      <c r="H18" s="4" t="n"/>
      <c r="I18" s="3" t="n"/>
      <c r="J18" s="4" t="n">
        <v>3</v>
      </c>
      <c r="K18" s="4" t="n"/>
      <c r="L18" s="4" t="n"/>
      <c r="M18" s="5" t="n">
        <v>1641880.24</v>
      </c>
      <c r="N18" s="4" t="inlineStr">
        <is>
          <t>EUR</t>
        </is>
      </c>
      <c r="O18" s="3" t="inlineStr">
        <is>
          <t>КТ</t>
        </is>
      </c>
      <c r="P18" s="3" t="inlineStr">
        <is>
          <t>F7</t>
        </is>
      </c>
      <c t="str" r="Q18" s="6">
        <f>A18&amp;"|"&amp;C18&amp;"|"&amp;D18&amp;"|"&amp;G18</f>
        <v>КОМПО Технолоджис|План|Расходные материалы|4</v>
      </c>
      <c t="str" r="R18" s="6">
        <f>A18&amp;"|"&amp;C18&amp;"|"&amp;D18&amp;"|"&amp;J18</f>
        <v>КОМПО Технолоджис|План|Расходные материалы|3</v>
      </c>
      <c t="str" r="S18" s="6">
        <f>A18&amp;"|"&amp;C18&amp;"|"&amp;D18&amp;"|"&amp;G18&amp;"|"&amp;J18</f>
        <v>КОМПО Технолоджис|План|Расходные материалы|4|3</v>
      </c>
      <c t="str" r="T18" s="6">
        <f>A18&amp;"|"&amp;C18&amp;"|"&amp;G18</f>
        <v>КОМПО Технолоджис|План|4</v>
      </c>
      <c t="str" r="U18" s="6">
        <f>IF(H18="да",A18&amp;"|"&amp;C18&amp;"|"&amp;D18&amp;"|"&amp;J18,"")</f>
        <v/>
      </c>
      <c t="str" r="V18" s="6">
        <f>IF(C18="План",A18&amp;"|"&amp;J18,"")</f>
        <v>КОМПО Технолоджис|3</v>
      </c>
    </row>
    <row r="19">
      <c r="A19" s="3" t="inlineStr">
        <is>
          <t>КОМПО Технолоджис</t>
        </is>
      </c>
      <c r="B19" s="3" t="inlineStr">
        <is>
          <t>РФ</t>
        </is>
      </c>
      <c r="C19" s="3" t="inlineStr">
        <is>
          <t>План</t>
        </is>
      </c>
      <c r="D19" s="3" t="inlineStr">
        <is>
          <t>Расходные материалы</t>
        </is>
      </c>
      <c r="E19" s="3" t="inlineStr">
        <is>
          <t>План и бонусы</t>
        </is>
      </c>
      <c r="F19" s="3" t="inlineStr">
        <is>
          <t>Размер бонуса по итогам 2026 г</t>
        </is>
      </c>
      <c r="G19" s="4" t="n">
        <v>4</v>
      </c>
      <c r="H19" s="4" t="n"/>
      <c r="I19" s="3" t="n"/>
      <c r="J19" s="4" t="n">
        <v>5</v>
      </c>
      <c r="K19" s="4" t="n"/>
      <c r="L19" s="4" t="n"/>
      <c r="M19" s="7" t="n">
        <v>0.005</v>
      </c>
      <c r="N19" s="4" t="inlineStr">
        <is>
          <t>%</t>
        </is>
      </c>
      <c r="O19" s="3" t="inlineStr">
        <is>
          <t>КТ</t>
        </is>
      </c>
      <c r="P19" s="3" t="inlineStr">
        <is>
          <t>H7</t>
        </is>
      </c>
      <c t="str" r="Q19" s="6">
        <f>A19&amp;"|"&amp;C19&amp;"|"&amp;D19&amp;"|"&amp;G19</f>
        <v>КОМПО Технолоджис|План|Расходные материалы|4</v>
      </c>
      <c t="str" r="R19" s="6">
        <f>A19&amp;"|"&amp;C19&amp;"|"&amp;D19&amp;"|"&amp;J19</f>
        <v>КОМПО Технолоджис|План|Расходные материалы|5</v>
      </c>
      <c t="str" r="S19" s="6">
        <f>A19&amp;"|"&amp;C19&amp;"|"&amp;D19&amp;"|"&amp;G19&amp;"|"&amp;J19</f>
        <v>КОМПО Технолоджис|План|Расходные материалы|4|5</v>
      </c>
      <c t="str" r="T19" s="6">
        <f>A19&amp;"|"&amp;C19&amp;"|"&amp;G19</f>
        <v>КОМПО Технолоджис|План|4</v>
      </c>
      <c t="str" r="U19" s="6">
        <f>IF(H19="да",A19&amp;"|"&amp;C19&amp;"|"&amp;D19&amp;"|"&amp;J19,"")</f>
        <v/>
      </c>
      <c t="str" r="V19" s="6">
        <f>IF(C19="План",A19&amp;"|"&amp;J19,"")</f>
        <v>КОМПО Технолоджис|5</v>
      </c>
    </row>
    <row r="20">
      <c r="A20" s="3" t="inlineStr">
        <is>
          <t>КОМПО Технолоджис</t>
        </is>
      </c>
      <c r="B20" s="3" t="inlineStr">
        <is>
          <t>РФ</t>
        </is>
      </c>
      <c r="C20" s="3" t="inlineStr">
        <is>
          <t>План</t>
        </is>
      </c>
      <c r="D20" s="3" t="inlineStr">
        <is>
          <t>Расходные материалы</t>
        </is>
      </c>
      <c r="E20" s="3" t="inlineStr">
        <is>
          <t>План и бонусы</t>
        </is>
      </c>
      <c r="F20" s="3" t="inlineStr">
        <is>
          <t>Скидка в 1 кв. 2026 ф.г.*</t>
        </is>
      </c>
      <c r="G20" s="4" t="n">
        <v>4</v>
      </c>
      <c r="H20" s="4" t="n"/>
      <c r="I20" s="3" t="n"/>
      <c r="J20" s="4" t="n">
        <v>6</v>
      </c>
      <c r="K20" s="4" t="n"/>
      <c r="L20" s="4" t="n"/>
      <c r="M20" s="8" t="n">
        <v>0.06</v>
      </c>
      <c r="N20" s="4" t="inlineStr">
        <is>
          <t>%</t>
        </is>
      </c>
      <c r="O20" s="3" t="inlineStr">
        <is>
          <t>КТ</t>
        </is>
      </c>
      <c r="P20" s="3" t="inlineStr">
        <is>
          <t>I7</t>
        </is>
      </c>
      <c t="str" r="Q20" s="6">
        <f>A20&amp;"|"&amp;C20&amp;"|"&amp;D20&amp;"|"&amp;G20</f>
        <v>КОМПО Технолоджис|План|Расходные материалы|4</v>
      </c>
      <c t="str" r="R20" s="6">
        <f>A20&amp;"|"&amp;C20&amp;"|"&amp;D20&amp;"|"&amp;J20</f>
        <v>КОМПО Технолоджис|План|Расходные материалы|6</v>
      </c>
      <c t="str" r="S20" s="6">
        <f>A20&amp;"|"&amp;C20&amp;"|"&amp;D20&amp;"|"&amp;G20&amp;"|"&amp;J20</f>
        <v>КОМПО Технолоджис|План|Расходные материалы|4|6</v>
      </c>
      <c t="str" r="T20" s="6">
        <f>A20&amp;"|"&amp;C20&amp;"|"&amp;G20</f>
        <v>КОМПО Технолоджис|План|4</v>
      </c>
      <c t="str" r="U20" s="6">
        <f>IF(H20="да",A20&amp;"|"&amp;C20&amp;"|"&amp;D20&amp;"|"&amp;J20,"")</f>
        <v/>
      </c>
      <c t="str" r="V20" s="6">
        <f>IF(C20="План",A20&amp;"|"&amp;J20,"")</f>
        <v>КОМПО Технолоджис|6</v>
      </c>
    </row>
    <row r="21">
      <c r="A21" s="3" t="inlineStr">
        <is>
          <t>КОМПО Технолоджис</t>
        </is>
      </c>
      <c r="B21" s="3" t="inlineStr">
        <is>
          <t>РФ</t>
        </is>
      </c>
      <c r="C21" s="3" t="inlineStr">
        <is>
          <t>Шкала</t>
        </is>
      </c>
      <c r="D21" s="3" t="inlineStr">
        <is>
          <t>Оборудование</t>
        </is>
      </c>
      <c r="E21" s="3" t="inlineStr">
        <is>
          <t>Оборудование — за квартал</t>
        </is>
      </c>
      <c r="F21" s="3" t="inlineStr">
        <is>
          <t>1 Базовое вознаграждение за Дилерский договор</t>
        </is>
      </c>
      <c r="G21" s="4" t="n">
        <v>1</v>
      </c>
      <c r="H21" s="4" t="n"/>
      <c r="I21" s="3" t="inlineStr">
        <is>
          <t>до 75</t>
        </is>
      </c>
      <c r="J21" s="4" t="n">
        <v>1</v>
      </c>
      <c r="K21" s="4" t="n"/>
      <c r="L21" s="4" t="n"/>
      <c r="M21" s="8" t="n">
        <v>0.06</v>
      </c>
      <c r="N21" s="4" t="inlineStr">
        <is>
          <t>%</t>
        </is>
      </c>
      <c r="O21" s="3" t="inlineStr">
        <is>
          <t>КТ</t>
        </is>
      </c>
      <c r="P21" s="3" t="inlineStr">
        <is>
          <t>E13</t>
        </is>
      </c>
      <c t="str" r="Q21" s="6">
        <f>A21&amp;"|"&amp;C21&amp;"|"&amp;D21&amp;"|"&amp;G21</f>
        <v>КОМПО Технолоджис|Шкала|Оборудование|1</v>
      </c>
      <c t="str" r="R21" s="6">
        <f>A21&amp;"|"&amp;C21&amp;"|"&amp;D21&amp;"|"&amp;J21</f>
        <v>КОМПО Технолоджис|Шкала|Оборудование|1</v>
      </c>
      <c t="str" r="S21" s="6">
        <f>A21&amp;"|"&amp;C21&amp;"|"&amp;D21&amp;"|"&amp;G21&amp;"|"&amp;J21</f>
        <v>КОМПО Технолоджис|Шкала|Оборудование|1|1</v>
      </c>
      <c t="str" r="T21" s="6">
        <f>A21&amp;"|"&amp;C21&amp;"|"&amp;G21</f>
        <v>КОМПО Технолоджис|Шкала|1</v>
      </c>
      <c t="str" r="U21" s="6">
        <f>IF(H21="да",A21&amp;"|"&amp;C21&amp;"|"&amp;D21&amp;"|"&amp;J21,"")</f>
        <v/>
      </c>
      <c t="str" r="V21" s="6">
        <f>IF(C21="План",A21&amp;"|"&amp;J21,"")</f>
        <v/>
      </c>
    </row>
    <row r="22">
      <c r="A22" s="3" t="inlineStr">
        <is>
          <t>КОМПО Технолоджис</t>
        </is>
      </c>
      <c r="B22" s="3" t="inlineStr">
        <is>
          <t>РФ</t>
        </is>
      </c>
      <c r="C22" s="3" t="inlineStr">
        <is>
          <t>Шкала</t>
        </is>
      </c>
      <c r="D22" s="3" t="inlineStr">
        <is>
          <t>Оборудование</t>
        </is>
      </c>
      <c r="E22" s="3" t="inlineStr">
        <is>
          <t>Оборудование — за квартал</t>
        </is>
      </c>
      <c r="F22" s="3" t="inlineStr">
        <is>
          <t>1 Базовое вознаграждение за Дилерский договор</t>
        </is>
      </c>
      <c r="G22" s="4" t="n">
        <v>1</v>
      </c>
      <c r="H22" s="4" t="n"/>
      <c r="I22" s="3" t="inlineStr">
        <is>
          <t>75-114</t>
        </is>
      </c>
      <c r="J22" s="4" t="n">
        <v>2</v>
      </c>
      <c r="K22" s="4" t="n"/>
      <c r="L22" s="4" t="n"/>
      <c r="M22" s="8" t="n">
        <v>0.06</v>
      </c>
      <c r="N22" s="4" t="inlineStr">
        <is>
          <t>%</t>
        </is>
      </c>
      <c r="O22" s="3" t="inlineStr">
        <is>
          <t>КТ</t>
        </is>
      </c>
      <c r="P22" s="3" t="inlineStr">
        <is>
          <t>F13</t>
        </is>
      </c>
      <c t="str" r="Q22" s="6">
        <f>A22&amp;"|"&amp;C22&amp;"|"&amp;D22&amp;"|"&amp;G22</f>
        <v>КОМПО Технолоджис|Шкала|Оборудование|1</v>
      </c>
      <c t="str" r="R22" s="6">
        <f>A22&amp;"|"&amp;C22&amp;"|"&amp;D22&amp;"|"&amp;J22</f>
        <v>КОМПО Технолоджис|Шкала|Оборудование|2</v>
      </c>
      <c t="str" r="S22" s="6">
        <f>A22&amp;"|"&amp;C22&amp;"|"&amp;D22&amp;"|"&amp;G22&amp;"|"&amp;J22</f>
        <v>КОМПО Технолоджис|Шкала|Оборудование|1|2</v>
      </c>
      <c t="str" r="T22" s="6">
        <f>A22&amp;"|"&amp;C22&amp;"|"&amp;G22</f>
        <v>КОМПО Технолоджис|Шкала|1</v>
      </c>
      <c t="str" r="U22" s="6">
        <f>IF(H22="да",A22&amp;"|"&amp;C22&amp;"|"&amp;D22&amp;"|"&amp;J22,"")</f>
        <v/>
      </c>
      <c t="str" r="V22" s="6">
        <f>IF(C22="План",A22&amp;"|"&amp;J22,"")</f>
        <v/>
      </c>
    </row>
    <row r="23">
      <c r="A23" s="3" t="inlineStr">
        <is>
          <t>КОМПО Технолоджис</t>
        </is>
      </c>
      <c r="B23" s="3" t="inlineStr">
        <is>
          <t>РФ</t>
        </is>
      </c>
      <c r="C23" s="3" t="inlineStr">
        <is>
          <t>Шкала</t>
        </is>
      </c>
      <c r="D23" s="3" t="inlineStr">
        <is>
          <t>Оборудование</t>
        </is>
      </c>
      <c r="E23" s="3" t="inlineStr">
        <is>
          <t>Оборудование — за квартал</t>
        </is>
      </c>
      <c r="F23" s="3" t="inlineStr">
        <is>
          <t>1 Базовое вознаграждение за Дилерский договор</t>
        </is>
      </c>
      <c r="G23" s="4" t="n">
        <v>1</v>
      </c>
      <c r="H23" s="4" t="n"/>
      <c r="I23" s="3" t="inlineStr">
        <is>
          <t>115-149</t>
        </is>
      </c>
      <c r="J23" s="4" t="n">
        <v>3</v>
      </c>
      <c r="K23" s="4" t="n"/>
      <c r="L23" s="4" t="n"/>
      <c r="M23" s="8" t="n">
        <v>0.06</v>
      </c>
      <c r="N23" s="4" t="inlineStr">
        <is>
          <t>%</t>
        </is>
      </c>
      <c r="O23" s="3" t="inlineStr">
        <is>
          <t>КТ</t>
        </is>
      </c>
      <c r="P23" s="3" t="inlineStr">
        <is>
          <t>G13</t>
        </is>
      </c>
      <c t="str" r="Q23" s="6">
        <f>A23&amp;"|"&amp;C23&amp;"|"&amp;D23&amp;"|"&amp;G23</f>
        <v>КОМПО Технолоджис|Шкала|Оборудование|1</v>
      </c>
      <c t="str" r="R23" s="6">
        <f>A23&amp;"|"&amp;C23&amp;"|"&amp;D23&amp;"|"&amp;J23</f>
        <v>КОМПО Технолоджис|Шкала|Оборудование|3</v>
      </c>
      <c t="str" r="S23" s="6">
        <f>A23&amp;"|"&amp;C23&amp;"|"&amp;D23&amp;"|"&amp;G23&amp;"|"&amp;J23</f>
        <v>КОМПО Технолоджис|Шкала|Оборудование|1|3</v>
      </c>
      <c t="str" r="T23" s="6">
        <f>A23&amp;"|"&amp;C23&amp;"|"&amp;G23</f>
        <v>КОМПО Технолоджис|Шкала|1</v>
      </c>
      <c t="str" r="U23" s="6">
        <f>IF(H23="да",A23&amp;"|"&amp;C23&amp;"|"&amp;D23&amp;"|"&amp;J23,"")</f>
        <v/>
      </c>
      <c t="str" r="V23" s="6">
        <f>IF(C23="План",A23&amp;"|"&amp;J23,"")</f>
        <v/>
      </c>
    </row>
    <row r="24">
      <c r="A24" s="3" t="inlineStr">
        <is>
          <t>КОМПО Технолоджис</t>
        </is>
      </c>
      <c r="B24" s="3" t="inlineStr">
        <is>
          <t>РФ</t>
        </is>
      </c>
      <c r="C24" s="3" t="inlineStr">
        <is>
          <t>Шкала</t>
        </is>
      </c>
      <c r="D24" s="3" t="inlineStr">
        <is>
          <t>Оборудование</t>
        </is>
      </c>
      <c r="E24" s="3" t="inlineStr">
        <is>
          <t>Оборудование — за квартал</t>
        </is>
      </c>
      <c r="F24" s="3" t="inlineStr">
        <is>
          <t>1 Базовое вознаграждение за Дилерский договор</t>
        </is>
      </c>
      <c r="G24" s="4" t="n">
        <v>1</v>
      </c>
      <c r="H24" s="4" t="n"/>
      <c r="I24" s="3" t="inlineStr">
        <is>
          <t>150-189</t>
        </is>
      </c>
      <c r="J24" s="4" t="n">
        <v>4</v>
      </c>
      <c r="K24" s="4" t="n"/>
      <c r="L24" s="4" t="n"/>
      <c r="M24" s="8" t="n">
        <v>0.06</v>
      </c>
      <c r="N24" s="4" t="inlineStr">
        <is>
          <t>%</t>
        </is>
      </c>
      <c r="O24" s="3" t="inlineStr">
        <is>
          <t>КТ</t>
        </is>
      </c>
      <c r="P24" s="3" t="inlineStr">
        <is>
          <t>H13</t>
        </is>
      </c>
      <c t="str" r="Q24" s="6">
        <f>A24&amp;"|"&amp;C24&amp;"|"&amp;D24&amp;"|"&amp;G24</f>
        <v>КОМПО Технолоджис|Шкала|Оборудование|1</v>
      </c>
      <c t="str" r="R24" s="6">
        <f>A24&amp;"|"&amp;C24&amp;"|"&amp;D24&amp;"|"&amp;J24</f>
        <v>КОМПО Технолоджис|Шкала|Оборудование|4</v>
      </c>
      <c t="str" r="S24" s="6">
        <f>A24&amp;"|"&amp;C24&amp;"|"&amp;D24&amp;"|"&amp;G24&amp;"|"&amp;J24</f>
        <v>КОМПО Технолоджис|Шкала|Оборудование|1|4</v>
      </c>
      <c t="str" r="T24" s="6">
        <f>A24&amp;"|"&amp;C24&amp;"|"&amp;G24</f>
        <v>КОМПО Технолоджис|Шкала|1</v>
      </c>
      <c t="str" r="U24" s="6">
        <f>IF(H24="да",A24&amp;"|"&amp;C24&amp;"|"&amp;D24&amp;"|"&amp;J24,"")</f>
        <v/>
      </c>
      <c t="str" r="V24" s="6">
        <f>IF(C24="План",A24&amp;"|"&amp;J24,"")</f>
        <v/>
      </c>
    </row>
    <row r="25">
      <c r="A25" s="3" t="inlineStr">
        <is>
          <t>КОМПО Технолоджис</t>
        </is>
      </c>
      <c r="B25" s="3" t="inlineStr">
        <is>
          <t>РФ</t>
        </is>
      </c>
      <c r="C25" s="3" t="inlineStr">
        <is>
          <t>Шкала</t>
        </is>
      </c>
      <c r="D25" s="3" t="inlineStr">
        <is>
          <t>Оборудование</t>
        </is>
      </c>
      <c r="E25" s="3" t="inlineStr">
        <is>
          <t>Оборудование — за квартал</t>
        </is>
      </c>
      <c r="F25" s="3" t="inlineStr">
        <is>
          <t>1 Базовое вознаграждение за Дилерский договор</t>
        </is>
      </c>
      <c r="G25" s="4" t="n">
        <v>1</v>
      </c>
      <c r="H25" s="4" t="n"/>
      <c r="I25" s="3" t="inlineStr">
        <is>
          <t>190-224</t>
        </is>
      </c>
      <c r="J25" s="4" t="n">
        <v>5</v>
      </c>
      <c r="K25" s="4" t="n"/>
      <c r="L25" s="4" t="n"/>
      <c r="M25" s="8" t="n">
        <v>0.06</v>
      </c>
      <c r="N25" s="4" t="inlineStr">
        <is>
          <t>%</t>
        </is>
      </c>
      <c r="O25" s="3" t="inlineStr">
        <is>
          <t>КТ</t>
        </is>
      </c>
      <c r="P25" s="3" t="inlineStr">
        <is>
          <t>I13</t>
        </is>
      </c>
      <c t="str" r="Q25" s="6">
        <f>A25&amp;"|"&amp;C25&amp;"|"&amp;D25&amp;"|"&amp;G25</f>
        <v>КОМПО Технолоджис|Шкала|Оборудование|1</v>
      </c>
      <c t="str" r="R25" s="6">
        <f>A25&amp;"|"&amp;C25&amp;"|"&amp;D25&amp;"|"&amp;J25</f>
        <v>КОМПО Технолоджис|Шкала|Оборудование|5</v>
      </c>
      <c t="str" r="S25" s="6">
        <f>A25&amp;"|"&amp;C25&amp;"|"&amp;D25&amp;"|"&amp;G25&amp;"|"&amp;J25</f>
        <v>КОМПО Технолоджис|Шкала|Оборудование|1|5</v>
      </c>
      <c t="str" r="T25" s="6">
        <f>A25&amp;"|"&amp;C25&amp;"|"&amp;G25</f>
        <v>КОМПО Технолоджис|Шкала|1</v>
      </c>
      <c t="str" r="U25" s="6">
        <f>IF(H25="да",A25&amp;"|"&amp;C25&amp;"|"&amp;D25&amp;"|"&amp;J25,"")</f>
        <v/>
      </c>
      <c t="str" r="V25" s="6">
        <f>IF(C25="План",A25&amp;"|"&amp;J25,"")</f>
        <v/>
      </c>
    </row>
    <row r="26">
      <c r="A26" s="3" t="inlineStr">
        <is>
          <t>КОМПО Технолоджис</t>
        </is>
      </c>
      <c r="B26" s="3" t="inlineStr">
        <is>
          <t>РФ</t>
        </is>
      </c>
      <c r="C26" s="3" t="inlineStr">
        <is>
          <t>Шкала</t>
        </is>
      </c>
      <c r="D26" s="3" t="inlineStr">
        <is>
          <t>Оборудование</t>
        </is>
      </c>
      <c r="E26" s="3" t="inlineStr">
        <is>
          <t>Оборудование — за квартал</t>
        </is>
      </c>
      <c r="F26" s="3" t="inlineStr">
        <is>
          <t>1 Базовое вознаграждение за Дилерский договор</t>
        </is>
      </c>
      <c r="G26" s="4" t="n">
        <v>1</v>
      </c>
      <c r="H26" s="4" t="n"/>
      <c r="I26" s="3" t="inlineStr">
        <is>
          <t>225 и более</t>
        </is>
      </c>
      <c r="J26" s="4" t="n">
        <v>6</v>
      </c>
      <c r="K26" s="4" t="n"/>
      <c r="L26" s="4" t="n"/>
      <c r="M26" s="8" t="n">
        <v>0.06</v>
      </c>
      <c r="N26" s="4" t="inlineStr">
        <is>
          <t>%</t>
        </is>
      </c>
      <c r="O26" s="3" t="inlineStr">
        <is>
          <t>КТ</t>
        </is>
      </c>
      <c r="P26" s="3" t="inlineStr">
        <is>
          <t>J13</t>
        </is>
      </c>
      <c t="str" r="Q26" s="6">
        <f>A26&amp;"|"&amp;C26&amp;"|"&amp;D26&amp;"|"&amp;G26</f>
        <v>КОМПО Технолоджис|Шкала|Оборудование|1</v>
      </c>
      <c t="str" r="R26" s="6">
        <f>A26&amp;"|"&amp;C26&amp;"|"&amp;D26&amp;"|"&amp;J26</f>
        <v>КОМПО Технолоджис|Шкала|Оборудование|6</v>
      </c>
      <c t="str" r="S26" s="6">
        <f>A26&amp;"|"&amp;C26&amp;"|"&amp;D26&amp;"|"&amp;G26&amp;"|"&amp;J26</f>
        <v>КОМПО Технолоджис|Шкала|Оборудование|1|6</v>
      </c>
      <c t="str" r="T26" s="6">
        <f>A26&amp;"|"&amp;C26&amp;"|"&amp;G26</f>
        <v>КОМПО Технолоджис|Шкала|1</v>
      </c>
      <c t="str" r="U26" s="6">
        <f>IF(H26="да",A26&amp;"|"&amp;C26&amp;"|"&amp;D26&amp;"|"&amp;J26,"")</f>
        <v/>
      </c>
      <c t="str" r="V26" s="6">
        <f>IF(C26="План",A26&amp;"|"&amp;J26,"")</f>
        <v/>
      </c>
    </row>
    <row r="27">
      <c r="A27" s="3" t="inlineStr">
        <is>
          <t>КОМПО Технолоджис</t>
        </is>
      </c>
      <c r="B27" s="3" t="inlineStr">
        <is>
          <t>РФ</t>
        </is>
      </c>
      <c r="C27" s="3" t="inlineStr">
        <is>
          <t>Шкала</t>
        </is>
      </c>
      <c r="D27" s="3" t="inlineStr">
        <is>
          <t>Оборудование</t>
        </is>
      </c>
      <c r="E27" s="3" t="inlineStr">
        <is>
          <t>Оборудование — за квартал</t>
        </is>
      </c>
      <c r="F27" s="3" t="inlineStr">
        <is>
          <t>2.1.1. Сервисный центр</t>
        </is>
      </c>
      <c r="G27" s="4" t="n">
        <v>2</v>
      </c>
      <c r="H27" s="4" t="n"/>
      <c r="I27" s="3" t="inlineStr">
        <is>
          <t>до 75</t>
        </is>
      </c>
      <c r="J27" s="4" t="n">
        <v>1</v>
      </c>
      <c r="K27" s="4" t="n"/>
      <c r="L27" s="4" t="n"/>
      <c r="M27" s="8" t="n">
        <v>0.06</v>
      </c>
      <c r="N27" s="4" t="inlineStr">
        <is>
          <t>%</t>
        </is>
      </c>
      <c r="O27" s="3" t="inlineStr">
        <is>
          <t>КТ</t>
        </is>
      </c>
      <c r="P27" s="3" t="inlineStr">
        <is>
          <t>E14</t>
        </is>
      </c>
      <c t="str" r="Q27" s="6">
        <f>A27&amp;"|"&amp;C27&amp;"|"&amp;D27&amp;"|"&amp;G27</f>
        <v>КОМПО Технолоджис|Шкала|Оборудование|2</v>
      </c>
      <c t="str" r="R27" s="6">
        <f>A27&amp;"|"&amp;C27&amp;"|"&amp;D27&amp;"|"&amp;J27</f>
        <v>КОМПО Технолоджис|Шкала|Оборудование|1</v>
      </c>
      <c t="str" r="S27" s="6">
        <f>A27&amp;"|"&amp;C27&amp;"|"&amp;D27&amp;"|"&amp;G27&amp;"|"&amp;J27</f>
        <v>КОМПО Технолоджис|Шкала|Оборудование|2|1</v>
      </c>
      <c t="str" r="T27" s="6">
        <f>A27&amp;"|"&amp;C27&amp;"|"&amp;G27</f>
        <v>КОМПО Технолоджис|Шкала|2</v>
      </c>
      <c t="str" r="U27" s="6">
        <f>IF(H27="да",A27&amp;"|"&amp;C27&amp;"|"&amp;D27&amp;"|"&amp;J27,"")</f>
        <v/>
      </c>
      <c t="str" r="V27" s="6">
        <f>IF(C27="План",A27&amp;"|"&amp;J27,"")</f>
        <v/>
      </c>
    </row>
    <row r="28">
      <c r="A28" s="3" t="inlineStr">
        <is>
          <t>КОМПО Технолоджис</t>
        </is>
      </c>
      <c r="B28" s="3" t="inlineStr">
        <is>
          <t>РФ</t>
        </is>
      </c>
      <c r="C28" s="3" t="inlineStr">
        <is>
          <t>Шкала</t>
        </is>
      </c>
      <c r="D28" s="3" t="inlineStr">
        <is>
          <t>Оборудование</t>
        </is>
      </c>
      <c r="E28" s="3" t="inlineStr">
        <is>
          <t>Оборудование — за квартал</t>
        </is>
      </c>
      <c r="F28" s="3" t="inlineStr">
        <is>
          <t>2.1.1. Сервисный центр</t>
        </is>
      </c>
      <c r="G28" s="4" t="n">
        <v>2</v>
      </c>
      <c r="H28" s="4" t="n"/>
      <c r="I28" s="3" t="inlineStr">
        <is>
          <t>75-114</t>
        </is>
      </c>
      <c r="J28" s="4" t="n">
        <v>2</v>
      </c>
      <c r="K28" s="4" t="n"/>
      <c r="L28" s="4" t="n"/>
      <c r="M28" s="8" t="n">
        <v>0.06</v>
      </c>
      <c r="N28" s="4" t="inlineStr">
        <is>
          <t>%</t>
        </is>
      </c>
      <c r="O28" s="3" t="inlineStr">
        <is>
          <t>КТ</t>
        </is>
      </c>
      <c r="P28" s="3" t="inlineStr">
        <is>
          <t>F14</t>
        </is>
      </c>
      <c t="str" r="Q28" s="6">
        <f>A28&amp;"|"&amp;C28&amp;"|"&amp;D28&amp;"|"&amp;G28</f>
        <v>КОМПО Технолоджис|Шкала|Оборудование|2</v>
      </c>
      <c t="str" r="R28" s="6">
        <f>A28&amp;"|"&amp;C28&amp;"|"&amp;D28&amp;"|"&amp;J28</f>
        <v>КОМПО Технолоджис|Шкала|Оборудование|2</v>
      </c>
      <c t="str" r="S28" s="6">
        <f>A28&amp;"|"&amp;C28&amp;"|"&amp;D28&amp;"|"&amp;G28&amp;"|"&amp;J28</f>
        <v>КОМПО Технолоджис|Шкала|Оборудование|2|2</v>
      </c>
      <c t="str" r="T28" s="6">
        <f>A28&amp;"|"&amp;C28&amp;"|"&amp;G28</f>
        <v>КОМПО Технолоджис|Шкала|2</v>
      </c>
      <c t="str" r="U28" s="6">
        <f>IF(H28="да",A28&amp;"|"&amp;C28&amp;"|"&amp;D28&amp;"|"&amp;J28,"")</f>
        <v/>
      </c>
      <c t="str" r="V28" s="6">
        <f>IF(C28="План",A28&amp;"|"&amp;J28,"")</f>
        <v/>
      </c>
    </row>
    <row r="29">
      <c r="A29" s="3" t="inlineStr">
        <is>
          <t>КОМПО Технолоджис</t>
        </is>
      </c>
      <c r="B29" s="3" t="inlineStr">
        <is>
          <t>РФ</t>
        </is>
      </c>
      <c r="C29" s="3" t="inlineStr">
        <is>
          <t>Шкала</t>
        </is>
      </c>
      <c r="D29" s="3" t="inlineStr">
        <is>
          <t>Оборудование</t>
        </is>
      </c>
      <c r="E29" s="3" t="inlineStr">
        <is>
          <t>Оборудование — за квартал</t>
        </is>
      </c>
      <c r="F29" s="3" t="inlineStr">
        <is>
          <t>2.1.1. Сервисный центр</t>
        </is>
      </c>
      <c r="G29" s="4" t="n">
        <v>2</v>
      </c>
      <c r="H29" s="4" t="n"/>
      <c r="I29" s="3" t="inlineStr">
        <is>
          <t>115-149</t>
        </is>
      </c>
      <c r="J29" s="4" t="n">
        <v>3</v>
      </c>
      <c r="K29" s="4" t="n"/>
      <c r="L29" s="4" t="n"/>
      <c r="M29" s="8" t="n">
        <v>0.06</v>
      </c>
      <c r="N29" s="4" t="inlineStr">
        <is>
          <t>%</t>
        </is>
      </c>
      <c r="O29" s="3" t="inlineStr">
        <is>
          <t>КТ</t>
        </is>
      </c>
      <c r="P29" s="3" t="inlineStr">
        <is>
          <t>G14</t>
        </is>
      </c>
      <c t="str" r="Q29" s="6">
        <f>A29&amp;"|"&amp;C29&amp;"|"&amp;D29&amp;"|"&amp;G29</f>
        <v>КОМПО Технолоджис|Шкала|Оборудование|2</v>
      </c>
      <c t="str" r="R29" s="6">
        <f>A29&amp;"|"&amp;C29&amp;"|"&amp;D29&amp;"|"&amp;J29</f>
        <v>КОМПО Технолоджис|Шкала|Оборудование|3</v>
      </c>
      <c t="str" r="S29" s="6">
        <f>A29&amp;"|"&amp;C29&amp;"|"&amp;D29&amp;"|"&amp;G29&amp;"|"&amp;J29</f>
        <v>КОМПО Технолоджис|Шкала|Оборудование|2|3</v>
      </c>
      <c t="str" r="T29" s="6">
        <f>A29&amp;"|"&amp;C29&amp;"|"&amp;G29</f>
        <v>КОМПО Технолоджис|Шкала|2</v>
      </c>
      <c t="str" r="U29" s="6">
        <f>IF(H29="да",A29&amp;"|"&amp;C29&amp;"|"&amp;D29&amp;"|"&amp;J29,"")</f>
        <v/>
      </c>
      <c t="str" r="V29" s="6">
        <f>IF(C29="План",A29&amp;"|"&amp;J29,"")</f>
        <v/>
      </c>
    </row>
    <row r="30">
      <c r="A30" s="3" t="inlineStr">
        <is>
          <t>КОМПО Технолоджис</t>
        </is>
      </c>
      <c r="B30" s="3" t="inlineStr">
        <is>
          <t>РФ</t>
        </is>
      </c>
      <c r="C30" s="3" t="inlineStr">
        <is>
          <t>Шкала</t>
        </is>
      </c>
      <c r="D30" s="3" t="inlineStr">
        <is>
          <t>Оборудование</t>
        </is>
      </c>
      <c r="E30" s="3" t="inlineStr">
        <is>
          <t>Оборудование — за квартал</t>
        </is>
      </c>
      <c r="F30" s="3" t="inlineStr">
        <is>
          <t>2.1.1. Сервисный центр</t>
        </is>
      </c>
      <c r="G30" s="4" t="n">
        <v>2</v>
      </c>
      <c r="H30" s="4" t="n"/>
      <c r="I30" s="3" t="inlineStr">
        <is>
          <t>150-189</t>
        </is>
      </c>
      <c r="J30" s="4" t="n">
        <v>4</v>
      </c>
      <c r="K30" s="4" t="n"/>
      <c r="L30" s="4" t="n"/>
      <c r="M30" s="8" t="n">
        <v>0.06</v>
      </c>
      <c r="N30" s="4" t="inlineStr">
        <is>
          <t>%</t>
        </is>
      </c>
      <c r="O30" s="3" t="inlineStr">
        <is>
          <t>КТ</t>
        </is>
      </c>
      <c r="P30" s="3" t="inlineStr">
        <is>
          <t>H14</t>
        </is>
      </c>
      <c t="str" r="Q30" s="6">
        <f>A30&amp;"|"&amp;C30&amp;"|"&amp;D30&amp;"|"&amp;G30</f>
        <v>КОМПО Технолоджис|Шкала|Оборудование|2</v>
      </c>
      <c t="str" r="R30" s="6">
        <f>A30&amp;"|"&amp;C30&amp;"|"&amp;D30&amp;"|"&amp;J30</f>
        <v>КОМПО Технолоджис|Шкала|Оборудование|4</v>
      </c>
      <c t="str" r="S30" s="6">
        <f>A30&amp;"|"&amp;C30&amp;"|"&amp;D30&amp;"|"&amp;G30&amp;"|"&amp;J30</f>
        <v>КОМПО Технолоджис|Шкала|Оборудование|2|4</v>
      </c>
      <c t="str" r="T30" s="6">
        <f>A30&amp;"|"&amp;C30&amp;"|"&amp;G30</f>
        <v>КОМПО Технолоджис|Шкала|2</v>
      </c>
      <c t="str" r="U30" s="6">
        <f>IF(H30="да",A30&amp;"|"&amp;C30&amp;"|"&amp;D30&amp;"|"&amp;J30,"")</f>
        <v/>
      </c>
      <c t="str" r="V30" s="6">
        <f>IF(C30="План",A30&amp;"|"&amp;J30,"")</f>
        <v/>
      </c>
    </row>
    <row r="31">
      <c r="A31" s="3" t="inlineStr">
        <is>
          <t>КОМПО Технолоджис</t>
        </is>
      </c>
      <c r="B31" s="3" t="inlineStr">
        <is>
          <t>РФ</t>
        </is>
      </c>
      <c r="C31" s="3" t="inlineStr">
        <is>
          <t>Шкала</t>
        </is>
      </c>
      <c r="D31" s="3" t="inlineStr">
        <is>
          <t>Оборудование</t>
        </is>
      </c>
      <c r="E31" s="3" t="inlineStr">
        <is>
          <t>Оборудование — за квартал</t>
        </is>
      </c>
      <c r="F31" s="3" t="inlineStr">
        <is>
          <t>2.1.1. Сервисный центр</t>
        </is>
      </c>
      <c r="G31" s="4" t="n">
        <v>2</v>
      </c>
      <c r="H31" s="4" t="n"/>
      <c r="I31" s="3" t="inlineStr">
        <is>
          <t>190-224</t>
        </is>
      </c>
      <c r="J31" s="4" t="n">
        <v>5</v>
      </c>
      <c r="K31" s="4" t="n"/>
      <c r="L31" s="4" t="n"/>
      <c r="M31" s="8" t="n">
        <v>0.06</v>
      </c>
      <c r="N31" s="4" t="inlineStr">
        <is>
          <t>%</t>
        </is>
      </c>
      <c r="O31" s="3" t="inlineStr">
        <is>
          <t>КТ</t>
        </is>
      </c>
      <c r="P31" s="3" t="inlineStr">
        <is>
          <t>I14</t>
        </is>
      </c>
      <c t="str" r="Q31" s="6">
        <f>A31&amp;"|"&amp;C31&amp;"|"&amp;D31&amp;"|"&amp;G31</f>
        <v>КОМПО Технолоджис|Шкала|Оборудование|2</v>
      </c>
      <c t="str" r="R31" s="6">
        <f>A31&amp;"|"&amp;C31&amp;"|"&amp;D31&amp;"|"&amp;J31</f>
        <v>КОМПО Технолоджис|Шкала|Оборудование|5</v>
      </c>
      <c t="str" r="S31" s="6">
        <f>A31&amp;"|"&amp;C31&amp;"|"&amp;D31&amp;"|"&amp;G31&amp;"|"&amp;J31</f>
        <v>КОМПО Технолоджис|Шкала|Оборудование|2|5</v>
      </c>
      <c t="str" r="T31" s="6">
        <f>A31&amp;"|"&amp;C31&amp;"|"&amp;G31</f>
        <v>КОМПО Технолоджис|Шкала|2</v>
      </c>
      <c t="str" r="U31" s="6">
        <f>IF(H31="да",A31&amp;"|"&amp;C31&amp;"|"&amp;D31&amp;"|"&amp;J31,"")</f>
        <v/>
      </c>
      <c t="str" r="V31" s="6">
        <f>IF(C31="План",A31&amp;"|"&amp;J31,"")</f>
        <v/>
      </c>
    </row>
    <row r="32">
      <c r="A32" s="3" t="inlineStr">
        <is>
          <t>КОМПО Технолоджис</t>
        </is>
      </c>
      <c r="B32" s="3" t="inlineStr">
        <is>
          <t>РФ</t>
        </is>
      </c>
      <c r="C32" s="3" t="inlineStr">
        <is>
          <t>Шкала</t>
        </is>
      </c>
      <c r="D32" s="3" t="inlineStr">
        <is>
          <t>Оборудование</t>
        </is>
      </c>
      <c r="E32" s="3" t="inlineStr">
        <is>
          <t>Оборудование — за квартал</t>
        </is>
      </c>
      <c r="F32" s="3" t="inlineStr">
        <is>
          <t>2.1.1. Сервисный центр</t>
        </is>
      </c>
      <c r="G32" s="4" t="n">
        <v>2</v>
      </c>
      <c r="H32" s="4" t="n"/>
      <c r="I32" s="3" t="inlineStr">
        <is>
          <t>225 и более</t>
        </is>
      </c>
      <c r="J32" s="4" t="n">
        <v>6</v>
      </c>
      <c r="K32" s="4" t="n"/>
      <c r="L32" s="4" t="n"/>
      <c r="M32" s="8" t="n">
        <v>0.06</v>
      </c>
      <c r="N32" s="4" t="inlineStr">
        <is>
          <t>%</t>
        </is>
      </c>
      <c r="O32" s="3" t="inlineStr">
        <is>
          <t>КТ</t>
        </is>
      </c>
      <c r="P32" s="3" t="inlineStr">
        <is>
          <t>J14</t>
        </is>
      </c>
      <c t="str" r="Q32" s="6">
        <f>A32&amp;"|"&amp;C32&amp;"|"&amp;D32&amp;"|"&amp;G32</f>
        <v>КОМПО Технолоджис|Шкала|Оборудование|2</v>
      </c>
      <c t="str" r="R32" s="6">
        <f>A32&amp;"|"&amp;C32&amp;"|"&amp;D32&amp;"|"&amp;J32</f>
        <v>КОМПО Технолоджис|Шкала|Оборудование|6</v>
      </c>
      <c t="str" r="S32" s="6">
        <f>A32&amp;"|"&amp;C32&amp;"|"&amp;D32&amp;"|"&amp;G32&amp;"|"&amp;J32</f>
        <v>КОМПО Технолоджис|Шкала|Оборудование|2|6</v>
      </c>
      <c t="str" r="T32" s="6">
        <f>A32&amp;"|"&amp;C32&amp;"|"&amp;G32</f>
        <v>КОМПО Технолоджис|Шкала|2</v>
      </c>
      <c t="str" r="U32" s="6">
        <f>IF(H32="да",A32&amp;"|"&amp;C32&amp;"|"&amp;D32&amp;"|"&amp;J32,"")</f>
        <v/>
      </c>
      <c t="str" r="V32" s="6">
        <f>IF(C32="План",A32&amp;"|"&amp;J32,"")</f>
        <v/>
      </c>
    </row>
    <row r="33">
      <c r="A33" s="3" t="inlineStr">
        <is>
          <t>КОМПО Технолоджис</t>
        </is>
      </c>
      <c r="B33" s="3" t="inlineStr">
        <is>
          <t>РФ</t>
        </is>
      </c>
      <c r="C33" s="3" t="inlineStr">
        <is>
          <t>Шкала</t>
        </is>
      </c>
      <c r="D33" s="3" t="inlineStr">
        <is>
          <t>Оборудование</t>
        </is>
      </c>
      <c r="E33" s="3" t="inlineStr">
        <is>
          <t>Оборудование — за квартал</t>
        </is>
      </c>
      <c r="F33" s="3" t="inlineStr">
        <is>
          <t>2.1.2. Сервисный центр - гарантийное обслуживание</t>
        </is>
      </c>
      <c r="G33" s="4" t="n">
        <v>3</v>
      </c>
      <c r="H33" s="4" t="n"/>
      <c r="I33" s="3" t="inlineStr">
        <is>
          <t>до 75</t>
        </is>
      </c>
      <c r="J33" s="4" t="n">
        <v>1</v>
      </c>
      <c r="K33" s="4" t="n"/>
      <c r="L33" s="4" t="n"/>
      <c r="M33" s="8" t="n">
        <v>0.01</v>
      </c>
      <c r="N33" s="4" t="inlineStr">
        <is>
          <t>%</t>
        </is>
      </c>
      <c r="O33" s="3" t="inlineStr">
        <is>
          <t>КТ</t>
        </is>
      </c>
      <c r="P33" s="3" t="inlineStr">
        <is>
          <t>E15</t>
        </is>
      </c>
      <c t="str" r="Q33" s="6">
        <f>A33&amp;"|"&amp;C33&amp;"|"&amp;D33&amp;"|"&amp;G33</f>
        <v>КОМПО Технолоджис|Шкала|Оборудование|3</v>
      </c>
      <c t="str" r="R33" s="6">
        <f>A33&amp;"|"&amp;C33&amp;"|"&amp;D33&amp;"|"&amp;J33</f>
        <v>КОМПО Технолоджис|Шкала|Оборудование|1</v>
      </c>
      <c t="str" r="S33" s="6">
        <f>A33&amp;"|"&amp;C33&amp;"|"&amp;D33&amp;"|"&amp;G33&amp;"|"&amp;J33</f>
        <v>КОМПО Технолоджис|Шкала|Оборудование|3|1</v>
      </c>
      <c t="str" r="T33" s="6">
        <f>A33&amp;"|"&amp;C33&amp;"|"&amp;G33</f>
        <v>КОМПО Технолоджис|Шкала|3</v>
      </c>
      <c t="str" r="U33" s="6">
        <f>IF(H33="да",A33&amp;"|"&amp;C33&amp;"|"&amp;D33&amp;"|"&amp;J33,"")</f>
        <v/>
      </c>
      <c t="str" r="V33" s="6">
        <f>IF(C33="План",A33&amp;"|"&amp;J33,"")</f>
        <v/>
      </c>
    </row>
    <row r="34">
      <c r="A34" s="3" t="inlineStr">
        <is>
          <t>КОМПО Технолоджис</t>
        </is>
      </c>
      <c r="B34" s="3" t="inlineStr">
        <is>
          <t>РФ</t>
        </is>
      </c>
      <c r="C34" s="3" t="inlineStr">
        <is>
          <t>Шкала</t>
        </is>
      </c>
      <c r="D34" s="3" t="inlineStr">
        <is>
          <t>Оборудование</t>
        </is>
      </c>
      <c r="E34" s="3" t="inlineStr">
        <is>
          <t>Оборудование — за квартал</t>
        </is>
      </c>
      <c r="F34" s="3" t="inlineStr">
        <is>
          <t>2.1.2. Сервисный центр - гарантийное обслуживание</t>
        </is>
      </c>
      <c r="G34" s="4" t="n">
        <v>3</v>
      </c>
      <c r="H34" s="4" t="n"/>
      <c r="I34" s="3" t="inlineStr">
        <is>
          <t>75-114</t>
        </is>
      </c>
      <c r="J34" s="4" t="n">
        <v>2</v>
      </c>
      <c r="K34" s="4" t="n"/>
      <c r="L34" s="4" t="n"/>
      <c r="M34" s="8" t="n">
        <v>0.01</v>
      </c>
      <c r="N34" s="4" t="inlineStr">
        <is>
          <t>%</t>
        </is>
      </c>
      <c r="O34" s="3" t="inlineStr">
        <is>
          <t>КТ</t>
        </is>
      </c>
      <c r="P34" s="3" t="inlineStr">
        <is>
          <t>F15</t>
        </is>
      </c>
      <c t="str" r="Q34" s="6">
        <f>A34&amp;"|"&amp;C34&amp;"|"&amp;D34&amp;"|"&amp;G34</f>
        <v>КОМПО Технолоджис|Шкала|Оборудование|3</v>
      </c>
      <c t="str" r="R34" s="6">
        <f>A34&amp;"|"&amp;C34&amp;"|"&amp;D34&amp;"|"&amp;J34</f>
        <v>КОМПО Технолоджис|Шкала|Оборудование|2</v>
      </c>
      <c t="str" r="S34" s="6">
        <f>A34&amp;"|"&amp;C34&amp;"|"&amp;D34&amp;"|"&amp;G34&amp;"|"&amp;J34</f>
        <v>КОМПО Технолоджис|Шкала|Оборудование|3|2</v>
      </c>
      <c t="str" r="T34" s="6">
        <f>A34&amp;"|"&amp;C34&amp;"|"&amp;G34</f>
        <v>КОМПО Технолоджис|Шкала|3</v>
      </c>
      <c t="str" r="U34" s="6">
        <f>IF(H34="да",A34&amp;"|"&amp;C34&amp;"|"&amp;D34&amp;"|"&amp;J34,"")</f>
        <v/>
      </c>
      <c t="str" r="V34" s="6">
        <f>IF(C34="План",A34&amp;"|"&amp;J34,"")</f>
        <v/>
      </c>
    </row>
    <row r="35">
      <c r="A35" s="3" t="inlineStr">
        <is>
          <t>КОМПО Технолоджис</t>
        </is>
      </c>
      <c r="B35" s="3" t="inlineStr">
        <is>
          <t>РФ</t>
        </is>
      </c>
      <c r="C35" s="3" t="inlineStr">
        <is>
          <t>Шкала</t>
        </is>
      </c>
      <c r="D35" s="3" t="inlineStr">
        <is>
          <t>Оборудование</t>
        </is>
      </c>
      <c r="E35" s="3" t="inlineStr">
        <is>
          <t>Оборудование — за квартал</t>
        </is>
      </c>
      <c r="F35" s="3" t="inlineStr">
        <is>
          <t>2.1.2. Сервисный центр - гарантийное обслуживание</t>
        </is>
      </c>
      <c r="G35" s="4" t="n">
        <v>3</v>
      </c>
      <c r="H35" s="4" t="n"/>
      <c r="I35" s="3" t="inlineStr">
        <is>
          <t>115-149</t>
        </is>
      </c>
      <c r="J35" s="4" t="n">
        <v>3</v>
      </c>
      <c r="K35" s="4" t="n"/>
      <c r="L35" s="4" t="n"/>
      <c r="M35" s="8" t="n">
        <v>0.01</v>
      </c>
      <c r="N35" s="4" t="inlineStr">
        <is>
          <t>%</t>
        </is>
      </c>
      <c r="O35" s="3" t="inlineStr">
        <is>
          <t>КТ</t>
        </is>
      </c>
      <c r="P35" s="3" t="inlineStr">
        <is>
          <t>G15</t>
        </is>
      </c>
      <c t="str" r="Q35" s="6">
        <f>A35&amp;"|"&amp;C35&amp;"|"&amp;D35&amp;"|"&amp;G35</f>
        <v>КОМПО Технолоджис|Шкала|Оборудование|3</v>
      </c>
      <c t="str" r="R35" s="6">
        <f>A35&amp;"|"&amp;C35&amp;"|"&amp;D35&amp;"|"&amp;J35</f>
        <v>КОМПО Технолоджис|Шкала|Оборудование|3</v>
      </c>
      <c t="str" r="S35" s="6">
        <f>A35&amp;"|"&amp;C35&amp;"|"&amp;D35&amp;"|"&amp;G35&amp;"|"&amp;J35</f>
        <v>КОМПО Технолоджис|Шкала|Оборудование|3|3</v>
      </c>
      <c t="str" r="T35" s="6">
        <f>A35&amp;"|"&amp;C35&amp;"|"&amp;G35</f>
        <v>КОМПО Технолоджис|Шкала|3</v>
      </c>
      <c t="str" r="U35" s="6">
        <f>IF(H35="да",A35&amp;"|"&amp;C35&amp;"|"&amp;D35&amp;"|"&amp;J35,"")</f>
        <v/>
      </c>
      <c t="str" r="V35" s="6">
        <f>IF(C35="План",A35&amp;"|"&amp;J35,"")</f>
        <v/>
      </c>
    </row>
    <row r="36">
      <c r="A36" s="3" t="inlineStr">
        <is>
          <t>КОМПО Технолоджис</t>
        </is>
      </c>
      <c r="B36" s="3" t="inlineStr">
        <is>
          <t>РФ</t>
        </is>
      </c>
      <c r="C36" s="3" t="inlineStr">
        <is>
          <t>Шкала</t>
        </is>
      </c>
      <c r="D36" s="3" t="inlineStr">
        <is>
          <t>Оборудование</t>
        </is>
      </c>
      <c r="E36" s="3" t="inlineStr">
        <is>
          <t>Оборудование — за квартал</t>
        </is>
      </c>
      <c r="F36" s="3" t="inlineStr">
        <is>
          <t>2.1.2. Сервисный центр - гарантийное обслуживание</t>
        </is>
      </c>
      <c r="G36" s="4" t="n">
        <v>3</v>
      </c>
      <c r="H36" s="4" t="n"/>
      <c r="I36" s="3" t="inlineStr">
        <is>
          <t>150-189</t>
        </is>
      </c>
      <c r="J36" s="4" t="n">
        <v>4</v>
      </c>
      <c r="K36" s="4" t="n"/>
      <c r="L36" s="4" t="n"/>
      <c r="M36" s="8" t="n">
        <v>0.01</v>
      </c>
      <c r="N36" s="4" t="inlineStr">
        <is>
          <t>%</t>
        </is>
      </c>
      <c r="O36" s="3" t="inlineStr">
        <is>
          <t>КТ</t>
        </is>
      </c>
      <c r="P36" s="3" t="inlineStr">
        <is>
          <t>H15</t>
        </is>
      </c>
      <c t="str" r="Q36" s="6">
        <f>A36&amp;"|"&amp;C36&amp;"|"&amp;D36&amp;"|"&amp;G36</f>
        <v>КОМПО Технолоджис|Шкала|Оборудование|3</v>
      </c>
      <c t="str" r="R36" s="6">
        <f>A36&amp;"|"&amp;C36&amp;"|"&amp;D36&amp;"|"&amp;J36</f>
        <v>КОМПО Технолоджис|Шкала|Оборудование|4</v>
      </c>
      <c t="str" r="S36" s="6">
        <f>A36&amp;"|"&amp;C36&amp;"|"&amp;D36&amp;"|"&amp;G36&amp;"|"&amp;J36</f>
        <v>КОМПО Технолоджис|Шкала|Оборудование|3|4</v>
      </c>
      <c t="str" r="T36" s="6">
        <f>A36&amp;"|"&amp;C36&amp;"|"&amp;G36</f>
        <v>КОМПО Технолоджис|Шкала|3</v>
      </c>
      <c t="str" r="U36" s="6">
        <f>IF(H36="да",A36&amp;"|"&amp;C36&amp;"|"&amp;D36&amp;"|"&amp;J36,"")</f>
        <v/>
      </c>
      <c t="str" r="V36" s="6">
        <f>IF(C36="План",A36&amp;"|"&amp;J36,"")</f>
        <v/>
      </c>
    </row>
    <row r="37">
      <c r="A37" s="3" t="inlineStr">
        <is>
          <t>КОМПО Технолоджис</t>
        </is>
      </c>
      <c r="B37" s="3" t="inlineStr">
        <is>
          <t>РФ</t>
        </is>
      </c>
      <c r="C37" s="3" t="inlineStr">
        <is>
          <t>Шкала</t>
        </is>
      </c>
      <c r="D37" s="3" t="inlineStr">
        <is>
          <t>Оборудование</t>
        </is>
      </c>
      <c r="E37" s="3" t="inlineStr">
        <is>
          <t>Оборудование — за квартал</t>
        </is>
      </c>
      <c r="F37" s="3" t="inlineStr">
        <is>
          <t>2.1.2. Сервисный центр - гарантийное обслуживание</t>
        </is>
      </c>
      <c r="G37" s="4" t="n">
        <v>3</v>
      </c>
      <c r="H37" s="4" t="n"/>
      <c r="I37" s="3" t="inlineStr">
        <is>
          <t>190-224</t>
        </is>
      </c>
      <c r="J37" s="4" t="n">
        <v>5</v>
      </c>
      <c r="K37" s="4" t="n"/>
      <c r="L37" s="4" t="n"/>
      <c r="M37" s="8" t="n">
        <v>0.01</v>
      </c>
      <c r="N37" s="4" t="inlineStr">
        <is>
          <t>%</t>
        </is>
      </c>
      <c r="O37" s="3" t="inlineStr">
        <is>
          <t>КТ</t>
        </is>
      </c>
      <c r="P37" s="3" t="inlineStr">
        <is>
          <t>I15</t>
        </is>
      </c>
      <c t="str" r="Q37" s="6">
        <f>A37&amp;"|"&amp;C37&amp;"|"&amp;D37&amp;"|"&amp;G37</f>
        <v>КОМПО Технолоджис|Шкала|Оборудование|3</v>
      </c>
      <c t="str" r="R37" s="6">
        <f>A37&amp;"|"&amp;C37&amp;"|"&amp;D37&amp;"|"&amp;J37</f>
        <v>КОМПО Технолоджис|Шкала|Оборудование|5</v>
      </c>
      <c t="str" r="S37" s="6">
        <f>A37&amp;"|"&amp;C37&amp;"|"&amp;D37&amp;"|"&amp;G37&amp;"|"&amp;J37</f>
        <v>КОМПО Технолоджис|Шкала|Оборудование|3|5</v>
      </c>
      <c t="str" r="T37" s="6">
        <f>A37&amp;"|"&amp;C37&amp;"|"&amp;G37</f>
        <v>КОМПО Технолоджис|Шкала|3</v>
      </c>
      <c t="str" r="U37" s="6">
        <f>IF(H37="да",A37&amp;"|"&amp;C37&amp;"|"&amp;D37&amp;"|"&amp;J37,"")</f>
        <v/>
      </c>
      <c t="str" r="V37" s="6">
        <f>IF(C37="План",A37&amp;"|"&amp;J37,"")</f>
        <v/>
      </c>
    </row>
    <row r="38">
      <c r="A38" s="3" t="inlineStr">
        <is>
          <t>КОМПО Технолоджис</t>
        </is>
      </c>
      <c r="B38" s="3" t="inlineStr">
        <is>
          <t>РФ</t>
        </is>
      </c>
      <c r="C38" s="3" t="inlineStr">
        <is>
          <t>Шкала</t>
        </is>
      </c>
      <c r="D38" s="3" t="inlineStr">
        <is>
          <t>Оборудование</t>
        </is>
      </c>
      <c r="E38" s="3" t="inlineStr">
        <is>
          <t>Оборудование — за квартал</t>
        </is>
      </c>
      <c r="F38" s="3" t="inlineStr">
        <is>
          <t>2.1.2. Сервисный центр - гарантийное обслуживание</t>
        </is>
      </c>
      <c r="G38" s="4" t="n">
        <v>3</v>
      </c>
      <c r="H38" s="4" t="n"/>
      <c r="I38" s="3" t="inlineStr">
        <is>
          <t>225 и более</t>
        </is>
      </c>
      <c r="J38" s="4" t="n">
        <v>6</v>
      </c>
      <c r="K38" s="4" t="n"/>
      <c r="L38" s="4" t="n"/>
      <c r="M38" s="8" t="n">
        <v>0.01</v>
      </c>
      <c r="N38" s="4" t="inlineStr">
        <is>
          <t>%</t>
        </is>
      </c>
      <c r="O38" s="3" t="inlineStr">
        <is>
          <t>КТ</t>
        </is>
      </c>
      <c r="P38" s="3" t="inlineStr">
        <is>
          <t>J15</t>
        </is>
      </c>
      <c t="str" r="Q38" s="6">
        <f>A38&amp;"|"&amp;C38&amp;"|"&amp;D38&amp;"|"&amp;G38</f>
        <v>КОМПО Технолоджис|Шкала|Оборудование|3</v>
      </c>
      <c t="str" r="R38" s="6">
        <f>A38&amp;"|"&amp;C38&amp;"|"&amp;D38&amp;"|"&amp;J38</f>
        <v>КОМПО Технолоджис|Шкала|Оборудование|6</v>
      </c>
      <c t="str" r="S38" s="6">
        <f>A38&amp;"|"&amp;C38&amp;"|"&amp;D38&amp;"|"&amp;G38&amp;"|"&amp;J38</f>
        <v>КОМПО Технолоджис|Шкала|Оборудование|3|6</v>
      </c>
      <c t="str" r="T38" s="6">
        <f>A38&amp;"|"&amp;C38&amp;"|"&amp;G38</f>
        <v>КОМПО Технолоджис|Шкала|3</v>
      </c>
      <c t="str" r="U38" s="6">
        <f>IF(H38="да",A38&amp;"|"&amp;C38&amp;"|"&amp;D38&amp;"|"&amp;J38,"")</f>
        <v/>
      </c>
      <c t="str" r="V38" s="6">
        <f>IF(C38="План",A38&amp;"|"&amp;J38,"")</f>
        <v/>
      </c>
    </row>
    <row r="39">
      <c r="A39" s="3" t="inlineStr">
        <is>
          <t>КОМПО Технолоджис</t>
        </is>
      </c>
      <c r="B39" s="3" t="inlineStr">
        <is>
          <t>РФ</t>
        </is>
      </c>
      <c r="C39" s="3" t="inlineStr">
        <is>
          <t>Шкала</t>
        </is>
      </c>
      <c r="D39" s="3" t="inlineStr">
        <is>
          <t>Оборудование</t>
        </is>
      </c>
      <c r="E39" s="3" t="inlineStr">
        <is>
          <t>Оборудование — за квартал</t>
        </is>
      </c>
      <c r="F39" s="3" t="inlineStr">
        <is>
          <t>2.3 Наличие минимальных складских остатков по оборудованию</t>
        </is>
      </c>
      <c r="G39" s="4" t="n">
        <v>4</v>
      </c>
      <c r="H39" s="4" t="n"/>
      <c r="I39" s="3" t="inlineStr">
        <is>
          <t>до 75</t>
        </is>
      </c>
      <c r="J39" s="4" t="n">
        <v>1</v>
      </c>
      <c r="K39" s="4" t="n"/>
      <c r="L39" s="4" t="n"/>
      <c r="M39" s="8" t="n">
        <v>0.01</v>
      </c>
      <c r="N39" s="4" t="inlineStr">
        <is>
          <t>%</t>
        </is>
      </c>
      <c r="O39" s="3" t="inlineStr">
        <is>
          <t>КТ</t>
        </is>
      </c>
      <c r="P39" s="3" t="inlineStr">
        <is>
          <t>E16</t>
        </is>
      </c>
      <c t="str" r="Q39" s="6">
        <f>A39&amp;"|"&amp;C39&amp;"|"&amp;D39&amp;"|"&amp;G39</f>
        <v>КОМПО Технолоджис|Шкала|Оборудование|4</v>
      </c>
      <c t="str" r="R39" s="6">
        <f>A39&amp;"|"&amp;C39&amp;"|"&amp;D39&amp;"|"&amp;J39</f>
        <v>КОМПО Технолоджис|Шкала|Оборудование|1</v>
      </c>
      <c t="str" r="S39" s="6">
        <f>A39&amp;"|"&amp;C39&amp;"|"&amp;D39&amp;"|"&amp;G39&amp;"|"&amp;J39</f>
        <v>КОМПО Технолоджис|Шкала|Оборудование|4|1</v>
      </c>
      <c t="str" r="T39" s="6">
        <f>A39&amp;"|"&amp;C39&amp;"|"&amp;G39</f>
        <v>КОМПО Технолоджис|Шкала|4</v>
      </c>
      <c t="str" r="U39" s="6">
        <f>IF(H39="да",A39&amp;"|"&amp;C39&amp;"|"&amp;D39&amp;"|"&amp;J39,"")</f>
        <v/>
      </c>
      <c t="str" r="V39" s="6">
        <f>IF(C39="План",A39&amp;"|"&amp;J39,"")</f>
        <v/>
      </c>
    </row>
    <row r="40">
      <c r="A40" s="3" t="inlineStr">
        <is>
          <t>КОМПО Технолоджис</t>
        </is>
      </c>
      <c r="B40" s="3" t="inlineStr">
        <is>
          <t>РФ</t>
        </is>
      </c>
      <c r="C40" s="3" t="inlineStr">
        <is>
          <t>Шкала</t>
        </is>
      </c>
      <c r="D40" s="3" t="inlineStr">
        <is>
          <t>Оборудование</t>
        </is>
      </c>
      <c r="E40" s="3" t="inlineStr">
        <is>
          <t>Оборудование — за квартал</t>
        </is>
      </c>
      <c r="F40" s="3" t="inlineStr">
        <is>
          <t>2.3 Наличие минимальных складских остатков по оборудованию</t>
        </is>
      </c>
      <c r="G40" s="4" t="n">
        <v>4</v>
      </c>
      <c r="H40" s="4" t="n"/>
      <c r="I40" s="3" t="inlineStr">
        <is>
          <t>75-114</t>
        </is>
      </c>
      <c r="J40" s="4" t="n">
        <v>2</v>
      </c>
      <c r="K40" s="4" t="n"/>
      <c r="L40" s="4" t="n"/>
      <c r="M40" s="8" t="n">
        <v>0.01</v>
      </c>
      <c r="N40" s="4" t="inlineStr">
        <is>
          <t>%</t>
        </is>
      </c>
      <c r="O40" s="3" t="inlineStr">
        <is>
          <t>КТ</t>
        </is>
      </c>
      <c r="P40" s="3" t="inlineStr">
        <is>
          <t>F16</t>
        </is>
      </c>
      <c t="str" r="Q40" s="6">
        <f>A40&amp;"|"&amp;C40&amp;"|"&amp;D40&amp;"|"&amp;G40</f>
        <v>КОМПО Технолоджис|Шкала|Оборудование|4</v>
      </c>
      <c t="str" r="R40" s="6">
        <f>A40&amp;"|"&amp;C40&amp;"|"&amp;D40&amp;"|"&amp;J40</f>
        <v>КОМПО Технолоджис|Шкала|Оборудование|2</v>
      </c>
      <c t="str" r="S40" s="6">
        <f>A40&amp;"|"&amp;C40&amp;"|"&amp;D40&amp;"|"&amp;G40&amp;"|"&amp;J40</f>
        <v>КОМПО Технолоджис|Шкала|Оборудование|4|2</v>
      </c>
      <c t="str" r="T40" s="6">
        <f>A40&amp;"|"&amp;C40&amp;"|"&amp;G40</f>
        <v>КОМПО Технолоджис|Шкала|4</v>
      </c>
      <c t="str" r="U40" s="6">
        <f>IF(H40="да",A40&amp;"|"&amp;C40&amp;"|"&amp;D40&amp;"|"&amp;J40,"")</f>
        <v/>
      </c>
      <c t="str" r="V40" s="6">
        <f>IF(C40="План",A40&amp;"|"&amp;J40,"")</f>
        <v/>
      </c>
    </row>
    <row r="41">
      <c r="A41" s="3" t="inlineStr">
        <is>
          <t>КОМПО Технолоджис</t>
        </is>
      </c>
      <c r="B41" s="3" t="inlineStr">
        <is>
          <t>РФ</t>
        </is>
      </c>
      <c r="C41" s="3" t="inlineStr">
        <is>
          <t>Шкала</t>
        </is>
      </c>
      <c r="D41" s="3" t="inlineStr">
        <is>
          <t>Оборудование</t>
        </is>
      </c>
      <c r="E41" s="3" t="inlineStr">
        <is>
          <t>Оборудование — за квартал</t>
        </is>
      </c>
      <c r="F41" s="3" t="inlineStr">
        <is>
          <t>2.3 Наличие минимальных складских остатков по оборудованию</t>
        </is>
      </c>
      <c r="G41" s="4" t="n">
        <v>4</v>
      </c>
      <c r="H41" s="4" t="n"/>
      <c r="I41" s="3" t="inlineStr">
        <is>
          <t>115-149</t>
        </is>
      </c>
      <c r="J41" s="4" t="n">
        <v>3</v>
      </c>
      <c r="K41" s="4" t="n"/>
      <c r="L41" s="4" t="n"/>
      <c r="M41" s="8" t="n">
        <v>0.01</v>
      </c>
      <c r="N41" s="4" t="inlineStr">
        <is>
          <t>%</t>
        </is>
      </c>
      <c r="O41" s="3" t="inlineStr">
        <is>
          <t>КТ</t>
        </is>
      </c>
      <c r="P41" s="3" t="inlineStr">
        <is>
          <t>G16</t>
        </is>
      </c>
      <c t="str" r="Q41" s="6">
        <f>A41&amp;"|"&amp;C41&amp;"|"&amp;D41&amp;"|"&amp;G41</f>
        <v>КОМПО Технолоджис|Шкала|Оборудование|4</v>
      </c>
      <c t="str" r="R41" s="6">
        <f>A41&amp;"|"&amp;C41&amp;"|"&amp;D41&amp;"|"&amp;J41</f>
        <v>КОМПО Технолоджис|Шкала|Оборудование|3</v>
      </c>
      <c t="str" r="S41" s="6">
        <f>A41&amp;"|"&amp;C41&amp;"|"&amp;D41&amp;"|"&amp;G41&amp;"|"&amp;J41</f>
        <v>КОМПО Технолоджис|Шкала|Оборудование|4|3</v>
      </c>
      <c t="str" r="T41" s="6">
        <f>A41&amp;"|"&amp;C41&amp;"|"&amp;G41</f>
        <v>КОМПО Технолоджис|Шкала|4</v>
      </c>
      <c t="str" r="U41" s="6">
        <f>IF(H41="да",A41&amp;"|"&amp;C41&amp;"|"&amp;D41&amp;"|"&amp;J41,"")</f>
        <v/>
      </c>
      <c t="str" r="V41" s="6">
        <f>IF(C41="План",A41&amp;"|"&amp;J41,"")</f>
        <v/>
      </c>
    </row>
    <row r="42">
      <c r="A42" s="3" t="inlineStr">
        <is>
          <t>КОМПО Технолоджис</t>
        </is>
      </c>
      <c r="B42" s="3" t="inlineStr">
        <is>
          <t>РФ</t>
        </is>
      </c>
      <c r="C42" s="3" t="inlineStr">
        <is>
          <t>Шкала</t>
        </is>
      </c>
      <c r="D42" s="3" t="inlineStr">
        <is>
          <t>Оборудование</t>
        </is>
      </c>
      <c r="E42" s="3" t="inlineStr">
        <is>
          <t>Оборудование — за квартал</t>
        </is>
      </c>
      <c r="F42" s="3" t="inlineStr">
        <is>
          <t>2.3 Наличие минимальных складских остатков по оборудованию</t>
        </is>
      </c>
      <c r="G42" s="4" t="n">
        <v>4</v>
      </c>
      <c r="H42" s="4" t="n"/>
      <c r="I42" s="3" t="inlineStr">
        <is>
          <t>150-189</t>
        </is>
      </c>
      <c r="J42" s="4" t="n">
        <v>4</v>
      </c>
      <c r="K42" s="4" t="n"/>
      <c r="L42" s="4" t="n"/>
      <c r="M42" s="8" t="n">
        <v>0.01</v>
      </c>
      <c r="N42" s="4" t="inlineStr">
        <is>
          <t>%</t>
        </is>
      </c>
      <c r="O42" s="3" t="inlineStr">
        <is>
          <t>КТ</t>
        </is>
      </c>
      <c r="P42" s="3" t="inlineStr">
        <is>
          <t>H16</t>
        </is>
      </c>
      <c t="str" r="Q42" s="6">
        <f>A42&amp;"|"&amp;C42&amp;"|"&amp;D42&amp;"|"&amp;G42</f>
        <v>КОМПО Технолоджис|Шкала|Оборудование|4</v>
      </c>
      <c t="str" r="R42" s="6">
        <f>A42&amp;"|"&amp;C42&amp;"|"&amp;D42&amp;"|"&amp;J42</f>
        <v>КОМПО Технолоджис|Шкала|Оборудование|4</v>
      </c>
      <c t="str" r="S42" s="6">
        <f>A42&amp;"|"&amp;C42&amp;"|"&amp;D42&amp;"|"&amp;G42&amp;"|"&amp;J42</f>
        <v>КОМПО Технолоджис|Шкала|Оборудование|4|4</v>
      </c>
      <c t="str" r="T42" s="6">
        <f>A42&amp;"|"&amp;C42&amp;"|"&amp;G42</f>
        <v>КОМПО Технолоджис|Шкала|4</v>
      </c>
      <c t="str" r="U42" s="6">
        <f>IF(H42="да",A42&amp;"|"&amp;C42&amp;"|"&amp;D42&amp;"|"&amp;J42,"")</f>
        <v/>
      </c>
      <c t="str" r="V42" s="6">
        <f>IF(C42="План",A42&amp;"|"&amp;J42,"")</f>
        <v/>
      </c>
    </row>
    <row r="43">
      <c r="A43" s="3" t="inlineStr">
        <is>
          <t>КОМПО Технолоджис</t>
        </is>
      </c>
      <c r="B43" s="3" t="inlineStr">
        <is>
          <t>РФ</t>
        </is>
      </c>
      <c r="C43" s="3" t="inlineStr">
        <is>
          <t>Шкала</t>
        </is>
      </c>
      <c r="D43" s="3" t="inlineStr">
        <is>
          <t>Оборудование</t>
        </is>
      </c>
      <c r="E43" s="3" t="inlineStr">
        <is>
          <t>Оборудование — за квартал</t>
        </is>
      </c>
      <c r="F43" s="3" t="inlineStr">
        <is>
          <t>2.3 Наличие минимальных складских остатков по оборудованию</t>
        </is>
      </c>
      <c r="G43" s="4" t="n">
        <v>4</v>
      </c>
      <c r="H43" s="4" t="n"/>
      <c r="I43" s="3" t="inlineStr">
        <is>
          <t>190-224</t>
        </is>
      </c>
      <c r="J43" s="4" t="n">
        <v>5</v>
      </c>
      <c r="K43" s="4" t="n"/>
      <c r="L43" s="4" t="n"/>
      <c r="M43" s="8" t="n">
        <v>0.01</v>
      </c>
      <c r="N43" s="4" t="inlineStr">
        <is>
          <t>%</t>
        </is>
      </c>
      <c r="O43" s="3" t="inlineStr">
        <is>
          <t>КТ</t>
        </is>
      </c>
      <c r="P43" s="3" t="inlineStr">
        <is>
          <t>I16</t>
        </is>
      </c>
      <c t="str" r="Q43" s="6">
        <f>A43&amp;"|"&amp;C43&amp;"|"&amp;D43&amp;"|"&amp;G43</f>
        <v>КОМПО Технолоджис|Шкала|Оборудование|4</v>
      </c>
      <c t="str" r="R43" s="6">
        <f>A43&amp;"|"&amp;C43&amp;"|"&amp;D43&amp;"|"&amp;J43</f>
        <v>КОМПО Технолоджис|Шкала|Оборудование|5</v>
      </c>
      <c t="str" r="S43" s="6">
        <f>A43&amp;"|"&amp;C43&amp;"|"&amp;D43&amp;"|"&amp;G43&amp;"|"&amp;J43</f>
        <v>КОМПО Технолоджис|Шкала|Оборудование|4|5</v>
      </c>
      <c t="str" r="T43" s="6">
        <f>A43&amp;"|"&amp;C43&amp;"|"&amp;G43</f>
        <v>КОМПО Технолоджис|Шкала|4</v>
      </c>
      <c t="str" r="U43" s="6">
        <f>IF(H43="да",A43&amp;"|"&amp;C43&amp;"|"&amp;D43&amp;"|"&amp;J43,"")</f>
        <v/>
      </c>
      <c t="str" r="V43" s="6">
        <f>IF(C43="План",A43&amp;"|"&amp;J43,"")</f>
        <v/>
      </c>
    </row>
    <row r="44">
      <c r="A44" s="3" t="inlineStr">
        <is>
          <t>КОМПО Технолоджис</t>
        </is>
      </c>
      <c r="B44" s="3" t="inlineStr">
        <is>
          <t>РФ</t>
        </is>
      </c>
      <c r="C44" s="3" t="inlineStr">
        <is>
          <t>Шкала</t>
        </is>
      </c>
      <c r="D44" s="3" t="inlineStr">
        <is>
          <t>Оборудование</t>
        </is>
      </c>
      <c r="E44" s="3" t="inlineStr">
        <is>
          <t>Оборудование — за квартал</t>
        </is>
      </c>
      <c r="F44" s="3" t="inlineStr">
        <is>
          <t>2.3 Наличие минимальных складских остатков по оборудованию</t>
        </is>
      </c>
      <c r="G44" s="4" t="n">
        <v>4</v>
      </c>
      <c r="H44" s="4" t="n"/>
      <c r="I44" s="3" t="inlineStr">
        <is>
          <t>225 и более</t>
        </is>
      </c>
      <c r="J44" s="4" t="n">
        <v>6</v>
      </c>
      <c r="K44" s="4" t="n"/>
      <c r="L44" s="4" t="n"/>
      <c r="M44" s="8" t="n">
        <v>0.01</v>
      </c>
      <c r="N44" s="4" t="inlineStr">
        <is>
          <t>%</t>
        </is>
      </c>
      <c r="O44" s="3" t="inlineStr">
        <is>
          <t>КТ</t>
        </is>
      </c>
      <c r="P44" s="3" t="inlineStr">
        <is>
          <t>J16</t>
        </is>
      </c>
      <c t="str" r="Q44" s="6">
        <f>A44&amp;"|"&amp;C44&amp;"|"&amp;D44&amp;"|"&amp;G44</f>
        <v>КОМПО Технолоджис|Шкала|Оборудование|4</v>
      </c>
      <c t="str" r="R44" s="6">
        <f>A44&amp;"|"&amp;C44&amp;"|"&amp;D44&amp;"|"&amp;J44</f>
        <v>КОМПО Технолоджис|Шкала|Оборудование|6</v>
      </c>
      <c t="str" r="S44" s="6">
        <f>A44&amp;"|"&amp;C44&amp;"|"&amp;D44&amp;"|"&amp;G44&amp;"|"&amp;J44</f>
        <v>КОМПО Технолоджис|Шкала|Оборудование|4|6</v>
      </c>
      <c t="str" r="T44" s="6">
        <f>A44&amp;"|"&amp;C44&amp;"|"&amp;G44</f>
        <v>КОМПО Технолоджис|Шкала|4</v>
      </c>
      <c t="str" r="U44" s="6">
        <f>IF(H44="да",A44&amp;"|"&amp;C44&amp;"|"&amp;D44&amp;"|"&amp;J44,"")</f>
        <v/>
      </c>
      <c t="str" r="V44" s="6">
        <f>IF(C44="План",A44&amp;"|"&amp;J44,"")</f>
        <v/>
      </c>
    </row>
    <row r="45">
      <c r="A45" s="3" t="inlineStr">
        <is>
          <t>КОМПО Технолоджис</t>
        </is>
      </c>
      <c r="B45" s="3" t="inlineStr">
        <is>
          <t>РФ</t>
        </is>
      </c>
      <c r="C45" s="3" t="inlineStr">
        <is>
          <t>Шкала</t>
        </is>
      </c>
      <c r="D45" s="3" t="inlineStr">
        <is>
          <t>Оборудование</t>
        </is>
      </c>
      <c r="E45" s="3" t="inlineStr">
        <is>
          <t>Оборудование — за квартал</t>
        </is>
      </c>
      <c r="F45" s="3" t="inlineStr">
        <is>
          <t>3 Объем закупок МП</t>
        </is>
      </c>
      <c r="G45" s="4" t="n">
        <v>5</v>
      </c>
      <c r="H45" s="4" t="n"/>
      <c r="I45" s="3" t="inlineStr">
        <is>
          <t>до 75</t>
        </is>
      </c>
      <c r="J45" s="4" t="n">
        <v>1</v>
      </c>
      <c r="K45" s="4" t="n"/>
      <c r="L45" s="4" t="n"/>
      <c r="M45" s="8" t="n">
        <v>0</v>
      </c>
      <c r="N45" s="4" t="inlineStr">
        <is>
          <t>%</t>
        </is>
      </c>
      <c r="O45" s="3" t="inlineStr">
        <is>
          <t>КТ</t>
        </is>
      </c>
      <c r="P45" s="3" t="inlineStr">
        <is>
          <t>E17</t>
        </is>
      </c>
      <c t="str" r="Q45" s="6">
        <f>A45&amp;"|"&amp;C45&amp;"|"&amp;D45&amp;"|"&amp;G45</f>
        <v>КОМПО Технолоджис|Шкала|Оборудование|5</v>
      </c>
      <c t="str" r="R45" s="6">
        <f>A45&amp;"|"&amp;C45&amp;"|"&amp;D45&amp;"|"&amp;J45</f>
        <v>КОМПО Технолоджис|Шкала|Оборудование|1</v>
      </c>
      <c t="str" r="S45" s="6">
        <f>A45&amp;"|"&amp;C45&amp;"|"&amp;D45&amp;"|"&amp;G45&amp;"|"&amp;J45</f>
        <v>КОМПО Технолоджис|Шкала|Оборудование|5|1</v>
      </c>
      <c t="str" r="T45" s="6">
        <f>A45&amp;"|"&amp;C45&amp;"|"&amp;G45</f>
        <v>КОМПО Технолоджис|Шкала|5</v>
      </c>
      <c t="str" r="U45" s="6">
        <f>IF(H45="да",A45&amp;"|"&amp;C45&amp;"|"&amp;D45&amp;"|"&amp;J45,"")</f>
        <v/>
      </c>
      <c t="str" r="V45" s="6">
        <f>IF(C45="План",A45&amp;"|"&amp;J45,"")</f>
        <v/>
      </c>
    </row>
    <row r="46">
      <c r="A46" s="3" t="inlineStr">
        <is>
          <t>КОМПО Технолоджис</t>
        </is>
      </c>
      <c r="B46" s="3" t="inlineStr">
        <is>
          <t>РФ</t>
        </is>
      </c>
      <c r="C46" s="3" t="inlineStr">
        <is>
          <t>Шкала</t>
        </is>
      </c>
      <c r="D46" s="3" t="inlineStr">
        <is>
          <t>Оборудование</t>
        </is>
      </c>
      <c r="E46" s="3" t="inlineStr">
        <is>
          <t>Оборудование — за квартал</t>
        </is>
      </c>
      <c r="F46" s="3" t="inlineStr">
        <is>
          <t>3 Объем закупок МП</t>
        </is>
      </c>
      <c r="G46" s="4" t="n">
        <v>5</v>
      </c>
      <c r="H46" s="4" t="n"/>
      <c r="I46" s="3" t="inlineStr">
        <is>
          <t>75-114</t>
        </is>
      </c>
      <c r="J46" s="4" t="n">
        <v>2</v>
      </c>
      <c r="K46" s="4" t="n"/>
      <c r="L46" s="4" t="n"/>
      <c r="M46" s="8" t="n">
        <v>0.01</v>
      </c>
      <c r="N46" s="4" t="inlineStr">
        <is>
          <t>%</t>
        </is>
      </c>
      <c r="O46" s="3" t="inlineStr">
        <is>
          <t>КТ</t>
        </is>
      </c>
      <c r="P46" s="3" t="inlineStr">
        <is>
          <t>F17</t>
        </is>
      </c>
      <c t="str" r="Q46" s="6">
        <f>A46&amp;"|"&amp;C46&amp;"|"&amp;D46&amp;"|"&amp;G46</f>
        <v>КОМПО Технолоджис|Шкала|Оборудование|5</v>
      </c>
      <c t="str" r="R46" s="6">
        <f>A46&amp;"|"&amp;C46&amp;"|"&amp;D46&amp;"|"&amp;J46</f>
        <v>КОМПО Технолоджис|Шкала|Оборудование|2</v>
      </c>
      <c t="str" r="S46" s="6">
        <f>A46&amp;"|"&amp;C46&amp;"|"&amp;D46&amp;"|"&amp;G46&amp;"|"&amp;J46</f>
        <v>КОМПО Технолоджис|Шкала|Оборудование|5|2</v>
      </c>
      <c t="str" r="T46" s="6">
        <f>A46&amp;"|"&amp;C46&amp;"|"&amp;G46</f>
        <v>КОМПО Технолоджис|Шкала|5</v>
      </c>
      <c t="str" r="U46" s="6">
        <f>IF(H46="да",A46&amp;"|"&amp;C46&amp;"|"&amp;D46&amp;"|"&amp;J46,"")</f>
        <v/>
      </c>
      <c t="str" r="V46" s="6">
        <f>IF(C46="План",A46&amp;"|"&amp;J46,"")</f>
        <v/>
      </c>
    </row>
    <row r="47">
      <c r="A47" s="3" t="inlineStr">
        <is>
          <t>КОМПО Технолоджис</t>
        </is>
      </c>
      <c r="B47" s="3" t="inlineStr">
        <is>
          <t>РФ</t>
        </is>
      </c>
      <c r="C47" s="3" t="inlineStr">
        <is>
          <t>Шкала</t>
        </is>
      </c>
      <c r="D47" s="3" t="inlineStr">
        <is>
          <t>Оборудование</t>
        </is>
      </c>
      <c r="E47" s="3" t="inlineStr">
        <is>
          <t>Оборудование — за квартал</t>
        </is>
      </c>
      <c r="F47" s="3" t="inlineStr">
        <is>
          <t>3 Объем закупок МП</t>
        </is>
      </c>
      <c r="G47" s="4" t="n">
        <v>5</v>
      </c>
      <c r="H47" s="4" t="n"/>
      <c r="I47" s="3" t="inlineStr">
        <is>
          <t>115-149</t>
        </is>
      </c>
      <c r="J47" s="4" t="n">
        <v>3</v>
      </c>
      <c r="K47" s="4" t="n"/>
      <c r="L47" s="4" t="n"/>
      <c r="M47" s="8" t="n">
        <v>0.02</v>
      </c>
      <c r="N47" s="4" t="inlineStr">
        <is>
          <t>%</t>
        </is>
      </c>
      <c r="O47" s="3" t="inlineStr">
        <is>
          <t>КТ</t>
        </is>
      </c>
      <c r="P47" s="3" t="inlineStr">
        <is>
          <t>G17</t>
        </is>
      </c>
      <c t="str" r="Q47" s="6">
        <f>A47&amp;"|"&amp;C47&amp;"|"&amp;D47&amp;"|"&amp;G47</f>
        <v>КОМПО Технолоджис|Шкала|Оборудование|5</v>
      </c>
      <c t="str" r="R47" s="6">
        <f>A47&amp;"|"&amp;C47&amp;"|"&amp;D47&amp;"|"&amp;J47</f>
        <v>КОМПО Технолоджис|Шкала|Оборудование|3</v>
      </c>
      <c t="str" r="S47" s="6">
        <f>A47&amp;"|"&amp;C47&amp;"|"&amp;D47&amp;"|"&amp;G47&amp;"|"&amp;J47</f>
        <v>КОМПО Технолоджис|Шкала|Оборудование|5|3</v>
      </c>
      <c t="str" r="T47" s="6">
        <f>A47&amp;"|"&amp;C47&amp;"|"&amp;G47</f>
        <v>КОМПО Технолоджис|Шкала|5</v>
      </c>
      <c t="str" r="U47" s="6">
        <f>IF(H47="да",A47&amp;"|"&amp;C47&amp;"|"&amp;D47&amp;"|"&amp;J47,"")</f>
        <v/>
      </c>
      <c t="str" r="V47" s="6">
        <f>IF(C47="План",A47&amp;"|"&amp;J47,"")</f>
        <v/>
      </c>
    </row>
    <row r="48">
      <c r="A48" s="3" t="inlineStr">
        <is>
          <t>КОМПО Технолоджис</t>
        </is>
      </c>
      <c r="B48" s="3" t="inlineStr">
        <is>
          <t>РФ</t>
        </is>
      </c>
      <c r="C48" s="3" t="inlineStr">
        <is>
          <t>Шкала</t>
        </is>
      </c>
      <c r="D48" s="3" t="inlineStr">
        <is>
          <t>Оборудование</t>
        </is>
      </c>
      <c r="E48" s="3" t="inlineStr">
        <is>
          <t>Оборудование — за квартал</t>
        </is>
      </c>
      <c r="F48" s="3" t="inlineStr">
        <is>
          <t>3 Объем закупок МП</t>
        </is>
      </c>
      <c r="G48" s="4" t="n">
        <v>5</v>
      </c>
      <c r="H48" s="4" t="n"/>
      <c r="I48" s="3" t="inlineStr">
        <is>
          <t>150-189</t>
        </is>
      </c>
      <c r="J48" s="4" t="n">
        <v>4</v>
      </c>
      <c r="K48" s="4" t="n"/>
      <c r="L48" s="4" t="n"/>
      <c r="M48" s="8" t="n">
        <v>0.03</v>
      </c>
      <c r="N48" s="4" t="inlineStr">
        <is>
          <t>%</t>
        </is>
      </c>
      <c r="O48" s="3" t="inlineStr">
        <is>
          <t>КТ</t>
        </is>
      </c>
      <c r="P48" s="3" t="inlineStr">
        <is>
          <t>H17</t>
        </is>
      </c>
      <c t="str" r="Q48" s="6">
        <f>A48&amp;"|"&amp;C48&amp;"|"&amp;D48&amp;"|"&amp;G48</f>
        <v>КОМПО Технолоджис|Шкала|Оборудование|5</v>
      </c>
      <c t="str" r="R48" s="6">
        <f>A48&amp;"|"&amp;C48&amp;"|"&amp;D48&amp;"|"&amp;J48</f>
        <v>КОМПО Технолоджис|Шкала|Оборудование|4</v>
      </c>
      <c t="str" r="S48" s="6">
        <f>A48&amp;"|"&amp;C48&amp;"|"&amp;D48&amp;"|"&amp;G48&amp;"|"&amp;J48</f>
        <v>КОМПО Технолоджис|Шкала|Оборудование|5|4</v>
      </c>
      <c t="str" r="T48" s="6">
        <f>A48&amp;"|"&amp;C48&amp;"|"&amp;G48</f>
        <v>КОМПО Технолоджис|Шкала|5</v>
      </c>
      <c t="str" r="U48" s="6">
        <f>IF(H48="да",A48&amp;"|"&amp;C48&amp;"|"&amp;D48&amp;"|"&amp;J48,"")</f>
        <v/>
      </c>
      <c t="str" r="V48" s="6">
        <f>IF(C48="План",A48&amp;"|"&amp;J48,"")</f>
        <v/>
      </c>
    </row>
    <row r="49">
      <c r="A49" s="3" t="inlineStr">
        <is>
          <t>КОМПО Технолоджис</t>
        </is>
      </c>
      <c r="B49" s="3" t="inlineStr">
        <is>
          <t>РФ</t>
        </is>
      </c>
      <c r="C49" s="3" t="inlineStr">
        <is>
          <t>Шкала</t>
        </is>
      </c>
      <c r="D49" s="3" t="inlineStr">
        <is>
          <t>Оборудование</t>
        </is>
      </c>
      <c r="E49" s="3" t="inlineStr">
        <is>
          <t>Оборудование — за квартал</t>
        </is>
      </c>
      <c r="F49" s="3" t="inlineStr">
        <is>
          <t>3 Объем закупок МП</t>
        </is>
      </c>
      <c r="G49" s="4" t="n">
        <v>5</v>
      </c>
      <c r="H49" s="4" t="n"/>
      <c r="I49" s="3" t="inlineStr">
        <is>
          <t>190-224</t>
        </is>
      </c>
      <c r="J49" s="4" t="n">
        <v>5</v>
      </c>
      <c r="K49" s="4" t="n"/>
      <c r="L49" s="4" t="n"/>
      <c r="M49" s="8" t="n">
        <v>0.04</v>
      </c>
      <c r="N49" s="4" t="inlineStr">
        <is>
          <t>%</t>
        </is>
      </c>
      <c r="O49" s="3" t="inlineStr">
        <is>
          <t>КТ</t>
        </is>
      </c>
      <c r="P49" s="3" t="inlineStr">
        <is>
          <t>I17</t>
        </is>
      </c>
      <c t="str" r="Q49" s="6">
        <f>A49&amp;"|"&amp;C49&amp;"|"&amp;D49&amp;"|"&amp;G49</f>
        <v>КОМПО Технолоджис|Шкала|Оборудование|5</v>
      </c>
      <c t="str" r="R49" s="6">
        <f>A49&amp;"|"&amp;C49&amp;"|"&amp;D49&amp;"|"&amp;J49</f>
        <v>КОМПО Технолоджис|Шкала|Оборудование|5</v>
      </c>
      <c t="str" r="S49" s="6">
        <f>A49&amp;"|"&amp;C49&amp;"|"&amp;D49&amp;"|"&amp;G49&amp;"|"&amp;J49</f>
        <v>КОМПО Технолоджис|Шкала|Оборудование|5|5</v>
      </c>
      <c t="str" r="T49" s="6">
        <f>A49&amp;"|"&amp;C49&amp;"|"&amp;G49</f>
        <v>КОМПО Технолоджис|Шкала|5</v>
      </c>
      <c t="str" r="U49" s="6">
        <f>IF(H49="да",A49&amp;"|"&amp;C49&amp;"|"&amp;D49&amp;"|"&amp;J49,"")</f>
        <v/>
      </c>
      <c t="str" r="V49" s="6">
        <f>IF(C49="План",A49&amp;"|"&amp;J49,"")</f>
        <v/>
      </c>
    </row>
    <row r="50">
      <c r="A50" s="3" t="inlineStr">
        <is>
          <t>КОМПО Технолоджис</t>
        </is>
      </c>
      <c r="B50" s="3" t="inlineStr">
        <is>
          <t>РФ</t>
        </is>
      </c>
      <c r="C50" s="3" t="inlineStr">
        <is>
          <t>Шкала</t>
        </is>
      </c>
      <c r="D50" s="3" t="inlineStr">
        <is>
          <t>Оборудование</t>
        </is>
      </c>
      <c r="E50" s="3" t="inlineStr">
        <is>
          <t>Оборудование — за квартал</t>
        </is>
      </c>
      <c r="F50" s="3" t="inlineStr">
        <is>
          <t>3 Объем закупок МП</t>
        </is>
      </c>
      <c r="G50" s="4" t="n">
        <v>5</v>
      </c>
      <c r="H50" s="4" t="n"/>
      <c r="I50" s="3" t="inlineStr">
        <is>
          <t>225 и более</t>
        </is>
      </c>
      <c r="J50" s="4" t="n">
        <v>6</v>
      </c>
      <c r="K50" s="4" t="n"/>
      <c r="L50" s="4" t="n"/>
      <c r="M50" s="8" t="n">
        <v>0.05</v>
      </c>
      <c r="N50" s="4" t="inlineStr">
        <is>
          <t>%</t>
        </is>
      </c>
      <c r="O50" s="3" t="inlineStr">
        <is>
          <t>КТ</t>
        </is>
      </c>
      <c r="P50" s="3" t="inlineStr">
        <is>
          <t>J17</t>
        </is>
      </c>
      <c t="str" r="Q50" s="6">
        <f>A50&amp;"|"&amp;C50&amp;"|"&amp;D50&amp;"|"&amp;G50</f>
        <v>КОМПО Технолоджис|Шкала|Оборудование|5</v>
      </c>
      <c t="str" r="R50" s="6">
        <f>A50&amp;"|"&amp;C50&amp;"|"&amp;D50&amp;"|"&amp;J50</f>
        <v>КОМПО Технолоджис|Шкала|Оборудование|6</v>
      </c>
      <c t="str" r="S50" s="6">
        <f>A50&amp;"|"&amp;C50&amp;"|"&amp;D50&amp;"|"&amp;G50&amp;"|"&amp;J50</f>
        <v>КОМПО Технолоджис|Шкала|Оборудование|5|6</v>
      </c>
      <c t="str" r="T50" s="6">
        <f>A50&amp;"|"&amp;C50&amp;"|"&amp;G50</f>
        <v>КОМПО Технолоджис|Шкала|5</v>
      </c>
      <c t="str" r="U50" s="6">
        <f>IF(H50="да",A50&amp;"|"&amp;C50&amp;"|"&amp;D50&amp;"|"&amp;J50,"")</f>
        <v/>
      </c>
      <c t="str" r="V50" s="6">
        <f>IF(C50="План",A50&amp;"|"&amp;J50,"")</f>
        <v/>
      </c>
    </row>
    <row r="51">
      <c r="A51" s="3" t="inlineStr">
        <is>
          <t>КОМПО Технолоджис</t>
        </is>
      </c>
      <c r="B51" s="3" t="inlineStr">
        <is>
          <t>РФ</t>
        </is>
      </c>
      <c r="C51" s="3" t="inlineStr">
        <is>
          <t>Шкала</t>
        </is>
      </c>
      <c r="D51" s="3" t="inlineStr">
        <is>
          <t>Оборудование</t>
        </is>
      </c>
      <c r="E51" s="3" t="inlineStr">
        <is>
          <t>Оборудование — за квартал</t>
        </is>
      </c>
      <c r="F51" s="3" t="inlineStr">
        <is>
          <t>ИТОГО по МП:</t>
        </is>
      </c>
      <c r="G51" s="4" t="n">
        <v>6</v>
      </c>
      <c r="H51" s="4" t="inlineStr">
        <is>
          <t>да</t>
        </is>
      </c>
      <c r="I51" s="3" t="inlineStr">
        <is>
          <t>до 75</t>
        </is>
      </c>
      <c r="J51" s="4" t="n">
        <v>1</v>
      </c>
      <c r="K51" s="4" t="n"/>
      <c r="L51" s="4" t="n"/>
      <c r="M51" s="8" t="n">
        <v>0.14</v>
      </c>
      <c r="N51" s="4" t="inlineStr">
        <is>
          <t>%</t>
        </is>
      </c>
      <c r="O51" s="3" t="inlineStr">
        <is>
          <t>КТ</t>
        </is>
      </c>
      <c r="P51" s="3" t="inlineStr">
        <is>
          <t>E18</t>
        </is>
      </c>
      <c t="str" r="Q51" s="6">
        <f>A51&amp;"|"&amp;C51&amp;"|"&amp;D51&amp;"|"&amp;G51</f>
        <v>КОМПО Технолоджис|Шкала|Оборудование|6</v>
      </c>
      <c t="str" r="R51" s="6">
        <f>A51&amp;"|"&amp;C51&amp;"|"&amp;D51&amp;"|"&amp;J51</f>
        <v>КОМПО Технолоджис|Шкала|Оборудование|1</v>
      </c>
      <c t="str" r="S51" s="6">
        <f>A51&amp;"|"&amp;C51&amp;"|"&amp;D51&amp;"|"&amp;G51&amp;"|"&amp;J51</f>
        <v>КОМПО Технолоджис|Шкала|Оборудование|6|1</v>
      </c>
      <c t="str" r="T51" s="6">
        <f>A51&amp;"|"&amp;C51&amp;"|"&amp;G51</f>
        <v>КОМПО Технолоджис|Шкала|6</v>
      </c>
      <c t="str" r="U51" s="6">
        <f>IF(H51="да",A51&amp;"|"&amp;C51&amp;"|"&amp;D51&amp;"|"&amp;J51,"")</f>
        <v>КОМПО Технолоджис|Шкала|Оборудование|1</v>
      </c>
      <c t="str" r="V51" s="6">
        <f>IF(C51="План",A51&amp;"|"&amp;J51,"")</f>
        <v/>
      </c>
    </row>
    <row r="52">
      <c r="A52" s="3" t="inlineStr">
        <is>
          <t>КОМПО Технолоджис</t>
        </is>
      </c>
      <c r="B52" s="3" t="inlineStr">
        <is>
          <t>РФ</t>
        </is>
      </c>
      <c r="C52" s="3" t="inlineStr">
        <is>
          <t>Шкала</t>
        </is>
      </c>
      <c r="D52" s="3" t="inlineStr">
        <is>
          <t>Оборудование</t>
        </is>
      </c>
      <c r="E52" s="3" t="inlineStr">
        <is>
          <t>Оборудование — за квартал</t>
        </is>
      </c>
      <c r="F52" s="3" t="inlineStr">
        <is>
          <t>ИТОГО по МП:</t>
        </is>
      </c>
      <c r="G52" s="4" t="n">
        <v>6</v>
      </c>
      <c r="H52" s="4" t="inlineStr">
        <is>
          <t>да</t>
        </is>
      </c>
      <c r="I52" s="3" t="inlineStr">
        <is>
          <t>75-114</t>
        </is>
      </c>
      <c r="J52" s="4" t="n">
        <v>2</v>
      </c>
      <c r="K52" s="4" t="n"/>
      <c r="L52" s="4" t="n"/>
      <c r="M52" s="8" t="n">
        <v>0.15</v>
      </c>
      <c r="N52" s="4" t="inlineStr">
        <is>
          <t>%</t>
        </is>
      </c>
      <c r="O52" s="3" t="inlineStr">
        <is>
          <t>КТ</t>
        </is>
      </c>
      <c r="P52" s="3" t="inlineStr">
        <is>
          <t>F18</t>
        </is>
      </c>
      <c t="str" r="Q52" s="6">
        <f>A52&amp;"|"&amp;C52&amp;"|"&amp;D52&amp;"|"&amp;G52</f>
        <v>КОМПО Технолоджис|Шкала|Оборудование|6</v>
      </c>
      <c t="str" r="R52" s="6">
        <f>A52&amp;"|"&amp;C52&amp;"|"&amp;D52&amp;"|"&amp;J52</f>
        <v>КОМПО Технолоджис|Шкала|Оборудование|2</v>
      </c>
      <c t="str" r="S52" s="6">
        <f>A52&amp;"|"&amp;C52&amp;"|"&amp;D52&amp;"|"&amp;G52&amp;"|"&amp;J52</f>
        <v>КОМПО Технолоджис|Шкала|Оборудование|6|2</v>
      </c>
      <c t="str" r="T52" s="6">
        <f>A52&amp;"|"&amp;C52&amp;"|"&amp;G52</f>
        <v>КОМПО Технолоджис|Шкала|6</v>
      </c>
      <c t="str" r="U52" s="6">
        <f>IF(H52="да",A52&amp;"|"&amp;C52&amp;"|"&amp;D52&amp;"|"&amp;J52,"")</f>
        <v>КОМПО Технолоджис|Шкала|Оборудование|2</v>
      </c>
      <c t="str" r="V52" s="6">
        <f>IF(C52="План",A52&amp;"|"&amp;J52,"")</f>
        <v/>
      </c>
    </row>
    <row r="53">
      <c r="A53" s="3" t="inlineStr">
        <is>
          <t>КОМПО Технолоджис</t>
        </is>
      </c>
      <c r="B53" s="3" t="inlineStr">
        <is>
          <t>РФ</t>
        </is>
      </c>
      <c r="C53" s="3" t="inlineStr">
        <is>
          <t>Шкала</t>
        </is>
      </c>
      <c r="D53" s="3" t="inlineStr">
        <is>
          <t>Оборудование</t>
        </is>
      </c>
      <c r="E53" s="3" t="inlineStr">
        <is>
          <t>Оборудование — за квартал</t>
        </is>
      </c>
      <c r="F53" s="3" t="inlineStr">
        <is>
          <t>ИТОГО по МП:</t>
        </is>
      </c>
      <c r="G53" s="4" t="n">
        <v>6</v>
      </c>
      <c r="H53" s="4" t="inlineStr">
        <is>
          <t>да</t>
        </is>
      </c>
      <c r="I53" s="3" t="inlineStr">
        <is>
          <t>115-149</t>
        </is>
      </c>
      <c r="J53" s="4" t="n">
        <v>3</v>
      </c>
      <c r="K53" s="4" t="n"/>
      <c r="L53" s="4" t="n"/>
      <c r="M53" s="8" t="n">
        <v>0.16</v>
      </c>
      <c r="N53" s="4" t="inlineStr">
        <is>
          <t>%</t>
        </is>
      </c>
      <c r="O53" s="3" t="inlineStr">
        <is>
          <t>КТ</t>
        </is>
      </c>
      <c r="P53" s="3" t="inlineStr">
        <is>
          <t>G18</t>
        </is>
      </c>
      <c t="str" r="Q53" s="6">
        <f>A53&amp;"|"&amp;C53&amp;"|"&amp;D53&amp;"|"&amp;G53</f>
        <v>КОМПО Технолоджис|Шкала|Оборудование|6</v>
      </c>
      <c t="str" r="R53" s="6">
        <f>A53&amp;"|"&amp;C53&amp;"|"&amp;D53&amp;"|"&amp;J53</f>
        <v>КОМПО Технолоджис|Шкала|Оборудование|3</v>
      </c>
      <c t="str" r="S53" s="6">
        <f>A53&amp;"|"&amp;C53&amp;"|"&amp;D53&amp;"|"&amp;G53&amp;"|"&amp;J53</f>
        <v>КОМПО Технолоджис|Шкала|Оборудование|6|3</v>
      </c>
      <c t="str" r="T53" s="6">
        <f>A53&amp;"|"&amp;C53&amp;"|"&amp;G53</f>
        <v>КОМПО Технолоджис|Шкала|6</v>
      </c>
      <c t="str" r="U53" s="6">
        <f>IF(H53="да",A53&amp;"|"&amp;C53&amp;"|"&amp;D53&amp;"|"&amp;J53,"")</f>
        <v>КОМПО Технолоджис|Шкала|Оборудование|3</v>
      </c>
      <c t="str" r="V53" s="6">
        <f>IF(C53="План",A53&amp;"|"&amp;J53,"")</f>
        <v/>
      </c>
    </row>
    <row r="54">
      <c r="A54" s="3" t="inlineStr">
        <is>
          <t>КОМПО Технолоджис</t>
        </is>
      </c>
      <c r="B54" s="3" t="inlineStr">
        <is>
          <t>РФ</t>
        </is>
      </c>
      <c r="C54" s="3" t="inlineStr">
        <is>
          <t>Шкала</t>
        </is>
      </c>
      <c r="D54" s="3" t="inlineStr">
        <is>
          <t>Оборудование</t>
        </is>
      </c>
      <c r="E54" s="3" t="inlineStr">
        <is>
          <t>Оборудование — за квартал</t>
        </is>
      </c>
      <c r="F54" s="3" t="inlineStr">
        <is>
          <t>ИТОГО по МП:</t>
        </is>
      </c>
      <c r="G54" s="4" t="n">
        <v>6</v>
      </c>
      <c r="H54" s="4" t="inlineStr">
        <is>
          <t>да</t>
        </is>
      </c>
      <c r="I54" s="3" t="inlineStr">
        <is>
          <t>150-189</t>
        </is>
      </c>
      <c r="J54" s="4" t="n">
        <v>4</v>
      </c>
      <c r="K54" s="4" t="n"/>
      <c r="L54" s="4" t="n"/>
      <c r="M54" s="8" t="n">
        <v>0.17</v>
      </c>
      <c r="N54" s="4" t="inlineStr">
        <is>
          <t>%</t>
        </is>
      </c>
      <c r="O54" s="3" t="inlineStr">
        <is>
          <t>КТ</t>
        </is>
      </c>
      <c r="P54" s="3" t="inlineStr">
        <is>
          <t>H18</t>
        </is>
      </c>
      <c t="str" r="Q54" s="6">
        <f>A54&amp;"|"&amp;C54&amp;"|"&amp;D54&amp;"|"&amp;G54</f>
        <v>КОМПО Технолоджис|Шкала|Оборудование|6</v>
      </c>
      <c t="str" r="R54" s="6">
        <f>A54&amp;"|"&amp;C54&amp;"|"&amp;D54&amp;"|"&amp;J54</f>
        <v>КОМПО Технолоджис|Шкала|Оборудование|4</v>
      </c>
      <c t="str" r="S54" s="6">
        <f>A54&amp;"|"&amp;C54&amp;"|"&amp;D54&amp;"|"&amp;G54&amp;"|"&amp;J54</f>
        <v>КОМПО Технолоджис|Шкала|Оборудование|6|4</v>
      </c>
      <c t="str" r="T54" s="6">
        <f>A54&amp;"|"&amp;C54&amp;"|"&amp;G54</f>
        <v>КОМПО Технолоджис|Шкала|6</v>
      </c>
      <c t="str" r="U54" s="6">
        <f>IF(H54="да",A54&amp;"|"&amp;C54&amp;"|"&amp;D54&amp;"|"&amp;J54,"")</f>
        <v>КОМПО Технолоджис|Шкала|Оборудование|4</v>
      </c>
      <c t="str" r="V54" s="6">
        <f>IF(C54="План",A54&amp;"|"&amp;J54,"")</f>
        <v/>
      </c>
    </row>
    <row r="55">
      <c r="A55" s="3" t="inlineStr">
        <is>
          <t>КОМПО Технолоджис</t>
        </is>
      </c>
      <c r="B55" s="3" t="inlineStr">
        <is>
          <t>РФ</t>
        </is>
      </c>
      <c r="C55" s="3" t="inlineStr">
        <is>
          <t>Шкала</t>
        </is>
      </c>
      <c r="D55" s="3" t="inlineStr">
        <is>
          <t>Оборудование</t>
        </is>
      </c>
      <c r="E55" s="3" t="inlineStr">
        <is>
          <t>Оборудование — за квартал</t>
        </is>
      </c>
      <c r="F55" s="3" t="inlineStr">
        <is>
          <t>ИТОГО по МП:</t>
        </is>
      </c>
      <c r="G55" s="4" t="n">
        <v>6</v>
      </c>
      <c r="H55" s="4" t="inlineStr">
        <is>
          <t>да</t>
        </is>
      </c>
      <c r="I55" s="3" t="inlineStr">
        <is>
          <t>190-224</t>
        </is>
      </c>
      <c r="J55" s="4" t="n">
        <v>5</v>
      </c>
      <c r="K55" s="4" t="n"/>
      <c r="L55" s="4" t="n"/>
      <c r="M55" s="8" t="n">
        <v>0.18</v>
      </c>
      <c r="N55" s="4" t="inlineStr">
        <is>
          <t>%</t>
        </is>
      </c>
      <c r="O55" s="3" t="inlineStr">
        <is>
          <t>КТ</t>
        </is>
      </c>
      <c r="P55" s="3" t="inlineStr">
        <is>
          <t>I18</t>
        </is>
      </c>
      <c t="str" r="Q55" s="6">
        <f>A55&amp;"|"&amp;C55&amp;"|"&amp;D55&amp;"|"&amp;G55</f>
        <v>КОМПО Технолоджис|Шкала|Оборудование|6</v>
      </c>
      <c t="str" r="R55" s="6">
        <f>A55&amp;"|"&amp;C55&amp;"|"&amp;D55&amp;"|"&amp;J55</f>
        <v>КОМПО Технолоджис|Шкала|Оборудование|5</v>
      </c>
      <c t="str" r="S55" s="6">
        <f>A55&amp;"|"&amp;C55&amp;"|"&amp;D55&amp;"|"&amp;G55&amp;"|"&amp;J55</f>
        <v>КОМПО Технолоджис|Шкала|Оборудование|6|5</v>
      </c>
      <c t="str" r="T55" s="6">
        <f>A55&amp;"|"&amp;C55&amp;"|"&amp;G55</f>
        <v>КОМПО Технолоджис|Шкала|6</v>
      </c>
      <c t="str" r="U55" s="6">
        <f>IF(H55="да",A55&amp;"|"&amp;C55&amp;"|"&amp;D55&amp;"|"&amp;J55,"")</f>
        <v>КОМПО Технолоджис|Шкала|Оборудование|5</v>
      </c>
      <c t="str" r="V55" s="6">
        <f>IF(C55="План",A55&amp;"|"&amp;J55,"")</f>
        <v/>
      </c>
    </row>
    <row r="56">
      <c r="A56" s="3" t="inlineStr">
        <is>
          <t>КОМПО Технолоджис</t>
        </is>
      </c>
      <c r="B56" s="3" t="inlineStr">
        <is>
          <t>РФ</t>
        </is>
      </c>
      <c r="C56" s="3" t="inlineStr">
        <is>
          <t>Шкала</t>
        </is>
      </c>
      <c r="D56" s="3" t="inlineStr">
        <is>
          <t>Оборудование</t>
        </is>
      </c>
      <c r="E56" s="3" t="inlineStr">
        <is>
          <t>Оборудование — за квартал</t>
        </is>
      </c>
      <c r="F56" s="3" t="inlineStr">
        <is>
          <t>ИТОГО по МП:</t>
        </is>
      </c>
      <c r="G56" s="4" t="n">
        <v>6</v>
      </c>
      <c r="H56" s="4" t="inlineStr">
        <is>
          <t>да</t>
        </is>
      </c>
      <c r="I56" s="3" t="inlineStr">
        <is>
          <t>225 и более</t>
        </is>
      </c>
      <c r="J56" s="4" t="n">
        <v>6</v>
      </c>
      <c r="K56" s="4" t="n"/>
      <c r="L56" s="4" t="n"/>
      <c r="M56" s="8" t="n">
        <v>0.19</v>
      </c>
      <c r="N56" s="4" t="inlineStr">
        <is>
          <t>%</t>
        </is>
      </c>
      <c r="O56" s="3" t="inlineStr">
        <is>
          <t>КТ</t>
        </is>
      </c>
      <c r="P56" s="3" t="inlineStr">
        <is>
          <t>J18</t>
        </is>
      </c>
      <c t="str" r="Q56" s="6">
        <f>A56&amp;"|"&amp;C56&amp;"|"&amp;D56&amp;"|"&amp;G56</f>
        <v>КОМПО Технолоджис|Шкала|Оборудование|6</v>
      </c>
      <c t="str" r="R56" s="6">
        <f>A56&amp;"|"&amp;C56&amp;"|"&amp;D56&amp;"|"&amp;J56</f>
        <v>КОМПО Технолоджис|Шкала|Оборудование|6</v>
      </c>
      <c t="str" r="S56" s="6">
        <f>A56&amp;"|"&amp;C56&amp;"|"&amp;D56&amp;"|"&amp;G56&amp;"|"&amp;J56</f>
        <v>КОМПО Технолоджис|Шкала|Оборудование|6|6</v>
      </c>
      <c t="str" r="T56" s="6">
        <f>A56&amp;"|"&amp;C56&amp;"|"&amp;G56</f>
        <v>КОМПО Технолоджис|Шкала|6</v>
      </c>
      <c t="str" r="U56" s="6">
        <f>IF(H56="да",A56&amp;"|"&amp;C56&amp;"|"&amp;D56&amp;"|"&amp;J56,"")</f>
        <v>КОМПО Технолоджис|Шкала|Оборудование|6</v>
      </c>
      <c t="str" r="V56" s="6">
        <f>IF(C56="План",A56&amp;"|"&amp;J56,"")</f>
        <v/>
      </c>
    </row>
    <row r="57">
      <c r="A57" s="3" t="inlineStr">
        <is>
          <t>КОМПО Технолоджис</t>
        </is>
      </c>
      <c r="B57" s="3" t="inlineStr">
        <is>
          <t>РФ</t>
        </is>
      </c>
      <c r="C57" s="3" t="inlineStr">
        <is>
          <t>Шкала</t>
        </is>
      </c>
      <c r="D57" s="3" t="inlineStr">
        <is>
          <t>Оборудование</t>
        </is>
      </c>
      <c r="E57" s="3" t="inlineStr">
        <is>
          <t>Оборудование — за квартал</t>
        </is>
      </c>
      <c r="F57" s="3" t="inlineStr">
        <is>
          <t>Наличие минимальных складских остатков по РМ (синхронизация отчета по остаткам с 1С КОМПО)</t>
        </is>
      </c>
      <c r="G57" s="4" t="n">
        <v>7</v>
      </c>
      <c r="H57" s="4" t="n"/>
      <c r="I57" s="3" t="inlineStr">
        <is>
          <t>до 75</t>
        </is>
      </c>
      <c r="J57" s="4" t="n">
        <v>1</v>
      </c>
      <c r="K57" s="4" t="n"/>
      <c r="L57" s="4" t="n"/>
      <c r="M57" s="8" t="n">
        <v>0.01</v>
      </c>
      <c r="N57" s="4" t="inlineStr">
        <is>
          <t>%</t>
        </is>
      </c>
      <c r="O57" s="3" t="inlineStr">
        <is>
          <t>КТ</t>
        </is>
      </c>
      <c r="P57" s="3" t="inlineStr">
        <is>
          <t>E20</t>
        </is>
      </c>
      <c t="str" r="Q57" s="6">
        <f>A57&amp;"|"&amp;C57&amp;"|"&amp;D57&amp;"|"&amp;G57</f>
        <v>КОМПО Технолоджис|Шкала|Оборудование|7</v>
      </c>
      <c t="str" r="R57" s="6">
        <f>A57&amp;"|"&amp;C57&amp;"|"&amp;D57&amp;"|"&amp;J57</f>
        <v>КОМПО Технолоджис|Шкала|Оборудование|1</v>
      </c>
      <c t="str" r="S57" s="6">
        <f>A57&amp;"|"&amp;C57&amp;"|"&amp;D57&amp;"|"&amp;G57&amp;"|"&amp;J57</f>
        <v>КОМПО Технолоджис|Шкала|Оборудование|7|1</v>
      </c>
      <c t="str" r="T57" s="6">
        <f>A57&amp;"|"&amp;C57&amp;"|"&amp;G57</f>
        <v>КОМПО Технолоджис|Шкала|7</v>
      </c>
      <c t="str" r="U57" s="6">
        <f>IF(H57="да",A57&amp;"|"&amp;C57&amp;"|"&amp;D57&amp;"|"&amp;J57,"")</f>
        <v/>
      </c>
      <c t="str" r="V57" s="6">
        <f>IF(C57="План",A57&amp;"|"&amp;J57,"")</f>
        <v/>
      </c>
    </row>
    <row r="58">
      <c r="A58" s="3" t="inlineStr">
        <is>
          <t>КОМПО Технолоджис</t>
        </is>
      </c>
      <c r="B58" s="3" t="inlineStr">
        <is>
          <t>РФ</t>
        </is>
      </c>
      <c r="C58" s="3" t="inlineStr">
        <is>
          <t>Шкала</t>
        </is>
      </c>
      <c r="D58" s="3" t="inlineStr">
        <is>
          <t>Оборудование</t>
        </is>
      </c>
      <c r="E58" s="3" t="inlineStr">
        <is>
          <t>Оборудование — за квартал</t>
        </is>
      </c>
      <c r="F58" s="3" t="inlineStr">
        <is>
          <t>Наличие минимальных складских остатков по РМ (синхронизация отчета по остаткам с 1С КОМПО)</t>
        </is>
      </c>
      <c r="G58" s="4" t="n">
        <v>7</v>
      </c>
      <c r="H58" s="4" t="n"/>
      <c r="I58" s="3" t="inlineStr">
        <is>
          <t>75-114</t>
        </is>
      </c>
      <c r="J58" s="4" t="n">
        <v>2</v>
      </c>
      <c r="K58" s="4" t="n"/>
      <c r="L58" s="4" t="n"/>
      <c r="M58" s="8" t="n">
        <v>0.01</v>
      </c>
      <c r="N58" s="4" t="inlineStr">
        <is>
          <t>%</t>
        </is>
      </c>
      <c r="O58" s="3" t="inlineStr">
        <is>
          <t>КТ</t>
        </is>
      </c>
      <c r="P58" s="3" t="inlineStr">
        <is>
          <t>F20</t>
        </is>
      </c>
      <c t="str" r="Q58" s="6">
        <f>A58&amp;"|"&amp;C58&amp;"|"&amp;D58&amp;"|"&amp;G58</f>
        <v>КОМПО Технолоджис|Шкала|Оборудование|7</v>
      </c>
      <c t="str" r="R58" s="6">
        <f>A58&amp;"|"&amp;C58&amp;"|"&amp;D58&amp;"|"&amp;J58</f>
        <v>КОМПО Технолоджис|Шкала|Оборудование|2</v>
      </c>
      <c t="str" r="S58" s="6">
        <f>A58&amp;"|"&amp;C58&amp;"|"&amp;D58&amp;"|"&amp;G58&amp;"|"&amp;J58</f>
        <v>КОМПО Технолоджис|Шкала|Оборудование|7|2</v>
      </c>
      <c t="str" r="T58" s="6">
        <f>A58&amp;"|"&amp;C58&amp;"|"&amp;G58</f>
        <v>КОМПО Технолоджис|Шкала|7</v>
      </c>
      <c t="str" r="U58" s="6">
        <f>IF(H58="да",A58&amp;"|"&amp;C58&amp;"|"&amp;D58&amp;"|"&amp;J58,"")</f>
        <v/>
      </c>
      <c t="str" r="V58" s="6">
        <f>IF(C58="План",A58&amp;"|"&amp;J58,"")</f>
        <v/>
      </c>
    </row>
    <row r="59">
      <c r="A59" s="3" t="inlineStr">
        <is>
          <t>КОМПО Технолоджис</t>
        </is>
      </c>
      <c r="B59" s="3" t="inlineStr">
        <is>
          <t>РФ</t>
        </is>
      </c>
      <c r="C59" s="3" t="inlineStr">
        <is>
          <t>Шкала</t>
        </is>
      </c>
      <c r="D59" s="3" t="inlineStr">
        <is>
          <t>Оборудование</t>
        </is>
      </c>
      <c r="E59" s="3" t="inlineStr">
        <is>
          <t>Оборудование — за квартал</t>
        </is>
      </c>
      <c r="F59" s="3" t="inlineStr">
        <is>
          <t>Наличие минимальных складских остатков по РМ (синхронизация отчета по остаткам с 1С КОМПО)</t>
        </is>
      </c>
      <c r="G59" s="4" t="n">
        <v>7</v>
      </c>
      <c r="H59" s="4" t="n"/>
      <c r="I59" s="3" t="inlineStr">
        <is>
          <t>115-149</t>
        </is>
      </c>
      <c r="J59" s="4" t="n">
        <v>3</v>
      </c>
      <c r="K59" s="4" t="n"/>
      <c r="L59" s="4" t="n"/>
      <c r="M59" s="8" t="n">
        <v>0.01</v>
      </c>
      <c r="N59" s="4" t="inlineStr">
        <is>
          <t>%</t>
        </is>
      </c>
      <c r="O59" s="3" t="inlineStr">
        <is>
          <t>КТ</t>
        </is>
      </c>
      <c r="P59" s="3" t="inlineStr">
        <is>
          <t>G20</t>
        </is>
      </c>
      <c t="str" r="Q59" s="6">
        <f>A59&amp;"|"&amp;C59&amp;"|"&amp;D59&amp;"|"&amp;G59</f>
        <v>КОМПО Технолоджис|Шкала|Оборудование|7</v>
      </c>
      <c t="str" r="R59" s="6">
        <f>A59&amp;"|"&amp;C59&amp;"|"&amp;D59&amp;"|"&amp;J59</f>
        <v>КОМПО Технолоджис|Шкала|Оборудование|3</v>
      </c>
      <c t="str" r="S59" s="6">
        <f>A59&amp;"|"&amp;C59&amp;"|"&amp;D59&amp;"|"&amp;G59&amp;"|"&amp;J59</f>
        <v>КОМПО Технолоджис|Шкала|Оборудование|7|3</v>
      </c>
      <c t="str" r="T59" s="6">
        <f>A59&amp;"|"&amp;C59&amp;"|"&amp;G59</f>
        <v>КОМПО Технолоджис|Шкала|7</v>
      </c>
      <c t="str" r="U59" s="6">
        <f>IF(H59="да",A59&amp;"|"&amp;C59&amp;"|"&amp;D59&amp;"|"&amp;J59,"")</f>
        <v/>
      </c>
      <c t="str" r="V59" s="6">
        <f>IF(C59="План",A59&amp;"|"&amp;J59,"")</f>
        <v/>
      </c>
    </row>
    <row r="60">
      <c r="A60" s="3" t="inlineStr">
        <is>
          <t>КОМПО Технолоджис</t>
        </is>
      </c>
      <c r="B60" s="3" t="inlineStr">
        <is>
          <t>РФ</t>
        </is>
      </c>
      <c r="C60" s="3" t="inlineStr">
        <is>
          <t>Шкала</t>
        </is>
      </c>
      <c r="D60" s="3" t="inlineStr">
        <is>
          <t>Оборудование</t>
        </is>
      </c>
      <c r="E60" s="3" t="inlineStr">
        <is>
          <t>Оборудование — за квартал</t>
        </is>
      </c>
      <c r="F60" s="3" t="inlineStr">
        <is>
          <t>Наличие минимальных складских остатков по РМ (синхронизация отчета по остаткам с 1С КОМПО)</t>
        </is>
      </c>
      <c r="G60" s="4" t="n">
        <v>7</v>
      </c>
      <c r="H60" s="4" t="n"/>
      <c r="I60" s="3" t="inlineStr">
        <is>
          <t>150-189</t>
        </is>
      </c>
      <c r="J60" s="4" t="n">
        <v>4</v>
      </c>
      <c r="K60" s="4" t="n"/>
      <c r="L60" s="4" t="n"/>
      <c r="M60" s="8" t="n">
        <v>0.01</v>
      </c>
      <c r="N60" s="4" t="inlineStr">
        <is>
          <t>%</t>
        </is>
      </c>
      <c r="O60" s="3" t="inlineStr">
        <is>
          <t>КТ</t>
        </is>
      </c>
      <c r="P60" s="3" t="inlineStr">
        <is>
          <t>H20</t>
        </is>
      </c>
      <c t="str" r="Q60" s="6">
        <f>A60&amp;"|"&amp;C60&amp;"|"&amp;D60&amp;"|"&amp;G60</f>
        <v>КОМПО Технолоджис|Шкала|Оборудование|7</v>
      </c>
      <c t="str" r="R60" s="6">
        <f>A60&amp;"|"&amp;C60&amp;"|"&amp;D60&amp;"|"&amp;J60</f>
        <v>КОМПО Технолоджис|Шкала|Оборудование|4</v>
      </c>
      <c t="str" r="S60" s="6">
        <f>A60&amp;"|"&amp;C60&amp;"|"&amp;D60&amp;"|"&amp;G60&amp;"|"&amp;J60</f>
        <v>КОМПО Технолоджис|Шкала|Оборудование|7|4</v>
      </c>
      <c t="str" r="T60" s="6">
        <f>A60&amp;"|"&amp;C60&amp;"|"&amp;G60</f>
        <v>КОМПО Технолоджис|Шкала|7</v>
      </c>
      <c t="str" r="U60" s="6">
        <f>IF(H60="да",A60&amp;"|"&amp;C60&amp;"|"&amp;D60&amp;"|"&amp;J60,"")</f>
        <v/>
      </c>
      <c t="str" r="V60" s="6">
        <f>IF(C60="План",A60&amp;"|"&amp;J60,"")</f>
        <v/>
      </c>
    </row>
    <row r="61">
      <c r="A61" s="3" t="inlineStr">
        <is>
          <t>КОМПО Технолоджис</t>
        </is>
      </c>
      <c r="B61" s="3" t="inlineStr">
        <is>
          <t>РФ</t>
        </is>
      </c>
      <c r="C61" s="3" t="inlineStr">
        <is>
          <t>Шкала</t>
        </is>
      </c>
      <c r="D61" s="3" t="inlineStr">
        <is>
          <t>Оборудование</t>
        </is>
      </c>
      <c r="E61" s="3" t="inlineStr">
        <is>
          <t>Оборудование — за квартал</t>
        </is>
      </c>
      <c r="F61" s="3" t="inlineStr">
        <is>
          <t>Наличие минимальных складских остатков по РМ (синхронизация отчета по остаткам с 1С КОМПО)</t>
        </is>
      </c>
      <c r="G61" s="4" t="n">
        <v>7</v>
      </c>
      <c r="H61" s="4" t="n"/>
      <c r="I61" s="3" t="inlineStr">
        <is>
          <t>190-224</t>
        </is>
      </c>
      <c r="J61" s="4" t="n">
        <v>5</v>
      </c>
      <c r="K61" s="4" t="n"/>
      <c r="L61" s="4" t="n"/>
      <c r="M61" s="8" t="n">
        <v>0.01</v>
      </c>
      <c r="N61" s="4" t="inlineStr">
        <is>
          <t>%</t>
        </is>
      </c>
      <c r="O61" s="3" t="inlineStr">
        <is>
          <t>КТ</t>
        </is>
      </c>
      <c r="P61" s="3" t="inlineStr">
        <is>
          <t>I20</t>
        </is>
      </c>
      <c t="str" r="Q61" s="6">
        <f>A61&amp;"|"&amp;C61&amp;"|"&amp;D61&amp;"|"&amp;G61</f>
        <v>КОМПО Технолоджис|Шкала|Оборудование|7</v>
      </c>
      <c t="str" r="R61" s="6">
        <f>A61&amp;"|"&amp;C61&amp;"|"&amp;D61&amp;"|"&amp;J61</f>
        <v>КОМПО Технолоджис|Шкала|Оборудование|5</v>
      </c>
      <c t="str" r="S61" s="6">
        <f>A61&amp;"|"&amp;C61&amp;"|"&amp;D61&amp;"|"&amp;G61&amp;"|"&amp;J61</f>
        <v>КОМПО Технолоджис|Шкала|Оборудование|7|5</v>
      </c>
      <c t="str" r="T61" s="6">
        <f>A61&amp;"|"&amp;C61&amp;"|"&amp;G61</f>
        <v>КОМПО Технолоджис|Шкала|7</v>
      </c>
      <c t="str" r="U61" s="6">
        <f>IF(H61="да",A61&amp;"|"&amp;C61&amp;"|"&amp;D61&amp;"|"&amp;J61,"")</f>
        <v/>
      </c>
      <c t="str" r="V61" s="6">
        <f>IF(C61="План",A61&amp;"|"&amp;J61,"")</f>
        <v/>
      </c>
    </row>
    <row r="62">
      <c r="A62" s="3" t="inlineStr">
        <is>
          <t>КОМПО Технолоджис</t>
        </is>
      </c>
      <c r="B62" s="3" t="inlineStr">
        <is>
          <t>РФ</t>
        </is>
      </c>
      <c r="C62" s="3" t="inlineStr">
        <is>
          <t>Шкала</t>
        </is>
      </c>
      <c r="D62" s="3" t="inlineStr">
        <is>
          <t>Оборудование</t>
        </is>
      </c>
      <c r="E62" s="3" t="inlineStr">
        <is>
          <t>Оборудование — за квартал</t>
        </is>
      </c>
      <c r="F62" s="3" t="inlineStr">
        <is>
          <t>Наличие минимальных складских остатков по РМ (синхронизация отчета по остаткам с 1С КОМПО)</t>
        </is>
      </c>
      <c r="G62" s="4" t="n">
        <v>7</v>
      </c>
      <c r="H62" s="4" t="n"/>
      <c r="I62" s="3" t="inlineStr">
        <is>
          <t>225 и более</t>
        </is>
      </c>
      <c r="J62" s="4" t="n">
        <v>6</v>
      </c>
      <c r="K62" s="4" t="n"/>
      <c r="L62" s="4" t="n"/>
      <c r="M62" s="8" t="n">
        <v>0.01</v>
      </c>
      <c r="N62" s="4" t="inlineStr">
        <is>
          <t>%</t>
        </is>
      </c>
      <c r="O62" s="3" t="inlineStr">
        <is>
          <t>КТ</t>
        </is>
      </c>
      <c r="P62" s="3" t="inlineStr">
        <is>
          <t>J20</t>
        </is>
      </c>
      <c t="str" r="Q62" s="6">
        <f>A62&amp;"|"&amp;C62&amp;"|"&amp;D62&amp;"|"&amp;G62</f>
        <v>КОМПО Технолоджис|Шкала|Оборудование|7</v>
      </c>
      <c t="str" r="R62" s="6">
        <f>A62&amp;"|"&amp;C62&amp;"|"&amp;D62&amp;"|"&amp;J62</f>
        <v>КОМПО Технолоджис|Шкала|Оборудование|6</v>
      </c>
      <c t="str" r="S62" s="6">
        <f>A62&amp;"|"&amp;C62&amp;"|"&amp;D62&amp;"|"&amp;G62&amp;"|"&amp;J62</f>
        <v>КОМПО Технолоджис|Шкала|Оборудование|7|6</v>
      </c>
      <c t="str" r="T62" s="6">
        <f>A62&amp;"|"&amp;C62&amp;"|"&amp;G62</f>
        <v>КОМПО Технолоджис|Шкала|7</v>
      </c>
      <c t="str" r="U62" s="6">
        <f>IF(H62="да",A62&amp;"|"&amp;C62&amp;"|"&amp;D62&amp;"|"&amp;J62,"")</f>
        <v/>
      </c>
      <c t="str" r="V62" s="6">
        <f>IF(C62="План",A62&amp;"|"&amp;J62,"")</f>
        <v/>
      </c>
    </row>
    <row r="63">
      <c r="A63" s="3" t="inlineStr">
        <is>
          <t>КОМПО Технолоджис</t>
        </is>
      </c>
      <c r="B63" s="3" t="inlineStr">
        <is>
          <t>РФ</t>
        </is>
      </c>
      <c r="C63" s="3" t="inlineStr">
        <is>
          <t>Шкала</t>
        </is>
      </c>
      <c r="D63" s="3" t="inlineStr">
        <is>
          <t>Оборудование</t>
        </is>
      </c>
      <c r="E63" s="3" t="inlineStr">
        <is>
          <t>Оборудование — за квартал</t>
        </is>
      </c>
      <c r="F63" s="3" t="inlineStr">
        <is>
          <t>Объем закупок РМ</t>
        </is>
      </c>
      <c r="G63" s="4" t="n">
        <v>8</v>
      </c>
      <c r="H63" s="4" t="n"/>
      <c r="I63" s="3" t="inlineStr">
        <is>
          <t>до 75</t>
        </is>
      </c>
      <c r="J63" s="4" t="n">
        <v>1</v>
      </c>
      <c r="K63" s="4" t="n"/>
      <c r="L63" s="4" t="n"/>
      <c r="M63" s="8" t="n">
        <v>0</v>
      </c>
      <c r="N63" s="4" t="inlineStr">
        <is>
          <t>%</t>
        </is>
      </c>
      <c r="O63" s="3" t="inlineStr">
        <is>
          <t>КТ</t>
        </is>
      </c>
      <c r="P63" s="3" t="inlineStr">
        <is>
          <t>E21</t>
        </is>
      </c>
      <c t="str" r="Q63" s="6">
        <f>A63&amp;"|"&amp;C63&amp;"|"&amp;D63&amp;"|"&amp;G63</f>
        <v>КОМПО Технолоджис|Шкала|Оборудование|8</v>
      </c>
      <c t="str" r="R63" s="6">
        <f>A63&amp;"|"&amp;C63&amp;"|"&amp;D63&amp;"|"&amp;J63</f>
        <v>КОМПО Технолоджис|Шкала|Оборудование|1</v>
      </c>
      <c t="str" r="S63" s="6">
        <f>A63&amp;"|"&amp;C63&amp;"|"&amp;D63&amp;"|"&amp;G63&amp;"|"&amp;J63</f>
        <v>КОМПО Технолоджис|Шкала|Оборудование|8|1</v>
      </c>
      <c t="str" r="T63" s="6">
        <f>A63&amp;"|"&amp;C63&amp;"|"&amp;G63</f>
        <v>КОМПО Технолоджис|Шкала|8</v>
      </c>
      <c t="str" r="U63" s="6">
        <f>IF(H63="да",A63&amp;"|"&amp;C63&amp;"|"&amp;D63&amp;"|"&amp;J63,"")</f>
        <v/>
      </c>
      <c t="str" r="V63" s="6">
        <f>IF(C63="План",A63&amp;"|"&amp;J63,"")</f>
        <v/>
      </c>
    </row>
    <row r="64">
      <c r="A64" s="3" t="inlineStr">
        <is>
          <t>КОМПО Технолоджис</t>
        </is>
      </c>
      <c r="B64" s="3" t="inlineStr">
        <is>
          <t>РФ</t>
        </is>
      </c>
      <c r="C64" s="3" t="inlineStr">
        <is>
          <t>Шкала</t>
        </is>
      </c>
      <c r="D64" s="3" t="inlineStr">
        <is>
          <t>Оборудование</t>
        </is>
      </c>
      <c r="E64" s="3" t="inlineStr">
        <is>
          <t>Оборудование — за квартал</t>
        </is>
      </c>
      <c r="F64" s="3" t="inlineStr">
        <is>
          <t>Объем закупок РМ</t>
        </is>
      </c>
      <c r="G64" s="4" t="n">
        <v>8</v>
      </c>
      <c r="H64" s="4" t="n"/>
      <c r="I64" s="3" t="inlineStr">
        <is>
          <t>75-114</t>
        </is>
      </c>
      <c r="J64" s="4" t="n">
        <v>2</v>
      </c>
      <c r="K64" s="4" t="n"/>
      <c r="L64" s="4" t="n"/>
      <c r="M64" s="8" t="n">
        <v>0.01</v>
      </c>
      <c r="N64" s="4" t="inlineStr">
        <is>
          <t>%</t>
        </is>
      </c>
      <c r="O64" s="3" t="inlineStr">
        <is>
          <t>КТ</t>
        </is>
      </c>
      <c r="P64" s="3" t="inlineStr">
        <is>
          <t>F21</t>
        </is>
      </c>
      <c t="str" r="Q64" s="6">
        <f>A64&amp;"|"&amp;C64&amp;"|"&amp;D64&amp;"|"&amp;G64</f>
        <v>КОМПО Технолоджис|Шкала|Оборудование|8</v>
      </c>
      <c t="str" r="R64" s="6">
        <f>A64&amp;"|"&amp;C64&amp;"|"&amp;D64&amp;"|"&amp;J64</f>
        <v>КОМПО Технолоджис|Шкала|Оборудование|2</v>
      </c>
      <c t="str" r="S64" s="6">
        <f>A64&amp;"|"&amp;C64&amp;"|"&amp;D64&amp;"|"&amp;G64&amp;"|"&amp;J64</f>
        <v>КОМПО Технолоджис|Шкала|Оборудование|8|2</v>
      </c>
      <c t="str" r="T64" s="6">
        <f>A64&amp;"|"&amp;C64&amp;"|"&amp;G64</f>
        <v>КОМПО Технолоджис|Шкала|8</v>
      </c>
      <c t="str" r="U64" s="6">
        <f>IF(H64="да",A64&amp;"|"&amp;C64&amp;"|"&amp;D64&amp;"|"&amp;J64,"")</f>
        <v/>
      </c>
      <c t="str" r="V64" s="6">
        <f>IF(C64="План",A64&amp;"|"&amp;J64,"")</f>
        <v/>
      </c>
    </row>
    <row r="65">
      <c r="A65" s="3" t="inlineStr">
        <is>
          <t>КОМПО Технолоджис</t>
        </is>
      </c>
      <c r="B65" s="3" t="inlineStr">
        <is>
          <t>РФ</t>
        </is>
      </c>
      <c r="C65" s="3" t="inlineStr">
        <is>
          <t>Шкала</t>
        </is>
      </c>
      <c r="D65" s="3" t="inlineStr">
        <is>
          <t>Оборудование</t>
        </is>
      </c>
      <c r="E65" s="3" t="inlineStr">
        <is>
          <t>Оборудование — за квартал</t>
        </is>
      </c>
      <c r="F65" s="3" t="inlineStr">
        <is>
          <t>Объем закупок РМ</t>
        </is>
      </c>
      <c r="G65" s="4" t="n">
        <v>8</v>
      </c>
      <c r="H65" s="4" t="n"/>
      <c r="I65" s="3" t="inlineStr">
        <is>
          <t>115-149</t>
        </is>
      </c>
      <c r="J65" s="4" t="n">
        <v>3</v>
      </c>
      <c r="K65" s="4" t="n"/>
      <c r="L65" s="4" t="n"/>
      <c r="M65" s="8" t="n">
        <v>0.02</v>
      </c>
      <c r="N65" s="4" t="inlineStr">
        <is>
          <t>%</t>
        </is>
      </c>
      <c r="O65" s="3" t="inlineStr">
        <is>
          <t>КТ</t>
        </is>
      </c>
      <c r="P65" s="3" t="inlineStr">
        <is>
          <t>G21</t>
        </is>
      </c>
      <c t="str" r="Q65" s="6">
        <f>A65&amp;"|"&amp;C65&amp;"|"&amp;D65&amp;"|"&amp;G65</f>
        <v>КОМПО Технолоджис|Шкала|Оборудование|8</v>
      </c>
      <c t="str" r="R65" s="6">
        <f>A65&amp;"|"&amp;C65&amp;"|"&amp;D65&amp;"|"&amp;J65</f>
        <v>КОМПО Технолоджис|Шкала|Оборудование|3</v>
      </c>
      <c t="str" r="S65" s="6">
        <f>A65&amp;"|"&amp;C65&amp;"|"&amp;D65&amp;"|"&amp;G65&amp;"|"&amp;J65</f>
        <v>КОМПО Технолоджис|Шкала|Оборудование|8|3</v>
      </c>
      <c t="str" r="T65" s="6">
        <f>A65&amp;"|"&amp;C65&amp;"|"&amp;G65</f>
        <v>КОМПО Технолоджис|Шкала|8</v>
      </c>
      <c t="str" r="U65" s="6">
        <f>IF(H65="да",A65&amp;"|"&amp;C65&amp;"|"&amp;D65&amp;"|"&amp;J65,"")</f>
        <v/>
      </c>
      <c t="str" r="V65" s="6">
        <f>IF(C65="План",A65&amp;"|"&amp;J65,"")</f>
        <v/>
      </c>
    </row>
    <row r="66">
      <c r="A66" s="3" t="inlineStr">
        <is>
          <t>КОМПО Технолоджис</t>
        </is>
      </c>
      <c r="B66" s="3" t="inlineStr">
        <is>
          <t>РФ</t>
        </is>
      </c>
      <c r="C66" s="3" t="inlineStr">
        <is>
          <t>Шкала</t>
        </is>
      </c>
      <c r="D66" s="3" t="inlineStr">
        <is>
          <t>Оборудование</t>
        </is>
      </c>
      <c r="E66" s="3" t="inlineStr">
        <is>
          <t>Оборудование — за квартал</t>
        </is>
      </c>
      <c r="F66" s="3" t="inlineStr">
        <is>
          <t>Объем закупок РМ</t>
        </is>
      </c>
      <c r="G66" s="4" t="n">
        <v>8</v>
      </c>
      <c r="H66" s="4" t="n"/>
      <c r="I66" s="3" t="inlineStr">
        <is>
          <t>150-189</t>
        </is>
      </c>
      <c r="J66" s="4" t="n">
        <v>4</v>
      </c>
      <c r="K66" s="4" t="n"/>
      <c r="L66" s="4" t="n"/>
      <c r="M66" s="8" t="n">
        <v>0.03</v>
      </c>
      <c r="N66" s="4" t="inlineStr">
        <is>
          <t>%</t>
        </is>
      </c>
      <c r="O66" s="3" t="inlineStr">
        <is>
          <t>КТ</t>
        </is>
      </c>
      <c r="P66" s="3" t="inlineStr">
        <is>
          <t>H21</t>
        </is>
      </c>
      <c t="str" r="Q66" s="6">
        <f>A66&amp;"|"&amp;C66&amp;"|"&amp;D66&amp;"|"&amp;G66</f>
        <v>КОМПО Технолоджис|Шкала|Оборудование|8</v>
      </c>
      <c t="str" r="R66" s="6">
        <f>A66&amp;"|"&amp;C66&amp;"|"&amp;D66&amp;"|"&amp;J66</f>
        <v>КОМПО Технолоджис|Шкала|Оборудование|4</v>
      </c>
      <c t="str" r="S66" s="6">
        <f>A66&amp;"|"&amp;C66&amp;"|"&amp;D66&amp;"|"&amp;G66&amp;"|"&amp;J66</f>
        <v>КОМПО Технолоджис|Шкала|Оборудование|8|4</v>
      </c>
      <c t="str" r="T66" s="6">
        <f>A66&amp;"|"&amp;C66&amp;"|"&amp;G66</f>
        <v>КОМПО Технолоджис|Шкала|8</v>
      </c>
      <c t="str" r="U66" s="6">
        <f>IF(H66="да",A66&amp;"|"&amp;C66&amp;"|"&amp;D66&amp;"|"&amp;J66,"")</f>
        <v/>
      </c>
      <c t="str" r="V66" s="6">
        <f>IF(C66="План",A66&amp;"|"&amp;J66,"")</f>
        <v/>
      </c>
    </row>
    <row r="67">
      <c r="A67" s="3" t="inlineStr">
        <is>
          <t>КОМПО Технолоджис</t>
        </is>
      </c>
      <c r="B67" s="3" t="inlineStr">
        <is>
          <t>РФ</t>
        </is>
      </c>
      <c r="C67" s="3" t="inlineStr">
        <is>
          <t>Шкала</t>
        </is>
      </c>
      <c r="D67" s="3" t="inlineStr">
        <is>
          <t>Оборудование</t>
        </is>
      </c>
      <c r="E67" s="3" t="inlineStr">
        <is>
          <t>Оборудование — за квартал</t>
        </is>
      </c>
      <c r="F67" s="3" t="inlineStr">
        <is>
          <t>Объем закупок РМ</t>
        </is>
      </c>
      <c r="G67" s="4" t="n">
        <v>8</v>
      </c>
      <c r="H67" s="4" t="n"/>
      <c r="I67" s="3" t="inlineStr">
        <is>
          <t>190-224</t>
        </is>
      </c>
      <c r="J67" s="4" t="n">
        <v>5</v>
      </c>
      <c r="K67" s="4" t="n"/>
      <c r="L67" s="4" t="n"/>
      <c r="M67" s="8" t="n">
        <v>0.04</v>
      </c>
      <c r="N67" s="4" t="inlineStr">
        <is>
          <t>%</t>
        </is>
      </c>
      <c r="O67" s="3" t="inlineStr">
        <is>
          <t>КТ</t>
        </is>
      </c>
      <c r="P67" s="3" t="inlineStr">
        <is>
          <t>I21</t>
        </is>
      </c>
      <c t="str" r="Q67" s="6">
        <f>A67&amp;"|"&amp;C67&amp;"|"&amp;D67&amp;"|"&amp;G67</f>
        <v>КОМПО Технолоджис|Шкала|Оборудование|8</v>
      </c>
      <c t="str" r="R67" s="6">
        <f>A67&amp;"|"&amp;C67&amp;"|"&amp;D67&amp;"|"&amp;J67</f>
        <v>КОМПО Технолоджис|Шкала|Оборудование|5</v>
      </c>
      <c t="str" r="S67" s="6">
        <f>A67&amp;"|"&amp;C67&amp;"|"&amp;D67&amp;"|"&amp;G67&amp;"|"&amp;J67</f>
        <v>КОМПО Технолоджис|Шкала|Оборудование|8|5</v>
      </c>
      <c t="str" r="T67" s="6">
        <f>A67&amp;"|"&amp;C67&amp;"|"&amp;G67</f>
        <v>КОМПО Технолоджис|Шкала|8</v>
      </c>
      <c t="str" r="U67" s="6">
        <f>IF(H67="да",A67&amp;"|"&amp;C67&amp;"|"&amp;D67&amp;"|"&amp;J67,"")</f>
        <v/>
      </c>
      <c t="str" r="V67" s="6">
        <f>IF(C67="План",A67&amp;"|"&amp;J67,"")</f>
        <v/>
      </c>
    </row>
    <row r="68">
      <c r="A68" s="3" t="inlineStr">
        <is>
          <t>КОМПО Технолоджис</t>
        </is>
      </c>
      <c r="B68" s="3" t="inlineStr">
        <is>
          <t>РФ</t>
        </is>
      </c>
      <c r="C68" s="3" t="inlineStr">
        <is>
          <t>Шкала</t>
        </is>
      </c>
      <c r="D68" s="3" t="inlineStr">
        <is>
          <t>Оборудование</t>
        </is>
      </c>
      <c r="E68" s="3" t="inlineStr">
        <is>
          <t>Оборудование — за квартал</t>
        </is>
      </c>
      <c r="F68" s="3" t="inlineStr">
        <is>
          <t>Объем закупок РМ</t>
        </is>
      </c>
      <c r="G68" s="4" t="n">
        <v>8</v>
      </c>
      <c r="H68" s="4" t="n"/>
      <c r="I68" s="3" t="inlineStr">
        <is>
          <t>225 и более</t>
        </is>
      </c>
      <c r="J68" s="4" t="n">
        <v>6</v>
      </c>
      <c r="K68" s="4" t="n"/>
      <c r="L68" s="4" t="n"/>
      <c r="M68" s="8" t="n">
        <v>0.05</v>
      </c>
      <c r="N68" s="4" t="inlineStr">
        <is>
          <t>%</t>
        </is>
      </c>
      <c r="O68" s="3" t="inlineStr">
        <is>
          <t>КТ</t>
        </is>
      </c>
      <c r="P68" s="3" t="inlineStr">
        <is>
          <t>J21</t>
        </is>
      </c>
      <c t="str" r="Q68" s="6">
        <f>A68&amp;"|"&amp;C68&amp;"|"&amp;D68&amp;"|"&amp;G68</f>
        <v>КОМПО Технолоджис|Шкала|Оборудование|8</v>
      </c>
      <c t="str" r="R68" s="6">
        <f>A68&amp;"|"&amp;C68&amp;"|"&amp;D68&amp;"|"&amp;J68</f>
        <v>КОМПО Технолоджис|Шкала|Оборудование|6</v>
      </c>
      <c t="str" r="S68" s="6">
        <f>A68&amp;"|"&amp;C68&amp;"|"&amp;D68&amp;"|"&amp;G68&amp;"|"&amp;J68</f>
        <v>КОМПО Технолоджис|Шкала|Оборудование|8|6</v>
      </c>
      <c t="str" r="T68" s="6">
        <f>A68&amp;"|"&amp;C68&amp;"|"&amp;G68</f>
        <v>КОМПО Технолоджис|Шкала|8</v>
      </c>
      <c t="str" r="U68" s="6">
        <f>IF(H68="да",A68&amp;"|"&amp;C68&amp;"|"&amp;D68&amp;"|"&amp;J68,"")</f>
        <v/>
      </c>
      <c t="str" r="V68" s="6">
        <f>IF(C68="План",A68&amp;"|"&amp;J68,"")</f>
        <v/>
      </c>
    </row>
    <row r="69">
      <c r="A69" s="3" t="inlineStr">
        <is>
          <t>КОМПО Технолоджис</t>
        </is>
      </c>
      <c r="B69" s="3" t="inlineStr">
        <is>
          <t>РФ</t>
        </is>
      </c>
      <c r="C69" s="3" t="inlineStr">
        <is>
          <t>Шкала</t>
        </is>
      </c>
      <c r="D69" s="3" t="inlineStr">
        <is>
          <t>Расходные материалы</t>
        </is>
      </c>
      <c r="E69" s="3" t="inlineStr">
        <is>
          <t>Расходные материалы — за квартал</t>
        </is>
      </c>
      <c r="F69" s="3" t="inlineStr">
        <is>
          <t>Наличие минимальных складских остатков по РМ (синхронизация отчета по остаткам с 1С КОМПО)</t>
        </is>
      </c>
      <c r="G69" s="4" t="n">
        <v>1</v>
      </c>
      <c r="H69" s="4" t="n"/>
      <c r="I69" s="3" t="inlineStr">
        <is>
          <t>до 75</t>
        </is>
      </c>
      <c r="J69" s="4" t="n">
        <v>1</v>
      </c>
      <c r="K69" s="4" t="n"/>
      <c r="L69" s="4" t="n"/>
      <c r="M69" s="8" t="n">
        <v>0.01</v>
      </c>
      <c r="N69" s="4" t="inlineStr">
        <is>
          <t>%</t>
        </is>
      </c>
      <c r="O69" s="3" t="inlineStr">
        <is>
          <t>КТ</t>
        </is>
      </c>
      <c r="P69" s="3" t="inlineStr">
        <is>
          <t>E20</t>
        </is>
      </c>
      <c t="str" r="Q69" s="6">
        <f>A69&amp;"|"&amp;C69&amp;"|"&amp;D69&amp;"|"&amp;G69</f>
        <v>КОМПО Технолоджис|Шкала|Расходные материалы|1</v>
      </c>
      <c t="str" r="R69" s="6">
        <f>A69&amp;"|"&amp;C69&amp;"|"&amp;D69&amp;"|"&amp;J69</f>
        <v>КОМПО Технолоджис|Шкала|Расходные материалы|1</v>
      </c>
      <c t="str" r="S69" s="6">
        <f>A69&amp;"|"&amp;C69&amp;"|"&amp;D69&amp;"|"&amp;G69&amp;"|"&amp;J69</f>
        <v>КОМПО Технолоджис|Шкала|Расходные материалы|1|1</v>
      </c>
      <c t="str" r="T69" s="6">
        <f>A69&amp;"|"&amp;C69&amp;"|"&amp;G69</f>
        <v>КОМПО Технолоджис|Шкала|1</v>
      </c>
      <c t="str" r="U69" s="6">
        <f>IF(H69="да",A69&amp;"|"&amp;C69&amp;"|"&amp;D69&amp;"|"&amp;J69,"")</f>
        <v/>
      </c>
      <c t="str" r="V69" s="6">
        <f>IF(C69="План",A69&amp;"|"&amp;J69,"")</f>
        <v/>
      </c>
    </row>
    <row r="70">
      <c r="A70" s="3" t="inlineStr">
        <is>
          <t>КОМПО Технолоджис</t>
        </is>
      </c>
      <c r="B70" s="3" t="inlineStr">
        <is>
          <t>РФ</t>
        </is>
      </c>
      <c r="C70" s="3" t="inlineStr">
        <is>
          <t>Шкала</t>
        </is>
      </c>
      <c r="D70" s="3" t="inlineStr">
        <is>
          <t>Расходные материалы</t>
        </is>
      </c>
      <c r="E70" s="3" t="inlineStr">
        <is>
          <t>Расходные материалы — за квартал</t>
        </is>
      </c>
      <c r="F70" s="3" t="inlineStr">
        <is>
          <t>Наличие минимальных складских остатков по РМ (синхронизация отчета по остаткам с 1С КОМПО)</t>
        </is>
      </c>
      <c r="G70" s="4" t="n">
        <v>1</v>
      </c>
      <c r="H70" s="4" t="n"/>
      <c r="I70" s="3" t="inlineStr">
        <is>
          <t>75-115</t>
        </is>
      </c>
      <c r="J70" s="4" t="n">
        <v>2</v>
      </c>
      <c r="K70" s="4" t="n"/>
      <c r="L70" s="4" t="n"/>
      <c r="M70" s="8" t="n">
        <v>0.01</v>
      </c>
      <c r="N70" s="4" t="inlineStr">
        <is>
          <t>%</t>
        </is>
      </c>
      <c r="O70" s="3" t="inlineStr">
        <is>
          <t>КТ</t>
        </is>
      </c>
      <c r="P70" s="3" t="inlineStr">
        <is>
          <t>F20</t>
        </is>
      </c>
      <c t="str" r="Q70" s="6">
        <f>A70&amp;"|"&amp;C70&amp;"|"&amp;D70&amp;"|"&amp;G70</f>
        <v>КОМПО Технолоджис|Шкала|Расходные материалы|1</v>
      </c>
      <c t="str" r="R70" s="6">
        <f>A70&amp;"|"&amp;C70&amp;"|"&amp;D70&amp;"|"&amp;J70</f>
        <v>КОМПО Технолоджис|Шкала|Расходные материалы|2</v>
      </c>
      <c t="str" r="S70" s="6">
        <f>A70&amp;"|"&amp;C70&amp;"|"&amp;D70&amp;"|"&amp;G70&amp;"|"&amp;J70</f>
        <v>КОМПО Технолоджис|Шкала|Расходные материалы|1|2</v>
      </c>
      <c t="str" r="T70" s="6">
        <f>A70&amp;"|"&amp;C70&amp;"|"&amp;G70</f>
        <v>КОМПО Технолоджис|Шкала|1</v>
      </c>
      <c t="str" r="U70" s="6">
        <f>IF(H70="да",A70&amp;"|"&amp;C70&amp;"|"&amp;D70&amp;"|"&amp;J70,"")</f>
        <v/>
      </c>
      <c t="str" r="V70" s="6">
        <f>IF(C70="План",A70&amp;"|"&amp;J70,"")</f>
        <v/>
      </c>
    </row>
    <row r="71">
      <c r="A71" s="3" t="inlineStr">
        <is>
          <t>КОМПО Технолоджис</t>
        </is>
      </c>
      <c r="B71" s="3" t="inlineStr">
        <is>
          <t>РФ</t>
        </is>
      </c>
      <c r="C71" s="3" t="inlineStr">
        <is>
          <t>Шкала</t>
        </is>
      </c>
      <c r="D71" s="3" t="inlineStr">
        <is>
          <t>Расходные материалы</t>
        </is>
      </c>
      <c r="E71" s="3" t="inlineStr">
        <is>
          <t>Расходные материалы — за квартал</t>
        </is>
      </c>
      <c r="F71" s="3" t="inlineStr">
        <is>
          <t>Наличие минимальных складских остатков по РМ (синхронизация отчета по остаткам с 1С КОМПО)</t>
        </is>
      </c>
      <c r="G71" s="4" t="n">
        <v>1</v>
      </c>
      <c r="H71" s="4" t="n"/>
      <c r="I71" s="3" t="inlineStr">
        <is>
          <t>115-150</t>
        </is>
      </c>
      <c r="J71" s="4" t="n">
        <v>3</v>
      </c>
      <c r="K71" s="4" t="n"/>
      <c r="L71" s="4" t="n"/>
      <c r="M71" s="8" t="n">
        <v>0.01</v>
      </c>
      <c r="N71" s="4" t="inlineStr">
        <is>
          <t>%</t>
        </is>
      </c>
      <c r="O71" s="3" t="inlineStr">
        <is>
          <t>КТ</t>
        </is>
      </c>
      <c r="P71" s="3" t="inlineStr">
        <is>
          <t>G20</t>
        </is>
      </c>
      <c t="str" r="Q71" s="6">
        <f>A71&amp;"|"&amp;C71&amp;"|"&amp;D71&amp;"|"&amp;G71</f>
        <v>КОМПО Технолоджис|Шкала|Расходные материалы|1</v>
      </c>
      <c t="str" r="R71" s="6">
        <f>A71&amp;"|"&amp;C71&amp;"|"&amp;D71&amp;"|"&amp;J71</f>
        <v>КОМПО Технолоджис|Шкала|Расходные материалы|3</v>
      </c>
      <c t="str" r="S71" s="6">
        <f>A71&amp;"|"&amp;C71&amp;"|"&amp;D71&amp;"|"&amp;G71&amp;"|"&amp;J71</f>
        <v>КОМПО Технолоджис|Шкала|Расходные материалы|1|3</v>
      </c>
      <c t="str" r="T71" s="6">
        <f>A71&amp;"|"&amp;C71&amp;"|"&amp;G71</f>
        <v>КОМПО Технолоджис|Шкала|1</v>
      </c>
      <c t="str" r="U71" s="6">
        <f>IF(H71="да",A71&amp;"|"&amp;C71&amp;"|"&amp;D71&amp;"|"&amp;J71,"")</f>
        <v/>
      </c>
      <c t="str" r="V71" s="6">
        <f>IF(C71="План",A71&amp;"|"&amp;J71,"")</f>
        <v/>
      </c>
    </row>
    <row r="72">
      <c r="A72" s="3" t="inlineStr">
        <is>
          <t>КОМПО Технолоджис</t>
        </is>
      </c>
      <c r="B72" s="3" t="inlineStr">
        <is>
          <t>РФ</t>
        </is>
      </c>
      <c r="C72" s="3" t="inlineStr">
        <is>
          <t>Шкала</t>
        </is>
      </c>
      <c r="D72" s="3" t="inlineStr">
        <is>
          <t>Расходные материалы</t>
        </is>
      </c>
      <c r="E72" s="3" t="inlineStr">
        <is>
          <t>Расходные материалы — за квартал</t>
        </is>
      </c>
      <c r="F72" s="3" t="inlineStr">
        <is>
          <t>Наличие минимальных складских остатков по РМ (синхронизация отчета по остаткам с 1С КОМПО)</t>
        </is>
      </c>
      <c r="G72" s="4" t="n">
        <v>1</v>
      </c>
      <c r="H72" s="4" t="n"/>
      <c r="I72" s="3" t="inlineStr">
        <is>
          <t>150-190</t>
        </is>
      </c>
      <c r="J72" s="4" t="n">
        <v>4</v>
      </c>
      <c r="K72" s="4" t="n"/>
      <c r="L72" s="4" t="n"/>
      <c r="M72" s="8" t="n">
        <v>0.01</v>
      </c>
      <c r="N72" s="4" t="inlineStr">
        <is>
          <t>%</t>
        </is>
      </c>
      <c r="O72" s="3" t="inlineStr">
        <is>
          <t>КТ</t>
        </is>
      </c>
      <c r="P72" s="3" t="inlineStr">
        <is>
          <t>H20</t>
        </is>
      </c>
      <c t="str" r="Q72" s="6">
        <f>A72&amp;"|"&amp;C72&amp;"|"&amp;D72&amp;"|"&amp;G72</f>
        <v>КОМПО Технолоджис|Шкала|Расходные материалы|1</v>
      </c>
      <c t="str" r="R72" s="6">
        <f>A72&amp;"|"&amp;C72&amp;"|"&amp;D72&amp;"|"&amp;J72</f>
        <v>КОМПО Технолоджис|Шкала|Расходные материалы|4</v>
      </c>
      <c t="str" r="S72" s="6">
        <f>A72&amp;"|"&amp;C72&amp;"|"&amp;D72&amp;"|"&amp;G72&amp;"|"&amp;J72</f>
        <v>КОМПО Технолоджис|Шкала|Расходные материалы|1|4</v>
      </c>
      <c t="str" r="T72" s="6">
        <f>A72&amp;"|"&amp;C72&amp;"|"&amp;G72</f>
        <v>КОМПО Технолоджис|Шкала|1</v>
      </c>
      <c t="str" r="U72" s="6">
        <f>IF(H72="да",A72&amp;"|"&amp;C72&amp;"|"&amp;D72&amp;"|"&amp;J72,"")</f>
        <v/>
      </c>
      <c t="str" r="V72" s="6">
        <f>IF(C72="План",A72&amp;"|"&amp;J72,"")</f>
        <v/>
      </c>
    </row>
    <row r="73">
      <c r="A73" s="3" t="inlineStr">
        <is>
          <t>КОМПО Технолоджис</t>
        </is>
      </c>
      <c r="B73" s="3" t="inlineStr">
        <is>
          <t>РФ</t>
        </is>
      </c>
      <c r="C73" s="3" t="inlineStr">
        <is>
          <t>Шкала</t>
        </is>
      </c>
      <c r="D73" s="3" t="inlineStr">
        <is>
          <t>Расходные материалы</t>
        </is>
      </c>
      <c r="E73" s="3" t="inlineStr">
        <is>
          <t>Расходные материалы — за квартал</t>
        </is>
      </c>
      <c r="F73" s="3" t="inlineStr">
        <is>
          <t>Наличие минимальных складских остатков по РМ (синхронизация отчета по остаткам с 1С КОМПО)</t>
        </is>
      </c>
      <c r="G73" s="4" t="n">
        <v>1</v>
      </c>
      <c r="H73" s="4" t="n"/>
      <c r="I73" s="3" t="inlineStr">
        <is>
          <t>190-225</t>
        </is>
      </c>
      <c r="J73" s="4" t="n">
        <v>5</v>
      </c>
      <c r="K73" s="4" t="n"/>
      <c r="L73" s="4" t="n"/>
      <c r="M73" s="8" t="n">
        <v>0.01</v>
      </c>
      <c r="N73" s="4" t="inlineStr">
        <is>
          <t>%</t>
        </is>
      </c>
      <c r="O73" s="3" t="inlineStr">
        <is>
          <t>КТ</t>
        </is>
      </c>
      <c r="P73" s="3" t="inlineStr">
        <is>
          <t>I20</t>
        </is>
      </c>
      <c t="str" r="Q73" s="6">
        <f>A73&amp;"|"&amp;C73&amp;"|"&amp;D73&amp;"|"&amp;G73</f>
        <v>КОМПО Технолоджис|Шкала|Расходные материалы|1</v>
      </c>
      <c t="str" r="R73" s="6">
        <f>A73&amp;"|"&amp;C73&amp;"|"&amp;D73&amp;"|"&amp;J73</f>
        <v>КОМПО Технолоджис|Шкала|Расходные материалы|5</v>
      </c>
      <c t="str" r="S73" s="6">
        <f>A73&amp;"|"&amp;C73&amp;"|"&amp;D73&amp;"|"&amp;G73&amp;"|"&amp;J73</f>
        <v>КОМПО Технолоджис|Шкала|Расходные материалы|1|5</v>
      </c>
      <c t="str" r="T73" s="6">
        <f>A73&amp;"|"&amp;C73&amp;"|"&amp;G73</f>
        <v>КОМПО Технолоджис|Шкала|1</v>
      </c>
      <c t="str" r="U73" s="6">
        <f>IF(H73="да",A73&amp;"|"&amp;C73&amp;"|"&amp;D73&amp;"|"&amp;J73,"")</f>
        <v/>
      </c>
      <c t="str" r="V73" s="6">
        <f>IF(C73="План",A73&amp;"|"&amp;J73,"")</f>
        <v/>
      </c>
    </row>
    <row r="74">
      <c r="A74" s="3" t="inlineStr">
        <is>
          <t>КОМПО Технолоджис</t>
        </is>
      </c>
      <c r="B74" s="3" t="inlineStr">
        <is>
          <t>РФ</t>
        </is>
      </c>
      <c r="C74" s="3" t="inlineStr">
        <is>
          <t>Шкала</t>
        </is>
      </c>
      <c r="D74" s="3" t="inlineStr">
        <is>
          <t>Расходные материалы</t>
        </is>
      </c>
      <c r="E74" s="3" t="inlineStr">
        <is>
          <t>Расходные материалы — за квартал</t>
        </is>
      </c>
      <c r="F74" s="3" t="inlineStr">
        <is>
          <t>Наличие минимальных складских остатков по РМ (синхронизация отчета по остаткам с 1С КОМПО)</t>
        </is>
      </c>
      <c r="G74" s="4" t="n">
        <v>1</v>
      </c>
      <c r="H74" s="4" t="n"/>
      <c r="I74" s="3" t="inlineStr">
        <is>
          <t>225 и более</t>
        </is>
      </c>
      <c r="J74" s="4" t="n">
        <v>6</v>
      </c>
      <c r="K74" s="4" t="n"/>
      <c r="L74" s="4" t="n"/>
      <c r="M74" s="8" t="n">
        <v>0.01</v>
      </c>
      <c r="N74" s="4" t="inlineStr">
        <is>
          <t>%</t>
        </is>
      </c>
      <c r="O74" s="3" t="inlineStr">
        <is>
          <t>КТ</t>
        </is>
      </c>
      <c r="P74" s="3" t="inlineStr">
        <is>
          <t>J20</t>
        </is>
      </c>
      <c t="str" r="Q74" s="6">
        <f>A74&amp;"|"&amp;C74&amp;"|"&amp;D74&amp;"|"&amp;G74</f>
        <v>КОМПО Технолоджис|Шкала|Расходные материалы|1</v>
      </c>
      <c t="str" r="R74" s="6">
        <f>A74&amp;"|"&amp;C74&amp;"|"&amp;D74&amp;"|"&amp;J74</f>
        <v>КОМПО Технолоджис|Шкала|Расходные материалы|6</v>
      </c>
      <c t="str" r="S74" s="6">
        <f>A74&amp;"|"&amp;C74&amp;"|"&amp;D74&amp;"|"&amp;G74&amp;"|"&amp;J74</f>
        <v>КОМПО Технолоджис|Шкала|Расходные материалы|1|6</v>
      </c>
      <c t="str" r="T74" s="6">
        <f>A74&amp;"|"&amp;C74&amp;"|"&amp;G74</f>
        <v>КОМПО Технолоджис|Шкала|1</v>
      </c>
      <c t="str" r="U74" s="6">
        <f>IF(H74="да",A74&amp;"|"&amp;C74&amp;"|"&amp;D74&amp;"|"&amp;J74,"")</f>
        <v/>
      </c>
      <c t="str" r="V74" s="6">
        <f>IF(C74="План",A74&amp;"|"&amp;J74,"")</f>
        <v/>
      </c>
    </row>
    <row r="75">
      <c r="A75" s="3" t="inlineStr">
        <is>
          <t>КОМПО Технолоджис</t>
        </is>
      </c>
      <c r="B75" s="3" t="inlineStr">
        <is>
          <t>РФ</t>
        </is>
      </c>
      <c r="C75" s="3" t="inlineStr">
        <is>
          <t>Шкала</t>
        </is>
      </c>
      <c r="D75" s="3" t="inlineStr">
        <is>
          <t>Расходные материалы</t>
        </is>
      </c>
      <c r="E75" s="3" t="inlineStr">
        <is>
          <t>Расходные материалы — за квартал</t>
        </is>
      </c>
      <c r="F75" s="3" t="inlineStr">
        <is>
          <t>Объем закупок РМ</t>
        </is>
      </c>
      <c r="G75" s="4" t="n">
        <v>2</v>
      </c>
      <c r="H75" s="4" t="n"/>
      <c r="I75" s="3" t="inlineStr">
        <is>
          <t>до 75</t>
        </is>
      </c>
      <c r="J75" s="4" t="n">
        <v>1</v>
      </c>
      <c r="K75" s="4" t="n"/>
      <c r="L75" s="4" t="n"/>
      <c r="M75" s="8" t="n">
        <v>0</v>
      </c>
      <c r="N75" s="4" t="inlineStr">
        <is>
          <t>%</t>
        </is>
      </c>
      <c r="O75" s="3" t="inlineStr">
        <is>
          <t>КТ</t>
        </is>
      </c>
      <c r="P75" s="3" t="inlineStr">
        <is>
          <t>E21</t>
        </is>
      </c>
      <c t="str" r="Q75" s="6">
        <f>A75&amp;"|"&amp;C75&amp;"|"&amp;D75&amp;"|"&amp;G75</f>
        <v>КОМПО Технолоджис|Шкала|Расходные материалы|2</v>
      </c>
      <c t="str" r="R75" s="6">
        <f>A75&amp;"|"&amp;C75&amp;"|"&amp;D75&amp;"|"&amp;J75</f>
        <v>КОМПО Технолоджис|Шкала|Расходные материалы|1</v>
      </c>
      <c t="str" r="S75" s="6">
        <f>A75&amp;"|"&amp;C75&amp;"|"&amp;D75&amp;"|"&amp;G75&amp;"|"&amp;J75</f>
        <v>КОМПО Технолоджис|Шкала|Расходные материалы|2|1</v>
      </c>
      <c t="str" r="T75" s="6">
        <f>A75&amp;"|"&amp;C75&amp;"|"&amp;G75</f>
        <v>КОМПО Технолоджис|Шкала|2</v>
      </c>
      <c t="str" r="U75" s="6">
        <f>IF(H75="да",A75&amp;"|"&amp;C75&amp;"|"&amp;D75&amp;"|"&amp;J75,"")</f>
        <v/>
      </c>
      <c t="str" r="V75" s="6">
        <f>IF(C75="План",A75&amp;"|"&amp;J75,"")</f>
        <v/>
      </c>
    </row>
    <row r="76">
      <c r="A76" s="3" t="inlineStr">
        <is>
          <t>КОМПО Технолоджис</t>
        </is>
      </c>
      <c r="B76" s="3" t="inlineStr">
        <is>
          <t>РФ</t>
        </is>
      </c>
      <c r="C76" s="3" t="inlineStr">
        <is>
          <t>Шкала</t>
        </is>
      </c>
      <c r="D76" s="3" t="inlineStr">
        <is>
          <t>Расходные материалы</t>
        </is>
      </c>
      <c r="E76" s="3" t="inlineStr">
        <is>
          <t>Расходные материалы — за квартал</t>
        </is>
      </c>
      <c r="F76" s="3" t="inlineStr">
        <is>
          <t>Объем закупок РМ</t>
        </is>
      </c>
      <c r="G76" s="4" t="n">
        <v>2</v>
      </c>
      <c r="H76" s="4" t="n"/>
      <c r="I76" s="3" t="inlineStr">
        <is>
          <t>75-115</t>
        </is>
      </c>
      <c r="J76" s="4" t="n">
        <v>2</v>
      </c>
      <c r="K76" s="4" t="n"/>
      <c r="L76" s="4" t="n"/>
      <c r="M76" s="8" t="n">
        <v>0.01</v>
      </c>
      <c r="N76" s="4" t="inlineStr">
        <is>
          <t>%</t>
        </is>
      </c>
      <c r="O76" s="3" t="inlineStr">
        <is>
          <t>КТ</t>
        </is>
      </c>
      <c r="P76" s="3" t="inlineStr">
        <is>
          <t>F21</t>
        </is>
      </c>
      <c t="str" r="Q76" s="6">
        <f>A76&amp;"|"&amp;C76&amp;"|"&amp;D76&amp;"|"&amp;G76</f>
        <v>КОМПО Технолоджис|Шкала|Расходные материалы|2</v>
      </c>
      <c t="str" r="R76" s="6">
        <f>A76&amp;"|"&amp;C76&amp;"|"&amp;D76&amp;"|"&amp;J76</f>
        <v>КОМПО Технолоджис|Шкала|Расходные материалы|2</v>
      </c>
      <c t="str" r="S76" s="6">
        <f>A76&amp;"|"&amp;C76&amp;"|"&amp;D76&amp;"|"&amp;G76&amp;"|"&amp;J76</f>
        <v>КОМПО Технолоджис|Шкала|Расходные материалы|2|2</v>
      </c>
      <c t="str" r="T76" s="6">
        <f>A76&amp;"|"&amp;C76&amp;"|"&amp;G76</f>
        <v>КОМПО Технолоджис|Шкала|2</v>
      </c>
      <c t="str" r="U76" s="6">
        <f>IF(H76="да",A76&amp;"|"&amp;C76&amp;"|"&amp;D76&amp;"|"&amp;J76,"")</f>
        <v/>
      </c>
      <c t="str" r="V76" s="6">
        <f>IF(C76="План",A76&amp;"|"&amp;J76,"")</f>
        <v/>
      </c>
    </row>
    <row r="77">
      <c r="A77" s="3" t="inlineStr">
        <is>
          <t>КОМПО Технолоджис</t>
        </is>
      </c>
      <c r="B77" s="3" t="inlineStr">
        <is>
          <t>РФ</t>
        </is>
      </c>
      <c r="C77" s="3" t="inlineStr">
        <is>
          <t>Шкала</t>
        </is>
      </c>
      <c r="D77" s="3" t="inlineStr">
        <is>
          <t>Расходные материалы</t>
        </is>
      </c>
      <c r="E77" s="3" t="inlineStr">
        <is>
          <t>Расходные материалы — за квартал</t>
        </is>
      </c>
      <c r="F77" s="3" t="inlineStr">
        <is>
          <t>Объем закупок РМ</t>
        </is>
      </c>
      <c r="G77" s="4" t="n">
        <v>2</v>
      </c>
      <c r="H77" s="4" t="n"/>
      <c r="I77" s="3" t="inlineStr">
        <is>
          <t>115-150</t>
        </is>
      </c>
      <c r="J77" s="4" t="n">
        <v>3</v>
      </c>
      <c r="K77" s="4" t="n"/>
      <c r="L77" s="4" t="n"/>
      <c r="M77" s="8" t="n">
        <v>0.02</v>
      </c>
      <c r="N77" s="4" t="inlineStr">
        <is>
          <t>%</t>
        </is>
      </c>
      <c r="O77" s="3" t="inlineStr">
        <is>
          <t>КТ</t>
        </is>
      </c>
      <c r="P77" s="3" t="inlineStr">
        <is>
          <t>G21</t>
        </is>
      </c>
      <c t="str" r="Q77" s="6">
        <f>A77&amp;"|"&amp;C77&amp;"|"&amp;D77&amp;"|"&amp;G77</f>
        <v>КОМПО Технолоджис|Шкала|Расходные материалы|2</v>
      </c>
      <c t="str" r="R77" s="6">
        <f>A77&amp;"|"&amp;C77&amp;"|"&amp;D77&amp;"|"&amp;J77</f>
        <v>КОМПО Технолоджис|Шкала|Расходные материалы|3</v>
      </c>
      <c t="str" r="S77" s="6">
        <f>A77&amp;"|"&amp;C77&amp;"|"&amp;D77&amp;"|"&amp;G77&amp;"|"&amp;J77</f>
        <v>КОМПО Технолоджис|Шкала|Расходные материалы|2|3</v>
      </c>
      <c t="str" r="T77" s="6">
        <f>A77&amp;"|"&amp;C77&amp;"|"&amp;G77</f>
        <v>КОМПО Технолоджис|Шкала|2</v>
      </c>
      <c t="str" r="U77" s="6">
        <f>IF(H77="да",A77&amp;"|"&amp;C77&amp;"|"&amp;D77&amp;"|"&amp;J77,"")</f>
        <v/>
      </c>
      <c t="str" r="V77" s="6">
        <f>IF(C77="План",A77&amp;"|"&amp;J77,"")</f>
        <v/>
      </c>
    </row>
    <row r="78">
      <c r="A78" s="3" t="inlineStr">
        <is>
          <t>КОМПО Технолоджис</t>
        </is>
      </c>
      <c r="B78" s="3" t="inlineStr">
        <is>
          <t>РФ</t>
        </is>
      </c>
      <c r="C78" s="3" t="inlineStr">
        <is>
          <t>Шкала</t>
        </is>
      </c>
      <c r="D78" s="3" t="inlineStr">
        <is>
          <t>Расходные материалы</t>
        </is>
      </c>
      <c r="E78" s="3" t="inlineStr">
        <is>
          <t>Расходные материалы — за квартал</t>
        </is>
      </c>
      <c r="F78" s="3" t="inlineStr">
        <is>
          <t>Объем закупок РМ</t>
        </is>
      </c>
      <c r="G78" s="4" t="n">
        <v>2</v>
      </c>
      <c r="H78" s="4" t="n"/>
      <c r="I78" s="3" t="inlineStr">
        <is>
          <t>150-190</t>
        </is>
      </c>
      <c r="J78" s="4" t="n">
        <v>4</v>
      </c>
      <c r="K78" s="4" t="n"/>
      <c r="L78" s="4" t="n"/>
      <c r="M78" s="8" t="n">
        <v>0.03</v>
      </c>
      <c r="N78" s="4" t="inlineStr">
        <is>
          <t>%</t>
        </is>
      </c>
      <c r="O78" s="3" t="inlineStr">
        <is>
          <t>КТ</t>
        </is>
      </c>
      <c r="P78" s="3" t="inlineStr">
        <is>
          <t>H21</t>
        </is>
      </c>
      <c t="str" r="Q78" s="6">
        <f>A78&amp;"|"&amp;C78&amp;"|"&amp;D78&amp;"|"&amp;G78</f>
        <v>КОМПО Технолоджис|Шкала|Расходные материалы|2</v>
      </c>
      <c t="str" r="R78" s="6">
        <f>A78&amp;"|"&amp;C78&amp;"|"&amp;D78&amp;"|"&amp;J78</f>
        <v>КОМПО Технолоджис|Шкала|Расходные материалы|4</v>
      </c>
      <c t="str" r="S78" s="6">
        <f>A78&amp;"|"&amp;C78&amp;"|"&amp;D78&amp;"|"&amp;G78&amp;"|"&amp;J78</f>
        <v>КОМПО Технолоджис|Шкала|Расходные материалы|2|4</v>
      </c>
      <c t="str" r="T78" s="6">
        <f>A78&amp;"|"&amp;C78&amp;"|"&amp;G78</f>
        <v>КОМПО Технолоджис|Шкала|2</v>
      </c>
      <c t="str" r="U78" s="6">
        <f>IF(H78="да",A78&amp;"|"&amp;C78&amp;"|"&amp;D78&amp;"|"&amp;J78,"")</f>
        <v/>
      </c>
      <c t="str" r="V78" s="6">
        <f>IF(C78="План",A78&amp;"|"&amp;J78,"")</f>
        <v/>
      </c>
    </row>
    <row r="79">
      <c r="A79" s="3" t="inlineStr">
        <is>
          <t>КОМПО Технолоджис</t>
        </is>
      </c>
      <c r="B79" s="3" t="inlineStr">
        <is>
          <t>РФ</t>
        </is>
      </c>
      <c r="C79" s="3" t="inlineStr">
        <is>
          <t>Шкала</t>
        </is>
      </c>
      <c r="D79" s="3" t="inlineStr">
        <is>
          <t>Расходные материалы</t>
        </is>
      </c>
      <c r="E79" s="3" t="inlineStr">
        <is>
          <t>Расходные материалы — за квартал</t>
        </is>
      </c>
      <c r="F79" s="3" t="inlineStr">
        <is>
          <t>Объем закупок РМ</t>
        </is>
      </c>
      <c r="G79" s="4" t="n">
        <v>2</v>
      </c>
      <c r="H79" s="4" t="n"/>
      <c r="I79" s="3" t="inlineStr">
        <is>
          <t>190-225</t>
        </is>
      </c>
      <c r="J79" s="4" t="n">
        <v>5</v>
      </c>
      <c r="K79" s="4" t="n"/>
      <c r="L79" s="4" t="n"/>
      <c r="M79" s="8" t="n">
        <v>0.04</v>
      </c>
      <c r="N79" s="4" t="inlineStr">
        <is>
          <t>%</t>
        </is>
      </c>
      <c r="O79" s="3" t="inlineStr">
        <is>
          <t>КТ</t>
        </is>
      </c>
      <c r="P79" s="3" t="inlineStr">
        <is>
          <t>I21</t>
        </is>
      </c>
      <c t="str" r="Q79" s="6">
        <f>A79&amp;"|"&amp;C79&amp;"|"&amp;D79&amp;"|"&amp;G79</f>
        <v>КОМПО Технолоджис|Шкала|Расходные материалы|2</v>
      </c>
      <c t="str" r="R79" s="6">
        <f>A79&amp;"|"&amp;C79&amp;"|"&amp;D79&amp;"|"&amp;J79</f>
        <v>КОМПО Технолоджис|Шкала|Расходные материалы|5</v>
      </c>
      <c t="str" r="S79" s="6">
        <f>A79&amp;"|"&amp;C79&amp;"|"&amp;D79&amp;"|"&amp;G79&amp;"|"&amp;J79</f>
        <v>КОМПО Технолоджис|Шкала|Расходные материалы|2|5</v>
      </c>
      <c t="str" r="T79" s="6">
        <f>A79&amp;"|"&amp;C79&amp;"|"&amp;G79</f>
        <v>КОМПО Технолоджис|Шкала|2</v>
      </c>
      <c t="str" r="U79" s="6">
        <f>IF(H79="да",A79&amp;"|"&amp;C79&amp;"|"&amp;D79&amp;"|"&amp;J79,"")</f>
        <v/>
      </c>
      <c t="str" r="V79" s="6">
        <f>IF(C79="План",A79&amp;"|"&amp;J79,"")</f>
        <v/>
      </c>
    </row>
    <row r="80">
      <c r="A80" s="3" t="inlineStr">
        <is>
          <t>КОМПО Технолоджис</t>
        </is>
      </c>
      <c r="B80" s="3" t="inlineStr">
        <is>
          <t>РФ</t>
        </is>
      </c>
      <c r="C80" s="3" t="inlineStr">
        <is>
          <t>Шкала</t>
        </is>
      </c>
      <c r="D80" s="3" t="inlineStr">
        <is>
          <t>Расходные материалы</t>
        </is>
      </c>
      <c r="E80" s="3" t="inlineStr">
        <is>
          <t>Расходные материалы — за квартал</t>
        </is>
      </c>
      <c r="F80" s="3" t="inlineStr">
        <is>
          <t>Объем закупок РМ</t>
        </is>
      </c>
      <c r="G80" s="4" t="n">
        <v>2</v>
      </c>
      <c r="H80" s="4" t="n"/>
      <c r="I80" s="3" t="inlineStr">
        <is>
          <t>225 и более</t>
        </is>
      </c>
      <c r="J80" s="4" t="n">
        <v>6</v>
      </c>
      <c r="K80" s="4" t="n"/>
      <c r="L80" s="4" t="n"/>
      <c r="M80" s="8" t="n">
        <v>0.05</v>
      </c>
      <c r="N80" s="4" t="inlineStr">
        <is>
          <t>%</t>
        </is>
      </c>
      <c r="O80" s="3" t="inlineStr">
        <is>
          <t>КТ</t>
        </is>
      </c>
      <c r="P80" s="3" t="inlineStr">
        <is>
          <t>J21</t>
        </is>
      </c>
      <c t="str" r="Q80" s="6">
        <f>A80&amp;"|"&amp;C80&amp;"|"&amp;D80&amp;"|"&amp;G80</f>
        <v>КОМПО Технолоджис|Шкала|Расходные материалы|2</v>
      </c>
      <c t="str" r="R80" s="6">
        <f>A80&amp;"|"&amp;C80&amp;"|"&amp;D80&amp;"|"&amp;J80</f>
        <v>КОМПО Технолоджис|Шкала|Расходные материалы|6</v>
      </c>
      <c t="str" r="S80" s="6">
        <f>A80&amp;"|"&amp;C80&amp;"|"&amp;D80&amp;"|"&amp;G80&amp;"|"&amp;J80</f>
        <v>КОМПО Технолоджис|Шкала|Расходные материалы|2|6</v>
      </c>
      <c t="str" r="T80" s="6">
        <f>A80&amp;"|"&amp;C80&amp;"|"&amp;G80</f>
        <v>КОМПО Технолоджис|Шкала|2</v>
      </c>
      <c t="str" r="U80" s="6">
        <f>IF(H80="да",A80&amp;"|"&amp;C80&amp;"|"&amp;D80&amp;"|"&amp;J80,"")</f>
        <v/>
      </c>
      <c t="str" r="V80" s="6">
        <f>IF(C80="План",A80&amp;"|"&amp;J80,"")</f>
        <v/>
      </c>
    </row>
    <row r="81">
      <c r="A81" s="3" t="inlineStr">
        <is>
          <t>КОМПО Технолоджис</t>
        </is>
      </c>
      <c r="B81" s="3" t="inlineStr">
        <is>
          <t>РФ</t>
        </is>
      </c>
      <c r="C81" s="3" t="inlineStr">
        <is>
          <t>Шкала</t>
        </is>
      </c>
      <c r="D81" s="3" t="inlineStr">
        <is>
          <t>Сервис (ЗЧ)</t>
        </is>
      </c>
      <c r="E81" s="3" t="inlineStr">
        <is>
          <t>Сервис (ЗЧ) — расчёт по парку оборудования</t>
        </is>
      </c>
      <c r="F81" s="3" t="inlineStr">
        <is>
          <t>Скидка по сервису</t>
        </is>
      </c>
      <c r="G81" s="4" t="n">
        <v>1</v>
      </c>
      <c r="H81" s="4" t="inlineStr">
        <is>
          <t>да</t>
        </is>
      </c>
      <c r="I81" s="3" t="inlineStr">
        <is>
          <t>0–500</t>
        </is>
      </c>
      <c r="J81" s="4" t="n">
        <v>1</v>
      </c>
      <c r="K81" s="4" t="n">
        <v>0</v>
      </c>
      <c r="L81" s="4" t="n">
        <v>500</v>
      </c>
      <c r="M81" s="8" t="n">
        <v>0.19</v>
      </c>
      <c r="N81" s="4" t="inlineStr">
        <is>
          <t>%</t>
        </is>
      </c>
      <c r="O81" s="3" t="inlineStr">
        <is>
          <t>КТ</t>
        </is>
      </c>
      <c r="P81" s="3" t="inlineStr">
        <is>
          <t>F26</t>
        </is>
      </c>
      <c t="str" r="Q81" s="6">
        <f>A81&amp;"|"&amp;C81&amp;"|"&amp;D81&amp;"|"&amp;G81</f>
        <v>КОМПО Технолоджис|Шкала|Сервис (ЗЧ)|1</v>
      </c>
      <c t="str" r="R81" s="6">
        <f>A81&amp;"|"&amp;C81&amp;"|"&amp;D81&amp;"|"&amp;J81</f>
        <v>КОМПО Технолоджис|Шкала|Сервис (ЗЧ)|1</v>
      </c>
      <c t="str" r="S81" s="6">
        <f>A81&amp;"|"&amp;C81&amp;"|"&amp;D81&amp;"|"&amp;G81&amp;"|"&amp;J81</f>
        <v>КОМПО Технолоджис|Шкала|Сервис (ЗЧ)|1|1</v>
      </c>
      <c t="str" r="T81" s="6">
        <f>A81&amp;"|"&amp;C81&amp;"|"&amp;G81</f>
        <v>КОМПО Технолоджис|Шкала|1</v>
      </c>
      <c t="str" r="U81" s="6">
        <f>IF(H81="да",A81&amp;"|"&amp;C81&amp;"|"&amp;D81&amp;"|"&amp;J81,"")</f>
        <v>КОМПО Технолоджис|Шкала|Сервис (ЗЧ)|1</v>
      </c>
      <c t="str" r="V81" s="6">
        <f>IF(C81="План",A81&amp;"|"&amp;J81,"")</f>
        <v/>
      </c>
    </row>
    <row r="82">
      <c r="A82" s="3" t="inlineStr">
        <is>
          <t>КОМПО Технолоджис</t>
        </is>
      </c>
      <c r="B82" s="3" t="inlineStr">
        <is>
          <t>РФ</t>
        </is>
      </c>
      <c r="C82" s="3" t="inlineStr">
        <is>
          <t>Шкала</t>
        </is>
      </c>
      <c r="D82" s="3" t="inlineStr">
        <is>
          <t>Сервис (ЗЧ)</t>
        </is>
      </c>
      <c r="E82" s="3" t="inlineStr">
        <is>
          <t>Сервис (ЗЧ) — расчёт по парку оборудования</t>
        </is>
      </c>
      <c r="F82" s="3" t="inlineStr">
        <is>
          <t>Скидка по сервису</t>
        </is>
      </c>
      <c r="G82" s="4" t="n">
        <v>1</v>
      </c>
      <c r="H82" s="4" t="inlineStr">
        <is>
          <t>да</t>
        </is>
      </c>
      <c r="I82" s="3" t="inlineStr">
        <is>
          <t>501–1000</t>
        </is>
      </c>
      <c r="J82" s="4" t="n">
        <v>2</v>
      </c>
      <c r="K82" s="4" t="n">
        <v>501</v>
      </c>
      <c r="L82" s="4" t="n">
        <v>1000</v>
      </c>
      <c r="M82" s="8" t="n">
        <v>0.21</v>
      </c>
      <c r="N82" s="4" t="inlineStr">
        <is>
          <t>%</t>
        </is>
      </c>
      <c r="O82" s="3" t="inlineStr">
        <is>
          <t>КТ</t>
        </is>
      </c>
      <c r="P82" s="3" t="inlineStr">
        <is>
          <t>F27</t>
        </is>
      </c>
      <c t="str" r="Q82" s="6">
        <f>A82&amp;"|"&amp;C82&amp;"|"&amp;D82&amp;"|"&amp;G82</f>
        <v>КОМПО Технолоджис|Шкала|Сервис (ЗЧ)|1</v>
      </c>
      <c t="str" r="R82" s="6">
        <f>A82&amp;"|"&amp;C82&amp;"|"&amp;D82&amp;"|"&amp;J82</f>
        <v>КОМПО Технолоджис|Шкала|Сервис (ЗЧ)|2</v>
      </c>
      <c t="str" r="S82" s="6">
        <f>A82&amp;"|"&amp;C82&amp;"|"&amp;D82&amp;"|"&amp;G82&amp;"|"&amp;J82</f>
        <v>КОМПО Технолоджис|Шкала|Сервис (ЗЧ)|1|2</v>
      </c>
      <c t="str" r="T82" s="6">
        <f>A82&amp;"|"&amp;C82&amp;"|"&amp;G82</f>
        <v>КОМПО Технолоджис|Шкала|1</v>
      </c>
      <c t="str" r="U82" s="6">
        <f>IF(H82="да",A82&amp;"|"&amp;C82&amp;"|"&amp;D82&amp;"|"&amp;J82,"")</f>
        <v>КОМПО Технолоджис|Шкала|Сервис (ЗЧ)|2</v>
      </c>
      <c t="str" r="V82" s="6">
        <f>IF(C82="План",A82&amp;"|"&amp;J82,"")</f>
        <v/>
      </c>
    </row>
    <row r="83">
      <c r="A83" s="3" t="inlineStr">
        <is>
          <t>КОМПО Технолоджис</t>
        </is>
      </c>
      <c r="B83" s="3" t="inlineStr">
        <is>
          <t>РФ</t>
        </is>
      </c>
      <c r="C83" s="3" t="inlineStr">
        <is>
          <t>Шкала</t>
        </is>
      </c>
      <c r="D83" s="3" t="inlineStr">
        <is>
          <t>Сервис (ЗЧ)</t>
        </is>
      </c>
      <c r="E83" s="3" t="inlineStr">
        <is>
          <t>Сервис (ЗЧ) — расчёт по парку оборудования</t>
        </is>
      </c>
      <c r="F83" s="3" t="inlineStr">
        <is>
          <t>Скидка по сервису</t>
        </is>
      </c>
      <c r="G83" s="4" t="n">
        <v>1</v>
      </c>
      <c r="H83" s="4" t="inlineStr">
        <is>
          <t>да</t>
        </is>
      </c>
      <c r="I83" s="3" t="inlineStr">
        <is>
          <t>1001–1800</t>
        </is>
      </c>
      <c r="J83" s="4" t="n">
        <v>3</v>
      </c>
      <c r="K83" s="4" t="n">
        <v>1001</v>
      </c>
      <c r="L83" s="4" t="n">
        <v>1800</v>
      </c>
      <c r="M83" s="8" t="n">
        <v>0.23</v>
      </c>
      <c r="N83" s="4" t="inlineStr">
        <is>
          <t>%</t>
        </is>
      </c>
      <c r="O83" s="3" t="inlineStr">
        <is>
          <t>КТ</t>
        </is>
      </c>
      <c r="P83" s="3" t="inlineStr">
        <is>
          <t>F28</t>
        </is>
      </c>
      <c t="str" r="Q83" s="6">
        <f>A83&amp;"|"&amp;C83&amp;"|"&amp;D83&amp;"|"&amp;G83</f>
        <v>КОМПО Технолоджис|Шкала|Сервис (ЗЧ)|1</v>
      </c>
      <c t="str" r="R83" s="6">
        <f>A83&amp;"|"&amp;C83&amp;"|"&amp;D83&amp;"|"&amp;J83</f>
        <v>КОМПО Технолоджис|Шкала|Сервис (ЗЧ)|3</v>
      </c>
      <c t="str" r="S83" s="6">
        <f>A83&amp;"|"&amp;C83&amp;"|"&amp;D83&amp;"|"&amp;G83&amp;"|"&amp;J83</f>
        <v>КОМПО Технолоджис|Шкала|Сервис (ЗЧ)|1|3</v>
      </c>
      <c t="str" r="T83" s="6">
        <f>A83&amp;"|"&amp;C83&amp;"|"&amp;G83</f>
        <v>КОМПО Технолоджис|Шкала|1</v>
      </c>
      <c t="str" r="U83" s="6">
        <f>IF(H83="да",A83&amp;"|"&amp;C83&amp;"|"&amp;D83&amp;"|"&amp;J83,"")</f>
        <v>КОМПО Технолоджис|Шкала|Сервис (ЗЧ)|3</v>
      </c>
      <c t="str" r="V83" s="6">
        <f>IF(C83="План",A83&amp;"|"&amp;J83,"")</f>
        <v/>
      </c>
    </row>
    <row r="84">
      <c r="A84" s="3" t="inlineStr">
        <is>
          <t>КОМПО Технолоджис</t>
        </is>
      </c>
      <c r="B84" s="3" t="inlineStr">
        <is>
          <t>РФ</t>
        </is>
      </c>
      <c r="C84" s="3" t="inlineStr">
        <is>
          <t>Шкала</t>
        </is>
      </c>
      <c r="D84" s="3" t="inlineStr">
        <is>
          <t>Сервис (ЗЧ)</t>
        </is>
      </c>
      <c r="E84" s="3" t="inlineStr">
        <is>
          <t>Сервис (ЗЧ) — расчёт по парку оборудования</t>
        </is>
      </c>
      <c r="F84" s="3" t="inlineStr">
        <is>
          <t>Скидка по сервису</t>
        </is>
      </c>
      <c r="G84" s="4" t="n">
        <v>1</v>
      </c>
      <c r="H84" s="4" t="inlineStr">
        <is>
          <t>да</t>
        </is>
      </c>
      <c r="I84" s="3" t="inlineStr">
        <is>
          <t>1801–2400</t>
        </is>
      </c>
      <c r="J84" s="4" t="n">
        <v>4</v>
      </c>
      <c r="K84" s="4" t="n">
        <v>1801</v>
      </c>
      <c r="L84" s="4" t="n">
        <v>2400</v>
      </c>
      <c r="M84" s="8" t="n">
        <v>0.25</v>
      </c>
      <c r="N84" s="4" t="inlineStr">
        <is>
          <t>%</t>
        </is>
      </c>
      <c r="O84" s="3" t="inlineStr">
        <is>
          <t>КТ</t>
        </is>
      </c>
      <c r="P84" s="3" t="inlineStr">
        <is>
          <t>F29</t>
        </is>
      </c>
      <c t="str" r="Q84" s="6">
        <f>A84&amp;"|"&amp;C84&amp;"|"&amp;D84&amp;"|"&amp;G84</f>
        <v>КОМПО Технолоджис|Шкала|Сервис (ЗЧ)|1</v>
      </c>
      <c t="str" r="R84" s="6">
        <f>A84&amp;"|"&amp;C84&amp;"|"&amp;D84&amp;"|"&amp;J84</f>
        <v>КОМПО Технолоджис|Шкала|Сервис (ЗЧ)|4</v>
      </c>
      <c t="str" r="S84" s="6">
        <f>A84&amp;"|"&amp;C84&amp;"|"&amp;D84&amp;"|"&amp;G84&amp;"|"&amp;J84</f>
        <v>КОМПО Технолоджис|Шкала|Сервис (ЗЧ)|1|4</v>
      </c>
      <c t="str" r="T84" s="6">
        <f>A84&amp;"|"&amp;C84&amp;"|"&amp;G84</f>
        <v>КОМПО Технолоджис|Шкала|1</v>
      </c>
      <c t="str" r="U84" s="6">
        <f>IF(H84="да",A84&amp;"|"&amp;C84&amp;"|"&amp;D84&amp;"|"&amp;J84,"")</f>
        <v>КОМПО Технолоджис|Шкала|Сервис (ЗЧ)|4</v>
      </c>
      <c t="str" r="V84" s="6">
        <f>IF(C84="План",A84&amp;"|"&amp;J84,"")</f>
        <v/>
      </c>
    </row>
    <row r="85">
      <c r="A85" s="3" t="inlineStr">
        <is>
          <t>КОМПО Технолоджис</t>
        </is>
      </c>
      <c r="B85" s="3" t="inlineStr">
        <is>
          <t>РФ</t>
        </is>
      </c>
      <c r="C85" s="3" t="inlineStr">
        <is>
          <t>Шкала</t>
        </is>
      </c>
      <c r="D85" s="3" t="inlineStr">
        <is>
          <t>Сервис (ЗЧ)</t>
        </is>
      </c>
      <c r="E85" s="3" t="inlineStr">
        <is>
          <t>Сервис (ЗЧ) — расчёт по парку оборудования</t>
        </is>
      </c>
      <c r="F85" s="3" t="inlineStr">
        <is>
          <t>Скидка по сервису</t>
        </is>
      </c>
      <c r="G85" s="4" t="n">
        <v>1</v>
      </c>
      <c r="H85" s="4" t="inlineStr">
        <is>
          <t>да</t>
        </is>
      </c>
      <c r="I85" s="3" t="inlineStr">
        <is>
          <t>2401–3000</t>
        </is>
      </c>
      <c r="J85" s="4" t="n">
        <v>5</v>
      </c>
      <c r="K85" s="4" t="n">
        <v>2401</v>
      </c>
      <c r="L85" s="4" t="n">
        <v>3000</v>
      </c>
      <c r="M85" s="8" t="n">
        <v>0.27</v>
      </c>
      <c r="N85" s="4" t="inlineStr">
        <is>
          <t>%</t>
        </is>
      </c>
      <c r="O85" s="3" t="inlineStr">
        <is>
          <t>КТ</t>
        </is>
      </c>
      <c r="P85" s="3" t="inlineStr">
        <is>
          <t>F30</t>
        </is>
      </c>
      <c t="str" r="Q85" s="6">
        <f>A85&amp;"|"&amp;C85&amp;"|"&amp;D85&amp;"|"&amp;G85</f>
        <v>КОМПО Технолоджис|Шкала|Сервис (ЗЧ)|1</v>
      </c>
      <c t="str" r="R85" s="6">
        <f>A85&amp;"|"&amp;C85&amp;"|"&amp;D85&amp;"|"&amp;J85</f>
        <v>КОМПО Технолоджис|Шкала|Сервис (ЗЧ)|5</v>
      </c>
      <c t="str" r="S85" s="6">
        <f>A85&amp;"|"&amp;C85&amp;"|"&amp;D85&amp;"|"&amp;G85&amp;"|"&amp;J85</f>
        <v>КОМПО Технолоджис|Шкала|Сервис (ЗЧ)|1|5</v>
      </c>
      <c t="str" r="T85" s="6">
        <f>A85&amp;"|"&amp;C85&amp;"|"&amp;G85</f>
        <v>КОМПО Технолоджис|Шкала|1</v>
      </c>
      <c t="str" r="U85" s="6">
        <f>IF(H85="да",A85&amp;"|"&amp;C85&amp;"|"&amp;D85&amp;"|"&amp;J85,"")</f>
        <v>КОМПО Технолоджис|Шкала|Сервис (ЗЧ)|5</v>
      </c>
      <c t="str" r="V85" s="6">
        <f>IF(C85="План",A85&amp;"|"&amp;J85,"")</f>
        <v/>
      </c>
    </row>
    <row r="86">
      <c r="A86" s="3" t="inlineStr">
        <is>
          <t>КОМПО Технолоджис</t>
        </is>
      </c>
      <c r="B86" s="3" t="inlineStr">
        <is>
          <t>РФ</t>
        </is>
      </c>
      <c r="C86" s="3" t="inlineStr">
        <is>
          <t>Шкала</t>
        </is>
      </c>
      <c r="D86" s="3" t="inlineStr">
        <is>
          <t>Сервис (ЗЧ)</t>
        </is>
      </c>
      <c r="E86" s="3" t="inlineStr">
        <is>
          <t>Сервис (ЗЧ) — расчёт по парку оборудования</t>
        </is>
      </c>
      <c r="F86" s="3" t="inlineStr">
        <is>
          <t>Скидка по сервису</t>
        </is>
      </c>
      <c r="G86" s="4" t="n">
        <v>1</v>
      </c>
      <c r="H86" s="4" t="inlineStr">
        <is>
          <t>да</t>
        </is>
      </c>
      <c r="I86" s="3" t="inlineStr">
        <is>
          <t>3001+</t>
        </is>
      </c>
      <c r="J86" s="4" t="n">
        <v>6</v>
      </c>
      <c r="K86" s="4" t="n">
        <v>3001</v>
      </c>
      <c r="L86" s="4" t="n"/>
      <c r="M86" s="8" t="n">
        <v>0.3</v>
      </c>
      <c r="N86" s="4" t="inlineStr">
        <is>
          <t>%</t>
        </is>
      </c>
      <c r="O86" s="3" t="inlineStr">
        <is>
          <t>КТ</t>
        </is>
      </c>
      <c r="P86" s="3" t="inlineStr">
        <is>
          <t>F31</t>
        </is>
      </c>
      <c t="str" r="Q86" s="6">
        <f>A86&amp;"|"&amp;C86&amp;"|"&amp;D86&amp;"|"&amp;G86</f>
        <v>КОМПО Технолоджис|Шкала|Сервис (ЗЧ)|1</v>
      </c>
      <c t="str" r="R86" s="6">
        <f>A86&amp;"|"&amp;C86&amp;"|"&amp;D86&amp;"|"&amp;J86</f>
        <v>КОМПО Технолоджис|Шкала|Сервис (ЗЧ)|6</v>
      </c>
      <c t="str" r="S86" s="6">
        <f>A86&amp;"|"&amp;C86&amp;"|"&amp;D86&amp;"|"&amp;G86&amp;"|"&amp;J86</f>
        <v>КОМПО Технолоджис|Шкала|Сервис (ЗЧ)|1|6</v>
      </c>
      <c t="str" r="T86" s="6">
        <f>A86&amp;"|"&amp;C86&amp;"|"&amp;G86</f>
        <v>КОМПО Технолоджис|Шкала|1</v>
      </c>
      <c t="str" r="U86" s="6">
        <f>IF(H86="да",A86&amp;"|"&amp;C86&amp;"|"&amp;D86&amp;"|"&amp;J86,"")</f>
        <v>КОМПО Технолоджис|Шкала|Сервис (ЗЧ)|6</v>
      </c>
      <c t="str" r="V86" s="6">
        <f>IF(C86="План",A86&amp;"|"&amp;J86,"")</f>
        <v/>
      </c>
    </row>
    <row r="87">
      <c r="A87" s="3" t="inlineStr">
        <is>
          <t>НоваПак</t>
        </is>
      </c>
      <c r="B87" s="3" t="inlineStr">
        <is>
          <t>РФ</t>
        </is>
      </c>
      <c r="C87" s="3" t="inlineStr">
        <is>
          <t>План</t>
        </is>
      </c>
      <c r="D87" s="3" t="inlineStr">
        <is>
          <t>Итого по дилеру</t>
        </is>
      </c>
      <c r="E87" s="3" t="inlineStr">
        <is>
          <t>План и бонусы</t>
        </is>
      </c>
      <c r="F87" s="3" t="inlineStr">
        <is>
          <t>Выручка 2024</t>
        </is>
      </c>
      <c r="G87" s="4" t="n">
        <v>1</v>
      </c>
      <c r="H87" s="4" t="n"/>
      <c r="I87" s="3" t="n"/>
      <c r="J87" s="4" t="n">
        <v>1</v>
      </c>
      <c r="K87" s="4" t="n"/>
      <c r="L87" s="4" t="n"/>
      <c r="M87" s="5" t="n">
        <v>1609061</v>
      </c>
      <c r="N87" s="4" t="inlineStr">
        <is>
          <t>EUR</t>
        </is>
      </c>
      <c r="O87" s="3" t="inlineStr">
        <is>
          <t>НоваПак</t>
        </is>
      </c>
      <c r="P87" s="3" t="inlineStr">
        <is>
          <t>D4</t>
        </is>
      </c>
      <c t="str" r="Q87" s="6">
        <f>A87&amp;"|"&amp;C87&amp;"|"&amp;D87&amp;"|"&amp;G87</f>
        <v>НоваПак|План|Итого по дилеру|1</v>
      </c>
      <c t="str" r="R87" s="6">
        <f>A87&amp;"|"&amp;C87&amp;"|"&amp;D87&amp;"|"&amp;J87</f>
        <v>НоваПак|План|Итого по дилеру|1</v>
      </c>
      <c t="str" r="S87" s="6">
        <f>A87&amp;"|"&amp;C87&amp;"|"&amp;D87&amp;"|"&amp;G87&amp;"|"&amp;J87</f>
        <v>НоваПак|План|Итого по дилеру|1|1</v>
      </c>
      <c t="str" r="T87" s="6">
        <f>A87&amp;"|"&amp;C87&amp;"|"&amp;G87</f>
        <v>НоваПак|План|1</v>
      </c>
      <c t="str" r="U87" s="6">
        <f>IF(H87="да",A87&amp;"|"&amp;C87&amp;"|"&amp;D87&amp;"|"&amp;J87,"")</f>
        <v/>
      </c>
      <c t="str" r="V87" s="6">
        <f>IF(C87="План",A87&amp;"|"&amp;J87,"")</f>
        <v>НоваПак|1</v>
      </c>
    </row>
    <row r="88">
      <c r="A88" s="3" t="inlineStr">
        <is>
          <t>НоваПак</t>
        </is>
      </c>
      <c r="B88" s="3" t="inlineStr">
        <is>
          <t>РФ</t>
        </is>
      </c>
      <c r="C88" s="3" t="inlineStr">
        <is>
          <t>План</t>
        </is>
      </c>
      <c r="D88" s="3" t="inlineStr">
        <is>
          <t>Итого по дилеру</t>
        </is>
      </c>
      <c r="E88" s="3" t="inlineStr">
        <is>
          <t>План и бонусы</t>
        </is>
      </c>
      <c r="F88" s="3" t="inlineStr">
        <is>
          <t>Выручка 2025</t>
        </is>
      </c>
      <c r="G88" s="4" t="n">
        <v>1</v>
      </c>
      <c r="H88" s="4" t="n"/>
      <c r="I88" s="3" t="n"/>
      <c r="J88" s="4" t="n">
        <v>2</v>
      </c>
      <c r="K88" s="4" t="n"/>
      <c r="L88" s="4" t="n"/>
      <c r="M88" s="5" t="n">
        <v>1299534</v>
      </c>
      <c r="N88" s="4" t="inlineStr">
        <is>
          <t>EUR</t>
        </is>
      </c>
      <c r="O88" s="3" t="inlineStr">
        <is>
          <t>НоваПак</t>
        </is>
      </c>
      <c r="P88" s="3" t="inlineStr">
        <is>
          <t>E4</t>
        </is>
      </c>
      <c t="str" r="Q88" s="6">
        <f>A88&amp;"|"&amp;C88&amp;"|"&amp;D88&amp;"|"&amp;G88</f>
        <v>НоваПак|План|Итого по дилеру|1</v>
      </c>
      <c t="str" r="R88" s="6">
        <f>A88&amp;"|"&amp;C88&amp;"|"&amp;D88&amp;"|"&amp;J88</f>
        <v>НоваПак|План|Итого по дилеру|2</v>
      </c>
      <c t="str" r="S88" s="6">
        <f>A88&amp;"|"&amp;C88&amp;"|"&amp;D88&amp;"|"&amp;G88&amp;"|"&amp;J88</f>
        <v>НоваПак|План|Итого по дилеру|1|2</v>
      </c>
      <c t="str" r="T88" s="6">
        <f>A88&amp;"|"&amp;C88&amp;"|"&amp;G88</f>
        <v>НоваПак|План|1</v>
      </c>
      <c t="str" r="U88" s="6">
        <f>IF(H88="да",A88&amp;"|"&amp;C88&amp;"|"&amp;D88&amp;"|"&amp;J88,"")</f>
        <v/>
      </c>
      <c t="str" r="V88" s="6">
        <f>IF(C88="План",A88&amp;"|"&amp;J88,"")</f>
        <v>НоваПак|2</v>
      </c>
    </row>
    <row r="89">
      <c r="A89" s="3" t="inlineStr">
        <is>
          <t>НоваПак</t>
        </is>
      </c>
      <c r="B89" s="3" t="inlineStr">
        <is>
          <t>РФ</t>
        </is>
      </c>
      <c r="C89" s="3" t="inlineStr">
        <is>
          <t>План</t>
        </is>
      </c>
      <c r="D89" s="3" t="inlineStr">
        <is>
          <t>Итого по дилеру</t>
        </is>
      </c>
      <c r="E89" s="3" t="inlineStr">
        <is>
          <t>План и бонусы</t>
        </is>
      </c>
      <c r="F89" s="3" t="inlineStr">
        <is>
          <t>План 2026</t>
        </is>
      </c>
      <c r="G89" s="4" t="n">
        <v>1</v>
      </c>
      <c r="H89" s="4" t="n"/>
      <c r="I89" s="3" t="n"/>
      <c r="J89" s="4" t="n">
        <v>3</v>
      </c>
      <c r="K89" s="4" t="n"/>
      <c r="L89" s="4" t="n"/>
      <c r="M89" s="5" t="n">
        <v>1812000</v>
      </c>
      <c r="N89" s="4" t="inlineStr">
        <is>
          <t>EUR</t>
        </is>
      </c>
      <c r="O89" s="3" t="inlineStr">
        <is>
          <t>НоваПак</t>
        </is>
      </c>
      <c r="P89" s="3" t="inlineStr">
        <is>
          <t>F4</t>
        </is>
      </c>
      <c t="str" r="Q89" s="6">
        <f>A89&amp;"|"&amp;C89&amp;"|"&amp;D89&amp;"|"&amp;G89</f>
        <v>НоваПак|План|Итого по дилеру|1</v>
      </c>
      <c t="str" r="R89" s="6">
        <f>A89&amp;"|"&amp;C89&amp;"|"&amp;D89&amp;"|"&amp;J89</f>
        <v>НоваПак|План|Итого по дилеру|3</v>
      </c>
      <c t="str" r="S89" s="6">
        <f>A89&amp;"|"&amp;C89&amp;"|"&amp;D89&amp;"|"&amp;G89&amp;"|"&amp;J89</f>
        <v>НоваПак|План|Итого по дилеру|1|3</v>
      </c>
      <c t="str" r="T89" s="6">
        <f>A89&amp;"|"&amp;C89&amp;"|"&amp;G89</f>
        <v>НоваПак|План|1</v>
      </c>
      <c t="str" r="U89" s="6">
        <f>IF(H89="да",A89&amp;"|"&amp;C89&amp;"|"&amp;D89&amp;"|"&amp;J89,"")</f>
        <v/>
      </c>
      <c t="str" r="V89" s="6">
        <f>IF(C89="План",A89&amp;"|"&amp;J89,"")</f>
        <v>НоваПак|3</v>
      </c>
    </row>
    <row r="90">
      <c r="A90" s="3" t="inlineStr">
        <is>
          <t>НоваПак</t>
        </is>
      </c>
      <c r="B90" s="3" t="inlineStr">
        <is>
          <t>РФ</t>
        </is>
      </c>
      <c r="C90" s="3" t="inlineStr">
        <is>
          <t>План</t>
        </is>
      </c>
      <c r="D90" s="3" t="inlineStr">
        <is>
          <t>Итого по дилеру</t>
        </is>
      </c>
      <c r="E90" s="3" t="inlineStr">
        <is>
          <t>План и бонусы</t>
        </is>
      </c>
      <c r="F90" s="3" t="inlineStr">
        <is>
          <t>Прирост П/Ф</t>
        </is>
      </c>
      <c r="G90" s="4" t="n">
        <v>1</v>
      </c>
      <c r="H90" s="4" t="n"/>
      <c r="I90" s="3" t="n"/>
      <c r="J90" s="4" t="n">
        <v>4</v>
      </c>
      <c r="K90" s="4" t="n"/>
      <c r="L90" s="4" t="n"/>
      <c r="M90" s="7" t="n">
        <v>0.3943459732488723</v>
      </c>
      <c r="N90" s="4" t="inlineStr">
        <is>
          <t>%</t>
        </is>
      </c>
      <c r="O90" s="3" t="inlineStr">
        <is>
          <t>НоваПак</t>
        </is>
      </c>
      <c r="P90" s="3" t="inlineStr">
        <is>
          <t>G4</t>
        </is>
      </c>
      <c t="str" r="Q90" s="6">
        <f>A90&amp;"|"&amp;C90&amp;"|"&amp;D90&amp;"|"&amp;G90</f>
        <v>НоваПак|План|Итого по дилеру|1</v>
      </c>
      <c t="str" r="R90" s="6">
        <f>A90&amp;"|"&amp;C90&amp;"|"&amp;D90&amp;"|"&amp;J90</f>
        <v>НоваПак|План|Итого по дилеру|4</v>
      </c>
      <c t="str" r="S90" s="6">
        <f>A90&amp;"|"&amp;C90&amp;"|"&amp;D90&amp;"|"&amp;G90&amp;"|"&amp;J90</f>
        <v>НоваПак|План|Итого по дилеру|1|4</v>
      </c>
      <c t="str" r="T90" s="6">
        <f>A90&amp;"|"&amp;C90&amp;"|"&amp;G90</f>
        <v>НоваПак|План|1</v>
      </c>
      <c t="str" r="U90" s="6">
        <f>IF(H90="да",A90&amp;"|"&amp;C90&amp;"|"&amp;D90&amp;"|"&amp;J90,"")</f>
        <v/>
      </c>
      <c t="str" r="V90" s="6">
        <f>IF(C90="План",A90&amp;"|"&amp;J90,"")</f>
        <v>НоваПак|4</v>
      </c>
    </row>
    <row r="91">
      <c r="A91" s="3" t="inlineStr">
        <is>
          <t>НоваПак</t>
        </is>
      </c>
      <c r="B91" s="3" t="inlineStr">
        <is>
          <t>РФ</t>
        </is>
      </c>
      <c r="C91" s="3" t="inlineStr">
        <is>
          <t>План</t>
        </is>
      </c>
      <c r="D91" s="3" t="inlineStr">
        <is>
          <t>Сервис</t>
        </is>
      </c>
      <c r="E91" s="3" t="inlineStr">
        <is>
          <t>План и бонусы</t>
        </is>
      </c>
      <c r="F91" s="3" t="inlineStr">
        <is>
          <t>Выручка 2024</t>
        </is>
      </c>
      <c r="G91" s="4" t="n">
        <v>2</v>
      </c>
      <c r="H91" s="4" t="n"/>
      <c r="I91" s="3" t="n"/>
      <c r="J91" s="4" t="n">
        <v>1</v>
      </c>
      <c r="K91" s="4" t="n"/>
      <c r="L91" s="4" t="n"/>
      <c r="M91" s="5" t="n">
        <v>233434</v>
      </c>
      <c r="N91" s="4" t="inlineStr">
        <is>
          <t>EUR</t>
        </is>
      </c>
      <c r="O91" s="3" t="inlineStr">
        <is>
          <t>НоваПак</t>
        </is>
      </c>
      <c r="P91" s="3" t="inlineStr">
        <is>
          <t>D5</t>
        </is>
      </c>
      <c t="str" r="Q91" s="6">
        <f>A91&amp;"|"&amp;C91&amp;"|"&amp;D91&amp;"|"&amp;G91</f>
        <v>НоваПак|План|Сервис|2</v>
      </c>
      <c t="str" r="R91" s="6">
        <f>A91&amp;"|"&amp;C91&amp;"|"&amp;D91&amp;"|"&amp;J91</f>
        <v>НоваПак|План|Сервис|1</v>
      </c>
      <c t="str" r="S91" s="6">
        <f>A91&amp;"|"&amp;C91&amp;"|"&amp;D91&amp;"|"&amp;G91&amp;"|"&amp;J91</f>
        <v>НоваПак|План|Сервис|2|1</v>
      </c>
      <c t="str" r="T91" s="6">
        <f>A91&amp;"|"&amp;C91&amp;"|"&amp;G91</f>
        <v>НоваПак|План|2</v>
      </c>
      <c t="str" r="U91" s="6">
        <f>IF(H91="да",A91&amp;"|"&amp;C91&amp;"|"&amp;D91&amp;"|"&amp;J91,"")</f>
        <v/>
      </c>
      <c t="str" r="V91" s="6">
        <f>IF(C91="План",A91&amp;"|"&amp;J91,"")</f>
        <v>НоваПак|1</v>
      </c>
    </row>
    <row r="92">
      <c r="A92" s="3" t="inlineStr">
        <is>
          <t>НоваПак</t>
        </is>
      </c>
      <c r="B92" s="3" t="inlineStr">
        <is>
          <t>РФ</t>
        </is>
      </c>
      <c r="C92" s="3" t="inlineStr">
        <is>
          <t>План</t>
        </is>
      </c>
      <c r="D92" s="3" t="inlineStr">
        <is>
          <t>Сервис</t>
        </is>
      </c>
      <c r="E92" s="3" t="inlineStr">
        <is>
          <t>План и бонусы</t>
        </is>
      </c>
      <c r="F92" s="3" t="inlineStr">
        <is>
          <t>Выручка 2025</t>
        </is>
      </c>
      <c r="G92" s="4" t="n">
        <v>2</v>
      </c>
      <c r="H92" s="4" t="n"/>
      <c r="I92" s="3" t="n"/>
      <c r="J92" s="4" t="n">
        <v>2</v>
      </c>
      <c r="K92" s="4" t="n"/>
      <c r="L92" s="4" t="n"/>
      <c r="M92" s="5" t="n">
        <v>302280</v>
      </c>
      <c r="N92" s="4" t="inlineStr">
        <is>
          <t>EUR</t>
        </is>
      </c>
      <c r="O92" s="3" t="inlineStr">
        <is>
          <t>НоваПак</t>
        </is>
      </c>
      <c r="P92" s="3" t="inlineStr">
        <is>
          <t>E5</t>
        </is>
      </c>
      <c t="str" r="Q92" s="6">
        <f>A92&amp;"|"&amp;C92&amp;"|"&amp;D92&amp;"|"&amp;G92</f>
        <v>НоваПак|План|Сервис|2</v>
      </c>
      <c t="str" r="R92" s="6">
        <f>A92&amp;"|"&amp;C92&amp;"|"&amp;D92&amp;"|"&amp;J92</f>
        <v>НоваПак|План|Сервис|2</v>
      </c>
      <c t="str" r="S92" s="6">
        <f>A92&amp;"|"&amp;C92&amp;"|"&amp;D92&amp;"|"&amp;G92&amp;"|"&amp;J92</f>
        <v>НоваПак|План|Сервис|2|2</v>
      </c>
      <c t="str" r="T92" s="6">
        <f>A92&amp;"|"&amp;C92&amp;"|"&amp;G92</f>
        <v>НоваПак|План|2</v>
      </c>
      <c t="str" r="U92" s="6">
        <f>IF(H92="да",A92&amp;"|"&amp;C92&amp;"|"&amp;D92&amp;"|"&amp;J92,"")</f>
        <v/>
      </c>
      <c t="str" r="V92" s="6">
        <f>IF(C92="План",A92&amp;"|"&amp;J92,"")</f>
        <v>НоваПак|2</v>
      </c>
    </row>
    <row r="93">
      <c r="A93" s="3" t="inlineStr">
        <is>
          <t>НоваПак</t>
        </is>
      </c>
      <c r="B93" s="3" t="inlineStr">
        <is>
          <t>РФ</t>
        </is>
      </c>
      <c r="C93" s="3" t="inlineStr">
        <is>
          <t>План</t>
        </is>
      </c>
      <c r="D93" s="3" t="inlineStr">
        <is>
          <t>Сервис</t>
        </is>
      </c>
      <c r="E93" s="3" t="inlineStr">
        <is>
          <t>План и бонусы</t>
        </is>
      </c>
      <c r="F93" s="3" t="inlineStr">
        <is>
          <t>План 2026</t>
        </is>
      </c>
      <c r="G93" s="4" t="n">
        <v>2</v>
      </c>
      <c r="H93" s="4" t="n"/>
      <c r="I93" s="3" t="n"/>
      <c r="J93" s="4" t="n">
        <v>3</v>
      </c>
      <c r="K93" s="4" t="n"/>
      <c r="L93" s="4" t="n"/>
      <c r="M93" s="5" t="n">
        <v>365000</v>
      </c>
      <c r="N93" s="4" t="inlineStr">
        <is>
          <t>EUR</t>
        </is>
      </c>
      <c r="O93" s="3" t="inlineStr">
        <is>
          <t>НоваПак</t>
        </is>
      </c>
      <c r="P93" s="3" t="inlineStr">
        <is>
          <t>F5</t>
        </is>
      </c>
      <c t="str" r="Q93" s="6">
        <f>A93&amp;"|"&amp;C93&amp;"|"&amp;D93&amp;"|"&amp;G93</f>
        <v>НоваПак|План|Сервис|2</v>
      </c>
      <c t="str" r="R93" s="6">
        <f>A93&amp;"|"&amp;C93&amp;"|"&amp;D93&amp;"|"&amp;J93</f>
        <v>НоваПак|План|Сервис|3</v>
      </c>
      <c t="str" r="S93" s="6">
        <f>A93&amp;"|"&amp;C93&amp;"|"&amp;D93&amp;"|"&amp;G93&amp;"|"&amp;J93</f>
        <v>НоваПак|План|Сервис|2|3</v>
      </c>
      <c t="str" r="T93" s="6">
        <f>A93&amp;"|"&amp;C93&amp;"|"&amp;G93</f>
        <v>НоваПак|План|2</v>
      </c>
      <c t="str" r="U93" s="6">
        <f>IF(H93="да",A93&amp;"|"&amp;C93&amp;"|"&amp;D93&amp;"|"&amp;J93,"")</f>
        <v/>
      </c>
      <c t="str" r="V93" s="6">
        <f>IF(C93="План",A93&amp;"|"&amp;J93,"")</f>
        <v>НоваПак|3</v>
      </c>
    </row>
    <row r="94">
      <c r="A94" s="3" t="inlineStr">
        <is>
          <t>НоваПак</t>
        </is>
      </c>
      <c r="B94" s="3" t="inlineStr">
        <is>
          <t>РФ</t>
        </is>
      </c>
      <c r="C94" s="3" t="inlineStr">
        <is>
          <t>План</t>
        </is>
      </c>
      <c r="D94" s="3" t="inlineStr">
        <is>
          <t>Сервис</t>
        </is>
      </c>
      <c r="E94" s="3" t="inlineStr">
        <is>
          <t>План и бонусы</t>
        </is>
      </c>
      <c r="F94" s="3" t="inlineStr">
        <is>
          <t>Размер бонуса по итогам 2026 г</t>
        </is>
      </c>
      <c r="G94" s="4" t="n">
        <v>2</v>
      </c>
      <c r="H94" s="4" t="n"/>
      <c r="I94" s="3" t="n"/>
      <c r="J94" s="4" t="n">
        <v>5</v>
      </c>
      <c r="K94" s="4" t="n"/>
      <c r="L94" s="4" t="n"/>
      <c r="M94" s="7" t="n">
        <v>0.01</v>
      </c>
      <c r="N94" s="4" t="inlineStr">
        <is>
          <t>%</t>
        </is>
      </c>
      <c r="O94" s="3" t="inlineStr">
        <is>
          <t>НоваПак</t>
        </is>
      </c>
      <c r="P94" s="3" t="inlineStr">
        <is>
          <t>H5</t>
        </is>
      </c>
      <c t="str" r="Q94" s="6">
        <f>A94&amp;"|"&amp;C94&amp;"|"&amp;D94&amp;"|"&amp;G94</f>
        <v>НоваПак|План|Сервис|2</v>
      </c>
      <c t="str" r="R94" s="6">
        <f>A94&amp;"|"&amp;C94&amp;"|"&amp;D94&amp;"|"&amp;J94</f>
        <v>НоваПак|План|Сервис|5</v>
      </c>
      <c t="str" r="S94" s="6">
        <f>A94&amp;"|"&amp;C94&amp;"|"&amp;D94&amp;"|"&amp;G94&amp;"|"&amp;J94</f>
        <v>НоваПак|План|Сервис|2|5</v>
      </c>
      <c t="str" r="T94" s="6">
        <f>A94&amp;"|"&amp;C94&amp;"|"&amp;G94</f>
        <v>НоваПак|План|2</v>
      </c>
      <c t="str" r="U94" s="6">
        <f>IF(H94="да",A94&amp;"|"&amp;C94&amp;"|"&amp;D94&amp;"|"&amp;J94,"")</f>
        <v/>
      </c>
      <c t="str" r="V94" s="6">
        <f>IF(C94="План",A94&amp;"|"&amp;J94,"")</f>
        <v>НоваПак|5</v>
      </c>
    </row>
    <row r="95">
      <c r="A95" s="3" t="inlineStr">
        <is>
          <t>НоваПак</t>
        </is>
      </c>
      <c r="B95" s="3" t="inlineStr">
        <is>
          <t>РФ</t>
        </is>
      </c>
      <c r="C95" s="3" t="inlineStr">
        <is>
          <t>План</t>
        </is>
      </c>
      <c r="D95" s="3" t="inlineStr">
        <is>
          <t>Сервис</t>
        </is>
      </c>
      <c r="E95" s="3" t="inlineStr">
        <is>
          <t>План и бонусы</t>
        </is>
      </c>
      <c r="F95" s="3" t="inlineStr">
        <is>
          <t>Скидка в 1 кв. 2026 ф.г.*</t>
        </is>
      </c>
      <c r="G95" s="4" t="n">
        <v>2</v>
      </c>
      <c r="H95" s="4" t="n"/>
      <c r="I95" s="3" t="n"/>
      <c r="J95" s="4" t="n">
        <v>6</v>
      </c>
      <c r="K95" s="4" t="n"/>
      <c r="L95" s="4" t="n"/>
      <c r="M95" s="8" t="n">
        <v>0.27</v>
      </c>
      <c r="N95" s="4" t="inlineStr">
        <is>
          <t>%</t>
        </is>
      </c>
      <c r="O95" s="3" t="inlineStr">
        <is>
          <t>НоваПак</t>
        </is>
      </c>
      <c r="P95" s="3" t="inlineStr">
        <is>
          <t>I5</t>
        </is>
      </c>
      <c t="str" r="Q95" s="6">
        <f>A95&amp;"|"&amp;C95&amp;"|"&amp;D95&amp;"|"&amp;G95</f>
        <v>НоваПак|План|Сервис|2</v>
      </c>
      <c t="str" r="R95" s="6">
        <f>A95&amp;"|"&amp;C95&amp;"|"&amp;D95&amp;"|"&amp;J95</f>
        <v>НоваПак|План|Сервис|6</v>
      </c>
      <c t="str" r="S95" s="6">
        <f>A95&amp;"|"&amp;C95&amp;"|"&amp;D95&amp;"|"&amp;G95&amp;"|"&amp;J95</f>
        <v>НоваПак|План|Сервис|2|6</v>
      </c>
      <c t="str" r="T95" s="6">
        <f>A95&amp;"|"&amp;C95&amp;"|"&amp;G95</f>
        <v>НоваПак|План|2</v>
      </c>
      <c t="str" r="U95" s="6">
        <f>IF(H95="да",A95&amp;"|"&amp;C95&amp;"|"&amp;D95&amp;"|"&amp;J95,"")</f>
        <v/>
      </c>
      <c t="str" r="V95" s="6">
        <f>IF(C95="План",A95&amp;"|"&amp;J95,"")</f>
        <v>НоваПак|6</v>
      </c>
    </row>
    <row r="96">
      <c r="A96" s="3" t="inlineStr">
        <is>
          <t>НоваПак</t>
        </is>
      </c>
      <c r="B96" s="3" t="inlineStr">
        <is>
          <t>РФ</t>
        </is>
      </c>
      <c r="C96" s="3" t="inlineStr">
        <is>
          <t>План</t>
        </is>
      </c>
      <c r="D96" s="3" t="inlineStr">
        <is>
          <t>Оборудование</t>
        </is>
      </c>
      <c r="E96" s="3" t="inlineStr">
        <is>
          <t>План и бонусы</t>
        </is>
      </c>
      <c r="F96" s="3" t="inlineStr">
        <is>
          <t>Выручка 2024</t>
        </is>
      </c>
      <c r="G96" s="4" t="n">
        <v>3</v>
      </c>
      <c r="H96" s="4" t="n"/>
      <c r="I96" s="3" t="n"/>
      <c r="J96" s="4" t="n">
        <v>1</v>
      </c>
      <c r="K96" s="4" t="n"/>
      <c r="L96" s="4" t="n"/>
      <c r="M96" s="5" t="n">
        <v>912543</v>
      </c>
      <c r="N96" s="4" t="inlineStr">
        <is>
          <t>EUR</t>
        </is>
      </c>
      <c r="O96" s="3" t="inlineStr">
        <is>
          <t>НоваПак</t>
        </is>
      </c>
      <c r="P96" s="3" t="inlineStr">
        <is>
          <t>D6</t>
        </is>
      </c>
      <c t="str" r="Q96" s="6">
        <f>A96&amp;"|"&amp;C96&amp;"|"&amp;D96&amp;"|"&amp;G96</f>
        <v>НоваПак|План|Оборудование|3</v>
      </c>
      <c t="str" r="R96" s="6">
        <f>A96&amp;"|"&amp;C96&amp;"|"&amp;D96&amp;"|"&amp;J96</f>
        <v>НоваПак|План|Оборудование|1</v>
      </c>
      <c t="str" r="S96" s="6">
        <f>A96&amp;"|"&amp;C96&amp;"|"&amp;D96&amp;"|"&amp;G96&amp;"|"&amp;J96</f>
        <v>НоваПак|План|Оборудование|3|1</v>
      </c>
      <c t="str" r="T96" s="6">
        <f>A96&amp;"|"&amp;C96&amp;"|"&amp;G96</f>
        <v>НоваПак|План|3</v>
      </c>
      <c t="str" r="U96" s="6">
        <f>IF(H96="да",A96&amp;"|"&amp;C96&amp;"|"&amp;D96&amp;"|"&amp;J96,"")</f>
        <v/>
      </c>
      <c t="str" r="V96" s="6">
        <f>IF(C96="План",A96&amp;"|"&amp;J96,"")</f>
        <v>НоваПак|1</v>
      </c>
    </row>
    <row r="97">
      <c r="A97" s="3" t="inlineStr">
        <is>
          <t>НоваПак</t>
        </is>
      </c>
      <c r="B97" s="3" t="inlineStr">
        <is>
          <t>РФ</t>
        </is>
      </c>
      <c r="C97" s="3" t="inlineStr">
        <is>
          <t>План</t>
        </is>
      </c>
      <c r="D97" s="3" t="inlineStr">
        <is>
          <t>Оборудование</t>
        </is>
      </c>
      <c r="E97" s="3" t="inlineStr">
        <is>
          <t>План и бонусы</t>
        </is>
      </c>
      <c r="F97" s="3" t="inlineStr">
        <is>
          <t>Выручка 2025</t>
        </is>
      </c>
      <c r="G97" s="4" t="n">
        <v>3</v>
      </c>
      <c r="H97" s="4" t="n"/>
      <c r="I97" s="3" t="n"/>
      <c r="J97" s="4" t="n">
        <v>2</v>
      </c>
      <c r="K97" s="4" t="n"/>
      <c r="L97" s="4" t="n"/>
      <c r="M97" s="5" t="n">
        <v>401117</v>
      </c>
      <c r="N97" s="4" t="inlineStr">
        <is>
          <t>EUR</t>
        </is>
      </c>
      <c r="O97" s="3" t="inlineStr">
        <is>
          <t>НоваПак</t>
        </is>
      </c>
      <c r="P97" s="3" t="inlineStr">
        <is>
          <t>E6</t>
        </is>
      </c>
      <c t="str" r="Q97" s="6">
        <f>A97&amp;"|"&amp;C97&amp;"|"&amp;D97&amp;"|"&amp;G97</f>
        <v>НоваПак|План|Оборудование|3</v>
      </c>
      <c t="str" r="R97" s="6">
        <f>A97&amp;"|"&amp;C97&amp;"|"&amp;D97&amp;"|"&amp;J97</f>
        <v>НоваПак|План|Оборудование|2</v>
      </c>
      <c t="str" r="S97" s="6">
        <f>A97&amp;"|"&amp;C97&amp;"|"&amp;D97&amp;"|"&amp;G97&amp;"|"&amp;J97</f>
        <v>НоваПак|План|Оборудование|3|2</v>
      </c>
      <c t="str" r="T97" s="6">
        <f>A97&amp;"|"&amp;C97&amp;"|"&amp;G97</f>
        <v>НоваПак|План|3</v>
      </c>
      <c t="str" r="U97" s="6">
        <f>IF(H97="да",A97&amp;"|"&amp;C97&amp;"|"&amp;D97&amp;"|"&amp;J97,"")</f>
        <v/>
      </c>
      <c t="str" r="V97" s="6">
        <f>IF(C97="План",A97&amp;"|"&amp;J97,"")</f>
        <v>НоваПак|2</v>
      </c>
    </row>
    <row r="98">
      <c r="A98" s="3" t="inlineStr">
        <is>
          <t>НоваПак</t>
        </is>
      </c>
      <c r="B98" s="3" t="inlineStr">
        <is>
          <t>РФ</t>
        </is>
      </c>
      <c r="C98" s="3" t="inlineStr">
        <is>
          <t>План</t>
        </is>
      </c>
      <c r="D98" s="3" t="inlineStr">
        <is>
          <t>Оборудование</t>
        </is>
      </c>
      <c r="E98" s="3" t="inlineStr">
        <is>
          <t>План и бонусы</t>
        </is>
      </c>
      <c r="F98" s="3" t="inlineStr">
        <is>
          <t>План 2026</t>
        </is>
      </c>
      <c r="G98" s="4" t="n">
        <v>3</v>
      </c>
      <c r="H98" s="4" t="n"/>
      <c r="I98" s="3" t="n"/>
      <c r="J98" s="4" t="n">
        <v>3</v>
      </c>
      <c r="K98" s="4" t="n"/>
      <c r="L98" s="4" t="n"/>
      <c r="M98" s="5" t="n">
        <v>787000</v>
      </c>
      <c r="N98" s="4" t="inlineStr">
        <is>
          <t>EUR</t>
        </is>
      </c>
      <c r="O98" s="3" t="inlineStr">
        <is>
          <t>НоваПак</t>
        </is>
      </c>
      <c r="P98" s="3" t="inlineStr">
        <is>
          <t>F6</t>
        </is>
      </c>
      <c t="str" r="Q98" s="6">
        <f>A98&amp;"|"&amp;C98&amp;"|"&amp;D98&amp;"|"&amp;G98</f>
        <v>НоваПак|План|Оборудование|3</v>
      </c>
      <c t="str" r="R98" s="6">
        <f>A98&amp;"|"&amp;C98&amp;"|"&amp;D98&amp;"|"&amp;J98</f>
        <v>НоваПак|План|Оборудование|3</v>
      </c>
      <c t="str" r="S98" s="6">
        <f>A98&amp;"|"&amp;C98&amp;"|"&amp;D98&amp;"|"&amp;G98&amp;"|"&amp;J98</f>
        <v>НоваПак|План|Оборудование|3|3</v>
      </c>
      <c t="str" r="T98" s="6">
        <f>A98&amp;"|"&amp;C98&amp;"|"&amp;G98</f>
        <v>НоваПак|План|3</v>
      </c>
      <c t="str" r="U98" s="6">
        <f>IF(H98="да",A98&amp;"|"&amp;C98&amp;"|"&amp;D98&amp;"|"&amp;J98,"")</f>
        <v/>
      </c>
      <c t="str" r="V98" s="6">
        <f>IF(C98="План",A98&amp;"|"&amp;J98,"")</f>
        <v>НоваПак|3</v>
      </c>
    </row>
    <row r="99">
      <c r="A99" s="3" t="inlineStr">
        <is>
          <t>НоваПак</t>
        </is>
      </c>
      <c r="B99" s="3" t="inlineStr">
        <is>
          <t>РФ</t>
        </is>
      </c>
      <c r="C99" s="3" t="inlineStr">
        <is>
          <t>План</t>
        </is>
      </c>
      <c r="D99" s="3" t="inlineStr">
        <is>
          <t>Оборудование</t>
        </is>
      </c>
      <c r="E99" s="3" t="inlineStr">
        <is>
          <t>План и бонусы</t>
        </is>
      </c>
      <c r="F99" s="3" t="inlineStr">
        <is>
          <t>Размер бонуса по итогам 2026 г</t>
        </is>
      </c>
      <c r="G99" s="4" t="n">
        <v>3</v>
      </c>
      <c r="H99" s="4" t="n"/>
      <c r="I99" s="3" t="n"/>
      <c r="J99" s="4" t="n">
        <v>5</v>
      </c>
      <c r="K99" s="4" t="n"/>
      <c r="L99" s="4" t="n"/>
      <c r="M99" s="7" t="n">
        <v>0.015</v>
      </c>
      <c r="N99" s="4" t="inlineStr">
        <is>
          <t>%</t>
        </is>
      </c>
      <c r="O99" s="3" t="inlineStr">
        <is>
          <t>НоваПак</t>
        </is>
      </c>
      <c r="P99" s="3" t="inlineStr">
        <is>
          <t>H6</t>
        </is>
      </c>
      <c t="str" r="Q99" s="6">
        <f>A99&amp;"|"&amp;C99&amp;"|"&amp;D99&amp;"|"&amp;G99</f>
        <v>НоваПак|План|Оборудование|3</v>
      </c>
      <c t="str" r="R99" s="6">
        <f>A99&amp;"|"&amp;C99&amp;"|"&amp;D99&amp;"|"&amp;J99</f>
        <v>НоваПак|План|Оборудование|5</v>
      </c>
      <c t="str" r="S99" s="6">
        <f>A99&amp;"|"&amp;C99&amp;"|"&amp;D99&amp;"|"&amp;G99&amp;"|"&amp;J99</f>
        <v>НоваПак|План|Оборудование|3|5</v>
      </c>
      <c t="str" r="T99" s="6">
        <f>A99&amp;"|"&amp;C99&amp;"|"&amp;G99</f>
        <v>НоваПак|План|3</v>
      </c>
      <c t="str" r="U99" s="6">
        <f>IF(H99="да",A99&amp;"|"&amp;C99&amp;"|"&amp;D99&amp;"|"&amp;J99,"")</f>
        <v/>
      </c>
      <c t="str" r="V99" s="6">
        <f>IF(C99="План",A99&amp;"|"&amp;J99,"")</f>
        <v>НоваПак|5</v>
      </c>
    </row>
    <row r="100">
      <c r="A100" s="3" t="inlineStr">
        <is>
          <t>НоваПак</t>
        </is>
      </c>
      <c r="B100" s="3" t="inlineStr">
        <is>
          <t>РФ</t>
        </is>
      </c>
      <c r="C100" s="3" t="inlineStr">
        <is>
          <t>План</t>
        </is>
      </c>
      <c r="D100" s="3" t="inlineStr">
        <is>
          <t>Оборудование</t>
        </is>
      </c>
      <c r="E100" s="3" t="inlineStr">
        <is>
          <t>План и бонусы</t>
        </is>
      </c>
      <c r="F100" s="3" t="inlineStr">
        <is>
          <t>Скидка в 1 кв. 2026 ф.г.*</t>
        </is>
      </c>
      <c r="G100" s="4" t="n">
        <v>3</v>
      </c>
      <c r="H100" s="4" t="n"/>
      <c r="I100" s="3" t="n"/>
      <c r="J100" s="4" t="n">
        <v>6</v>
      </c>
      <c r="K100" s="4" t="n"/>
      <c r="L100" s="4" t="n"/>
      <c r="M100" s="8" t="n">
        <v>0.15</v>
      </c>
      <c r="N100" s="4" t="inlineStr">
        <is>
          <t>%</t>
        </is>
      </c>
      <c r="O100" s="3" t="inlineStr">
        <is>
          <t>НоваПак</t>
        </is>
      </c>
      <c r="P100" s="3" t="inlineStr">
        <is>
          <t>I6</t>
        </is>
      </c>
      <c t="str" r="Q100" s="6">
        <f>A100&amp;"|"&amp;C100&amp;"|"&amp;D100&amp;"|"&amp;G100</f>
        <v>НоваПак|План|Оборудование|3</v>
      </c>
      <c t="str" r="R100" s="6">
        <f>A100&amp;"|"&amp;C100&amp;"|"&amp;D100&amp;"|"&amp;J100</f>
        <v>НоваПак|План|Оборудование|6</v>
      </c>
      <c t="str" r="S100" s="6">
        <f>A100&amp;"|"&amp;C100&amp;"|"&amp;D100&amp;"|"&amp;G100&amp;"|"&amp;J100</f>
        <v>НоваПак|План|Оборудование|3|6</v>
      </c>
      <c t="str" r="T100" s="6">
        <f>A100&amp;"|"&amp;C100&amp;"|"&amp;G100</f>
        <v>НоваПак|План|3</v>
      </c>
      <c t="str" r="U100" s="6">
        <f>IF(H100="да",A100&amp;"|"&amp;C100&amp;"|"&amp;D100&amp;"|"&amp;J100,"")</f>
        <v/>
      </c>
      <c t="str" r="V100" s="6">
        <f>IF(C100="План",A100&amp;"|"&amp;J100,"")</f>
        <v>НоваПак|6</v>
      </c>
    </row>
    <row r="101">
      <c r="A101" s="3" t="inlineStr">
        <is>
          <t>НоваПак</t>
        </is>
      </c>
      <c r="B101" s="3" t="inlineStr">
        <is>
          <t>РФ</t>
        </is>
      </c>
      <c r="C101" s="3" t="inlineStr">
        <is>
          <t>План</t>
        </is>
      </c>
      <c r="D101" s="3" t="inlineStr">
        <is>
          <t>Расходные материалы</t>
        </is>
      </c>
      <c r="E101" s="3" t="inlineStr">
        <is>
          <t>План и бонусы</t>
        </is>
      </c>
      <c r="F101" s="3" t="inlineStr">
        <is>
          <t>Выручка 2024</t>
        </is>
      </c>
      <c r="G101" s="4" t="n">
        <v>4</v>
      </c>
      <c r="H101" s="4" t="n"/>
      <c r="I101" s="3" t="n"/>
      <c r="J101" s="4" t="n">
        <v>1</v>
      </c>
      <c r="K101" s="4" t="n"/>
      <c r="L101" s="4" t="n"/>
      <c r="M101" s="5" t="n">
        <v>463084</v>
      </c>
      <c r="N101" s="4" t="inlineStr">
        <is>
          <t>EUR</t>
        </is>
      </c>
      <c r="O101" s="3" t="inlineStr">
        <is>
          <t>НоваПак</t>
        </is>
      </c>
      <c r="P101" s="3" t="inlineStr">
        <is>
          <t>D7</t>
        </is>
      </c>
      <c t="str" r="Q101" s="6">
        <f>A101&amp;"|"&amp;C101&amp;"|"&amp;D101&amp;"|"&amp;G101</f>
        <v>НоваПак|План|Расходные материалы|4</v>
      </c>
      <c t="str" r="R101" s="6">
        <f>A101&amp;"|"&amp;C101&amp;"|"&amp;D101&amp;"|"&amp;J101</f>
        <v>НоваПак|План|Расходные материалы|1</v>
      </c>
      <c t="str" r="S101" s="6">
        <f>A101&amp;"|"&amp;C101&amp;"|"&amp;D101&amp;"|"&amp;G101&amp;"|"&amp;J101</f>
        <v>НоваПак|План|Расходные материалы|4|1</v>
      </c>
      <c t="str" r="T101" s="6">
        <f>A101&amp;"|"&amp;C101&amp;"|"&amp;G101</f>
        <v>НоваПак|План|4</v>
      </c>
      <c t="str" r="U101" s="6">
        <f>IF(H101="да",A101&amp;"|"&amp;C101&amp;"|"&amp;D101&amp;"|"&amp;J101,"")</f>
        <v/>
      </c>
      <c t="str" r="V101" s="6">
        <f>IF(C101="План",A101&amp;"|"&amp;J101,"")</f>
        <v>НоваПак|1</v>
      </c>
    </row>
    <row r="102">
      <c r="A102" s="3" t="inlineStr">
        <is>
          <t>НоваПак</t>
        </is>
      </c>
      <c r="B102" s="3" t="inlineStr">
        <is>
          <t>РФ</t>
        </is>
      </c>
      <c r="C102" s="3" t="inlineStr">
        <is>
          <t>План</t>
        </is>
      </c>
      <c r="D102" s="3" t="inlineStr">
        <is>
          <t>Расходные материалы</t>
        </is>
      </c>
      <c r="E102" s="3" t="inlineStr">
        <is>
          <t>План и бонусы</t>
        </is>
      </c>
      <c r="F102" s="3" t="inlineStr">
        <is>
          <t>Выручка 2025</t>
        </is>
      </c>
      <c r="G102" s="4" t="n">
        <v>4</v>
      </c>
      <c r="H102" s="4" t="n"/>
      <c r="I102" s="3" t="n"/>
      <c r="J102" s="4" t="n">
        <v>2</v>
      </c>
      <c r="K102" s="4" t="n"/>
      <c r="L102" s="4" t="n"/>
      <c r="M102" s="5" t="n">
        <v>596137</v>
      </c>
      <c r="N102" s="4" t="inlineStr">
        <is>
          <t>EUR</t>
        </is>
      </c>
      <c r="O102" s="3" t="inlineStr">
        <is>
          <t>НоваПак</t>
        </is>
      </c>
      <c r="P102" s="3" t="inlineStr">
        <is>
          <t>E7</t>
        </is>
      </c>
      <c t="str" r="Q102" s="6">
        <f>A102&amp;"|"&amp;C102&amp;"|"&amp;D102&amp;"|"&amp;G102</f>
        <v>НоваПак|План|Расходные материалы|4</v>
      </c>
      <c t="str" r="R102" s="6">
        <f>A102&amp;"|"&amp;C102&amp;"|"&amp;D102&amp;"|"&amp;J102</f>
        <v>НоваПак|План|Расходные материалы|2</v>
      </c>
      <c t="str" r="S102" s="6">
        <f>A102&amp;"|"&amp;C102&amp;"|"&amp;D102&amp;"|"&amp;G102&amp;"|"&amp;J102</f>
        <v>НоваПак|План|Расходные материалы|4|2</v>
      </c>
      <c t="str" r="T102" s="6">
        <f>A102&amp;"|"&amp;C102&amp;"|"&amp;G102</f>
        <v>НоваПак|План|4</v>
      </c>
      <c t="str" r="U102" s="6">
        <f>IF(H102="да",A102&amp;"|"&amp;C102&amp;"|"&amp;D102&amp;"|"&amp;J102,"")</f>
        <v/>
      </c>
      <c t="str" r="V102" s="6">
        <f>IF(C102="План",A102&amp;"|"&amp;J102,"")</f>
        <v>НоваПак|2</v>
      </c>
    </row>
    <row r="103">
      <c r="A103" s="3" t="inlineStr">
        <is>
          <t>НоваПак</t>
        </is>
      </c>
      <c r="B103" s="3" t="inlineStr">
        <is>
          <t>РФ</t>
        </is>
      </c>
      <c r="C103" s="3" t="inlineStr">
        <is>
          <t>План</t>
        </is>
      </c>
      <c r="D103" s="3" t="inlineStr">
        <is>
          <t>Расходные материалы</t>
        </is>
      </c>
      <c r="E103" s="3" t="inlineStr">
        <is>
          <t>План и бонусы</t>
        </is>
      </c>
      <c r="F103" s="3" t="inlineStr">
        <is>
          <t>План 2026</t>
        </is>
      </c>
      <c r="G103" s="4" t="n">
        <v>4</v>
      </c>
      <c r="H103" s="4" t="n"/>
      <c r="I103" s="3" t="n"/>
      <c r="J103" s="4" t="n">
        <v>3</v>
      </c>
      <c r="K103" s="4" t="n"/>
      <c r="L103" s="4" t="n"/>
      <c r="M103" s="5" t="n">
        <v>660000</v>
      </c>
      <c r="N103" s="4" t="inlineStr">
        <is>
          <t>EUR</t>
        </is>
      </c>
      <c r="O103" s="3" t="inlineStr">
        <is>
          <t>НоваПак</t>
        </is>
      </c>
      <c r="P103" s="3" t="inlineStr">
        <is>
          <t>F7</t>
        </is>
      </c>
      <c t="str" r="Q103" s="6">
        <f>A103&amp;"|"&amp;C103&amp;"|"&amp;D103&amp;"|"&amp;G103</f>
        <v>НоваПак|План|Расходные материалы|4</v>
      </c>
      <c t="str" r="R103" s="6">
        <f>A103&amp;"|"&amp;C103&amp;"|"&amp;D103&amp;"|"&amp;J103</f>
        <v>НоваПак|План|Расходные материалы|3</v>
      </c>
      <c t="str" r="S103" s="6">
        <f>A103&amp;"|"&amp;C103&amp;"|"&amp;D103&amp;"|"&amp;G103&amp;"|"&amp;J103</f>
        <v>НоваПак|План|Расходные материалы|4|3</v>
      </c>
      <c t="str" r="T103" s="6">
        <f>A103&amp;"|"&amp;C103&amp;"|"&amp;G103</f>
        <v>НоваПак|План|4</v>
      </c>
      <c t="str" r="U103" s="6">
        <f>IF(H103="да",A103&amp;"|"&amp;C103&amp;"|"&amp;D103&amp;"|"&amp;J103,"")</f>
        <v/>
      </c>
      <c t="str" r="V103" s="6">
        <f>IF(C103="План",A103&amp;"|"&amp;J103,"")</f>
        <v>НоваПак|3</v>
      </c>
    </row>
    <row r="104">
      <c r="A104" s="3" t="inlineStr">
        <is>
          <t>НоваПак</t>
        </is>
      </c>
      <c r="B104" s="3" t="inlineStr">
        <is>
          <t>РФ</t>
        </is>
      </c>
      <c r="C104" s="3" t="inlineStr">
        <is>
          <t>План</t>
        </is>
      </c>
      <c r="D104" s="3" t="inlineStr">
        <is>
          <t>Расходные материалы</t>
        </is>
      </c>
      <c r="E104" s="3" t="inlineStr">
        <is>
          <t>План и бонусы</t>
        </is>
      </c>
      <c r="F104" s="3" t="inlineStr">
        <is>
          <t>Размер бонуса по итогам 2026 г</t>
        </is>
      </c>
      <c r="G104" s="4" t="n">
        <v>4</v>
      </c>
      <c r="H104" s="4" t="n"/>
      <c r="I104" s="3" t="n"/>
      <c r="J104" s="4" t="n">
        <v>5</v>
      </c>
      <c r="K104" s="4" t="n"/>
      <c r="L104" s="4" t="n"/>
      <c r="M104" s="7" t="n">
        <v>0.005</v>
      </c>
      <c r="N104" s="4" t="inlineStr">
        <is>
          <t>%</t>
        </is>
      </c>
      <c r="O104" s="3" t="inlineStr">
        <is>
          <t>НоваПак</t>
        </is>
      </c>
      <c r="P104" s="3" t="inlineStr">
        <is>
          <t>H7</t>
        </is>
      </c>
      <c t="str" r="Q104" s="6">
        <f>A104&amp;"|"&amp;C104&amp;"|"&amp;D104&amp;"|"&amp;G104</f>
        <v>НоваПак|План|Расходные материалы|4</v>
      </c>
      <c t="str" r="R104" s="6">
        <f>A104&amp;"|"&amp;C104&amp;"|"&amp;D104&amp;"|"&amp;J104</f>
        <v>НоваПак|План|Расходные материалы|5</v>
      </c>
      <c t="str" r="S104" s="6">
        <f>A104&amp;"|"&amp;C104&amp;"|"&amp;D104&amp;"|"&amp;G104&amp;"|"&amp;J104</f>
        <v>НоваПак|План|Расходные материалы|4|5</v>
      </c>
      <c t="str" r="T104" s="6">
        <f>A104&amp;"|"&amp;C104&amp;"|"&amp;G104</f>
        <v>НоваПак|План|4</v>
      </c>
      <c t="str" r="U104" s="6">
        <f>IF(H104="да",A104&amp;"|"&amp;C104&amp;"|"&amp;D104&amp;"|"&amp;J104,"")</f>
        <v/>
      </c>
      <c t="str" r="V104" s="6">
        <f>IF(C104="План",A104&amp;"|"&amp;J104,"")</f>
        <v>НоваПак|5</v>
      </c>
    </row>
    <row r="105">
      <c r="A105" s="3" t="inlineStr">
        <is>
          <t>НоваПак</t>
        </is>
      </c>
      <c r="B105" s="3" t="inlineStr">
        <is>
          <t>РФ</t>
        </is>
      </c>
      <c r="C105" s="3" t="inlineStr">
        <is>
          <t>План</t>
        </is>
      </c>
      <c r="D105" s="3" t="inlineStr">
        <is>
          <t>Расходные материалы</t>
        </is>
      </c>
      <c r="E105" s="3" t="inlineStr">
        <is>
          <t>План и бонусы</t>
        </is>
      </c>
      <c r="F105" s="3" t="inlineStr">
        <is>
          <t>Скидка в 1 кв. 2026 ф.г.*</t>
        </is>
      </c>
      <c r="G105" s="4" t="n">
        <v>4</v>
      </c>
      <c r="H105" s="4" t="n"/>
      <c r="I105" s="3" t="n"/>
      <c r="J105" s="4" t="n">
        <v>6</v>
      </c>
      <c r="K105" s="4" t="n"/>
      <c r="L105" s="4" t="n"/>
      <c r="M105" s="8" t="n">
        <v>0.02</v>
      </c>
      <c r="N105" s="4" t="inlineStr">
        <is>
          <t>%</t>
        </is>
      </c>
      <c r="O105" s="3" t="inlineStr">
        <is>
          <t>НоваПак</t>
        </is>
      </c>
      <c r="P105" s="3" t="inlineStr">
        <is>
          <t>I7</t>
        </is>
      </c>
      <c t="str" r="Q105" s="6">
        <f>A105&amp;"|"&amp;C105&amp;"|"&amp;D105&amp;"|"&amp;G105</f>
        <v>НоваПак|План|Расходные материалы|4</v>
      </c>
      <c t="str" r="R105" s="6">
        <f>A105&amp;"|"&amp;C105&amp;"|"&amp;D105&amp;"|"&amp;J105</f>
        <v>НоваПак|План|Расходные материалы|6</v>
      </c>
      <c t="str" r="S105" s="6">
        <f>A105&amp;"|"&amp;C105&amp;"|"&amp;D105&amp;"|"&amp;G105&amp;"|"&amp;J105</f>
        <v>НоваПак|План|Расходные материалы|4|6</v>
      </c>
      <c t="str" r="T105" s="6">
        <f>A105&amp;"|"&amp;C105&amp;"|"&amp;G105</f>
        <v>НоваПак|План|4</v>
      </c>
      <c t="str" r="U105" s="6">
        <f>IF(H105="да",A105&amp;"|"&amp;C105&amp;"|"&amp;D105&amp;"|"&amp;J105,"")</f>
        <v/>
      </c>
      <c t="str" r="V105" s="6">
        <f>IF(C105="План",A105&amp;"|"&amp;J105,"")</f>
        <v>НоваПак|6</v>
      </c>
    </row>
    <row r="106">
      <c r="A106" s="3" t="inlineStr">
        <is>
          <t>НоваПак</t>
        </is>
      </c>
      <c r="B106" s="3" t="inlineStr">
        <is>
          <t>РФ</t>
        </is>
      </c>
      <c r="C106" s="3" t="inlineStr">
        <is>
          <t>Шкала</t>
        </is>
      </c>
      <c r="D106" s="3" t="inlineStr">
        <is>
          <t>Оборудование</t>
        </is>
      </c>
      <c r="E106" s="3" t="inlineStr">
        <is>
          <t>Оборудование — за квартал</t>
        </is>
      </c>
      <c r="F106" s="3" t="inlineStr">
        <is>
          <t>1 Базовое вознаграждение за Дилерский договор</t>
        </is>
      </c>
      <c r="G106" s="4" t="n">
        <v>1</v>
      </c>
      <c r="H106" s="4" t="n"/>
      <c r="I106" s="3" t="inlineStr">
        <is>
          <t>до 75</t>
        </is>
      </c>
      <c r="J106" s="4" t="n">
        <v>1</v>
      </c>
      <c r="K106" s="4" t="n"/>
      <c r="L106" s="4" t="n"/>
      <c r="M106" s="8" t="n">
        <v>0.06</v>
      </c>
      <c r="N106" s="4" t="inlineStr">
        <is>
          <t>%</t>
        </is>
      </c>
      <c r="O106" s="3" t="inlineStr">
        <is>
          <t>НоваПак</t>
        </is>
      </c>
      <c r="P106" s="3" t="inlineStr">
        <is>
          <t>E13</t>
        </is>
      </c>
      <c t="str" r="Q106" s="6">
        <f>A106&amp;"|"&amp;C106&amp;"|"&amp;D106&amp;"|"&amp;G106</f>
        <v>НоваПак|Шкала|Оборудование|1</v>
      </c>
      <c t="str" r="R106" s="6">
        <f>A106&amp;"|"&amp;C106&amp;"|"&amp;D106&amp;"|"&amp;J106</f>
        <v>НоваПак|Шкала|Оборудование|1</v>
      </c>
      <c t="str" r="S106" s="6">
        <f>A106&amp;"|"&amp;C106&amp;"|"&amp;D106&amp;"|"&amp;G106&amp;"|"&amp;J106</f>
        <v>НоваПак|Шкала|Оборудование|1|1</v>
      </c>
      <c t="str" r="T106" s="6">
        <f>A106&amp;"|"&amp;C106&amp;"|"&amp;G106</f>
        <v>НоваПак|Шкала|1</v>
      </c>
      <c t="str" r="U106" s="6">
        <f>IF(H106="да",A106&amp;"|"&amp;C106&amp;"|"&amp;D106&amp;"|"&amp;J106,"")</f>
        <v/>
      </c>
      <c t="str" r="V106" s="6">
        <f>IF(C106="План",A106&amp;"|"&amp;J106,"")</f>
        <v/>
      </c>
    </row>
    <row r="107">
      <c r="A107" s="3" t="inlineStr">
        <is>
          <t>НоваПак</t>
        </is>
      </c>
      <c r="B107" s="3" t="inlineStr">
        <is>
          <t>РФ</t>
        </is>
      </c>
      <c r="C107" s="3" t="inlineStr">
        <is>
          <t>Шкала</t>
        </is>
      </c>
      <c r="D107" s="3" t="inlineStr">
        <is>
          <t>Оборудование</t>
        </is>
      </c>
      <c r="E107" s="3" t="inlineStr">
        <is>
          <t>Оборудование — за квартал</t>
        </is>
      </c>
      <c r="F107" s="3" t="inlineStr">
        <is>
          <t>1 Базовое вознаграждение за Дилерский договор</t>
        </is>
      </c>
      <c r="G107" s="4" t="n">
        <v>1</v>
      </c>
      <c r="H107" s="4" t="n"/>
      <c r="I107" s="3" t="inlineStr">
        <is>
          <t>75-114</t>
        </is>
      </c>
      <c r="J107" s="4" t="n">
        <v>2</v>
      </c>
      <c r="K107" s="4" t="n"/>
      <c r="L107" s="4" t="n"/>
      <c r="M107" s="8" t="n">
        <v>0.06</v>
      </c>
      <c r="N107" s="4" t="inlineStr">
        <is>
          <t>%</t>
        </is>
      </c>
      <c r="O107" s="3" t="inlineStr">
        <is>
          <t>НоваПак</t>
        </is>
      </c>
      <c r="P107" s="3" t="inlineStr">
        <is>
          <t>F13</t>
        </is>
      </c>
      <c t="str" r="Q107" s="6">
        <f>A107&amp;"|"&amp;C107&amp;"|"&amp;D107&amp;"|"&amp;G107</f>
        <v>НоваПак|Шкала|Оборудование|1</v>
      </c>
      <c t="str" r="R107" s="6">
        <f>A107&amp;"|"&amp;C107&amp;"|"&amp;D107&amp;"|"&amp;J107</f>
        <v>НоваПак|Шкала|Оборудование|2</v>
      </c>
      <c t="str" r="S107" s="6">
        <f>A107&amp;"|"&amp;C107&amp;"|"&amp;D107&amp;"|"&amp;G107&amp;"|"&amp;J107</f>
        <v>НоваПак|Шкала|Оборудование|1|2</v>
      </c>
      <c t="str" r="T107" s="6">
        <f>A107&amp;"|"&amp;C107&amp;"|"&amp;G107</f>
        <v>НоваПак|Шкала|1</v>
      </c>
      <c t="str" r="U107" s="6">
        <f>IF(H107="да",A107&amp;"|"&amp;C107&amp;"|"&amp;D107&amp;"|"&amp;J107,"")</f>
        <v/>
      </c>
      <c t="str" r="V107" s="6">
        <f>IF(C107="План",A107&amp;"|"&amp;J107,"")</f>
        <v/>
      </c>
    </row>
    <row r="108">
      <c r="A108" s="3" t="inlineStr">
        <is>
          <t>НоваПак</t>
        </is>
      </c>
      <c r="B108" s="3" t="inlineStr">
        <is>
          <t>РФ</t>
        </is>
      </c>
      <c r="C108" s="3" t="inlineStr">
        <is>
          <t>Шкала</t>
        </is>
      </c>
      <c r="D108" s="3" t="inlineStr">
        <is>
          <t>Оборудование</t>
        </is>
      </c>
      <c r="E108" s="3" t="inlineStr">
        <is>
          <t>Оборудование — за квартал</t>
        </is>
      </c>
      <c r="F108" s="3" t="inlineStr">
        <is>
          <t>1 Базовое вознаграждение за Дилерский договор</t>
        </is>
      </c>
      <c r="G108" s="4" t="n">
        <v>1</v>
      </c>
      <c r="H108" s="4" t="n"/>
      <c r="I108" s="3" t="inlineStr">
        <is>
          <t>115-149</t>
        </is>
      </c>
      <c r="J108" s="4" t="n">
        <v>3</v>
      </c>
      <c r="K108" s="4" t="n"/>
      <c r="L108" s="4" t="n"/>
      <c r="M108" s="8" t="n">
        <v>0.06</v>
      </c>
      <c r="N108" s="4" t="inlineStr">
        <is>
          <t>%</t>
        </is>
      </c>
      <c r="O108" s="3" t="inlineStr">
        <is>
          <t>НоваПак</t>
        </is>
      </c>
      <c r="P108" s="3" t="inlineStr">
        <is>
          <t>G13</t>
        </is>
      </c>
      <c t="str" r="Q108" s="6">
        <f>A108&amp;"|"&amp;C108&amp;"|"&amp;D108&amp;"|"&amp;G108</f>
        <v>НоваПак|Шкала|Оборудование|1</v>
      </c>
      <c t="str" r="R108" s="6">
        <f>A108&amp;"|"&amp;C108&amp;"|"&amp;D108&amp;"|"&amp;J108</f>
        <v>НоваПак|Шкала|Оборудование|3</v>
      </c>
      <c t="str" r="S108" s="6">
        <f>A108&amp;"|"&amp;C108&amp;"|"&amp;D108&amp;"|"&amp;G108&amp;"|"&amp;J108</f>
        <v>НоваПак|Шкала|Оборудование|1|3</v>
      </c>
      <c t="str" r="T108" s="6">
        <f>A108&amp;"|"&amp;C108&amp;"|"&amp;G108</f>
        <v>НоваПак|Шкала|1</v>
      </c>
      <c t="str" r="U108" s="6">
        <f>IF(H108="да",A108&amp;"|"&amp;C108&amp;"|"&amp;D108&amp;"|"&amp;J108,"")</f>
        <v/>
      </c>
      <c t="str" r="V108" s="6">
        <f>IF(C108="План",A108&amp;"|"&amp;J108,"")</f>
        <v/>
      </c>
    </row>
    <row r="109">
      <c r="A109" s="3" t="inlineStr">
        <is>
          <t>НоваПак</t>
        </is>
      </c>
      <c r="B109" s="3" t="inlineStr">
        <is>
          <t>РФ</t>
        </is>
      </c>
      <c r="C109" s="3" t="inlineStr">
        <is>
          <t>Шкала</t>
        </is>
      </c>
      <c r="D109" s="3" t="inlineStr">
        <is>
          <t>Оборудование</t>
        </is>
      </c>
      <c r="E109" s="3" t="inlineStr">
        <is>
          <t>Оборудование — за квартал</t>
        </is>
      </c>
      <c r="F109" s="3" t="inlineStr">
        <is>
          <t>1 Базовое вознаграждение за Дилерский договор</t>
        </is>
      </c>
      <c r="G109" s="4" t="n">
        <v>1</v>
      </c>
      <c r="H109" s="4" t="n"/>
      <c r="I109" s="3" t="inlineStr">
        <is>
          <t>150-189</t>
        </is>
      </c>
      <c r="J109" s="4" t="n">
        <v>4</v>
      </c>
      <c r="K109" s="4" t="n"/>
      <c r="L109" s="4" t="n"/>
      <c r="M109" s="8" t="n">
        <v>0.06</v>
      </c>
      <c r="N109" s="4" t="inlineStr">
        <is>
          <t>%</t>
        </is>
      </c>
      <c r="O109" s="3" t="inlineStr">
        <is>
          <t>НоваПак</t>
        </is>
      </c>
      <c r="P109" s="3" t="inlineStr">
        <is>
          <t>H13</t>
        </is>
      </c>
      <c t="str" r="Q109" s="6">
        <f>A109&amp;"|"&amp;C109&amp;"|"&amp;D109&amp;"|"&amp;G109</f>
        <v>НоваПак|Шкала|Оборудование|1</v>
      </c>
      <c t="str" r="R109" s="6">
        <f>A109&amp;"|"&amp;C109&amp;"|"&amp;D109&amp;"|"&amp;J109</f>
        <v>НоваПак|Шкала|Оборудование|4</v>
      </c>
      <c t="str" r="S109" s="6">
        <f>A109&amp;"|"&amp;C109&amp;"|"&amp;D109&amp;"|"&amp;G109&amp;"|"&amp;J109</f>
        <v>НоваПак|Шкала|Оборудование|1|4</v>
      </c>
      <c t="str" r="T109" s="6">
        <f>A109&amp;"|"&amp;C109&amp;"|"&amp;G109</f>
        <v>НоваПак|Шкала|1</v>
      </c>
      <c t="str" r="U109" s="6">
        <f>IF(H109="да",A109&amp;"|"&amp;C109&amp;"|"&amp;D109&amp;"|"&amp;J109,"")</f>
        <v/>
      </c>
      <c t="str" r="V109" s="6">
        <f>IF(C109="План",A109&amp;"|"&amp;J109,"")</f>
        <v/>
      </c>
    </row>
    <row r="110">
      <c r="A110" s="3" t="inlineStr">
        <is>
          <t>НоваПак</t>
        </is>
      </c>
      <c r="B110" s="3" t="inlineStr">
        <is>
          <t>РФ</t>
        </is>
      </c>
      <c r="C110" s="3" t="inlineStr">
        <is>
          <t>Шкала</t>
        </is>
      </c>
      <c r="D110" s="3" t="inlineStr">
        <is>
          <t>Оборудование</t>
        </is>
      </c>
      <c r="E110" s="3" t="inlineStr">
        <is>
          <t>Оборудование — за квартал</t>
        </is>
      </c>
      <c r="F110" s="3" t="inlineStr">
        <is>
          <t>1 Базовое вознаграждение за Дилерский договор</t>
        </is>
      </c>
      <c r="G110" s="4" t="n">
        <v>1</v>
      </c>
      <c r="H110" s="4" t="n"/>
      <c r="I110" s="3" t="inlineStr">
        <is>
          <t>190-224</t>
        </is>
      </c>
      <c r="J110" s="4" t="n">
        <v>5</v>
      </c>
      <c r="K110" s="4" t="n"/>
      <c r="L110" s="4" t="n"/>
      <c r="M110" s="8" t="n">
        <v>0.06</v>
      </c>
      <c r="N110" s="4" t="inlineStr">
        <is>
          <t>%</t>
        </is>
      </c>
      <c r="O110" s="3" t="inlineStr">
        <is>
          <t>НоваПак</t>
        </is>
      </c>
      <c r="P110" s="3" t="inlineStr">
        <is>
          <t>I13</t>
        </is>
      </c>
      <c t="str" r="Q110" s="6">
        <f>A110&amp;"|"&amp;C110&amp;"|"&amp;D110&amp;"|"&amp;G110</f>
        <v>НоваПак|Шкала|Оборудование|1</v>
      </c>
      <c t="str" r="R110" s="6">
        <f>A110&amp;"|"&amp;C110&amp;"|"&amp;D110&amp;"|"&amp;J110</f>
        <v>НоваПак|Шкала|Оборудование|5</v>
      </c>
      <c t="str" r="S110" s="6">
        <f>A110&amp;"|"&amp;C110&amp;"|"&amp;D110&amp;"|"&amp;G110&amp;"|"&amp;J110</f>
        <v>НоваПак|Шкала|Оборудование|1|5</v>
      </c>
      <c t="str" r="T110" s="6">
        <f>A110&amp;"|"&amp;C110&amp;"|"&amp;G110</f>
        <v>НоваПак|Шкала|1</v>
      </c>
      <c t="str" r="U110" s="6">
        <f>IF(H110="да",A110&amp;"|"&amp;C110&amp;"|"&amp;D110&amp;"|"&amp;J110,"")</f>
        <v/>
      </c>
      <c t="str" r="V110" s="6">
        <f>IF(C110="План",A110&amp;"|"&amp;J110,"")</f>
        <v/>
      </c>
    </row>
    <row r="111">
      <c r="A111" s="3" t="inlineStr">
        <is>
          <t>НоваПак</t>
        </is>
      </c>
      <c r="B111" s="3" t="inlineStr">
        <is>
          <t>РФ</t>
        </is>
      </c>
      <c r="C111" s="3" t="inlineStr">
        <is>
          <t>Шкала</t>
        </is>
      </c>
      <c r="D111" s="3" t="inlineStr">
        <is>
          <t>Оборудование</t>
        </is>
      </c>
      <c r="E111" s="3" t="inlineStr">
        <is>
          <t>Оборудование — за квартал</t>
        </is>
      </c>
      <c r="F111" s="3" t="inlineStr">
        <is>
          <t>1 Базовое вознаграждение за Дилерский договор</t>
        </is>
      </c>
      <c r="G111" s="4" t="n">
        <v>1</v>
      </c>
      <c r="H111" s="4" t="n"/>
      <c r="I111" s="3" t="inlineStr">
        <is>
          <t>225 и более</t>
        </is>
      </c>
      <c r="J111" s="4" t="n">
        <v>6</v>
      </c>
      <c r="K111" s="4" t="n"/>
      <c r="L111" s="4" t="n"/>
      <c r="M111" s="8" t="n">
        <v>0.06</v>
      </c>
      <c r="N111" s="4" t="inlineStr">
        <is>
          <t>%</t>
        </is>
      </c>
      <c r="O111" s="3" t="inlineStr">
        <is>
          <t>НоваПак</t>
        </is>
      </c>
      <c r="P111" s="3" t="inlineStr">
        <is>
          <t>J13</t>
        </is>
      </c>
      <c t="str" r="Q111" s="6">
        <f>A111&amp;"|"&amp;C111&amp;"|"&amp;D111&amp;"|"&amp;G111</f>
        <v>НоваПак|Шкала|Оборудование|1</v>
      </c>
      <c t="str" r="R111" s="6">
        <f>A111&amp;"|"&amp;C111&amp;"|"&amp;D111&amp;"|"&amp;J111</f>
        <v>НоваПак|Шкала|Оборудование|6</v>
      </c>
      <c t="str" r="S111" s="6">
        <f>A111&amp;"|"&amp;C111&amp;"|"&amp;D111&amp;"|"&amp;G111&amp;"|"&amp;J111</f>
        <v>НоваПак|Шкала|Оборудование|1|6</v>
      </c>
      <c t="str" r="T111" s="6">
        <f>A111&amp;"|"&amp;C111&amp;"|"&amp;G111</f>
        <v>НоваПак|Шкала|1</v>
      </c>
      <c t="str" r="U111" s="6">
        <f>IF(H111="да",A111&amp;"|"&amp;C111&amp;"|"&amp;D111&amp;"|"&amp;J111,"")</f>
        <v/>
      </c>
      <c t="str" r="V111" s="6">
        <f>IF(C111="План",A111&amp;"|"&amp;J111,"")</f>
        <v/>
      </c>
    </row>
    <row r="112">
      <c r="A112" s="3" t="inlineStr">
        <is>
          <t>НоваПак</t>
        </is>
      </c>
      <c r="B112" s="3" t="inlineStr">
        <is>
          <t>РФ</t>
        </is>
      </c>
      <c r="C112" s="3" t="inlineStr">
        <is>
          <t>Шкала</t>
        </is>
      </c>
      <c r="D112" s="3" t="inlineStr">
        <is>
          <t>Оборудование</t>
        </is>
      </c>
      <c r="E112" s="3" t="inlineStr">
        <is>
          <t>Оборудование — за квартал</t>
        </is>
      </c>
      <c r="F112" s="3" t="inlineStr">
        <is>
          <t>2.1.1. Сервисный центр</t>
        </is>
      </c>
      <c r="G112" s="4" t="n">
        <v>2</v>
      </c>
      <c r="H112" s="4" t="n"/>
      <c r="I112" s="3" t="inlineStr">
        <is>
          <t>до 75</t>
        </is>
      </c>
      <c r="J112" s="4" t="n">
        <v>1</v>
      </c>
      <c r="K112" s="4" t="n"/>
      <c r="L112" s="4" t="n"/>
      <c r="M112" s="8" t="n">
        <v>0.06</v>
      </c>
      <c r="N112" s="4" t="inlineStr">
        <is>
          <t>%</t>
        </is>
      </c>
      <c r="O112" s="3" t="inlineStr">
        <is>
          <t>НоваПак</t>
        </is>
      </c>
      <c r="P112" s="3" t="inlineStr">
        <is>
          <t>E14</t>
        </is>
      </c>
      <c t="str" r="Q112" s="6">
        <f>A112&amp;"|"&amp;C112&amp;"|"&amp;D112&amp;"|"&amp;G112</f>
        <v>НоваПак|Шкала|Оборудование|2</v>
      </c>
      <c t="str" r="R112" s="6">
        <f>A112&amp;"|"&amp;C112&amp;"|"&amp;D112&amp;"|"&amp;J112</f>
        <v>НоваПак|Шкала|Оборудование|1</v>
      </c>
      <c t="str" r="S112" s="6">
        <f>A112&amp;"|"&amp;C112&amp;"|"&amp;D112&amp;"|"&amp;G112&amp;"|"&amp;J112</f>
        <v>НоваПак|Шкала|Оборудование|2|1</v>
      </c>
      <c t="str" r="T112" s="6">
        <f>A112&amp;"|"&amp;C112&amp;"|"&amp;G112</f>
        <v>НоваПак|Шкала|2</v>
      </c>
      <c t="str" r="U112" s="6">
        <f>IF(H112="да",A112&amp;"|"&amp;C112&amp;"|"&amp;D112&amp;"|"&amp;J112,"")</f>
        <v/>
      </c>
      <c t="str" r="V112" s="6">
        <f>IF(C112="План",A112&amp;"|"&amp;J112,"")</f>
        <v/>
      </c>
    </row>
    <row r="113">
      <c r="A113" s="3" t="inlineStr">
        <is>
          <t>НоваПак</t>
        </is>
      </c>
      <c r="B113" s="3" t="inlineStr">
        <is>
          <t>РФ</t>
        </is>
      </c>
      <c r="C113" s="3" t="inlineStr">
        <is>
          <t>Шкала</t>
        </is>
      </c>
      <c r="D113" s="3" t="inlineStr">
        <is>
          <t>Оборудование</t>
        </is>
      </c>
      <c r="E113" s="3" t="inlineStr">
        <is>
          <t>Оборудование — за квартал</t>
        </is>
      </c>
      <c r="F113" s="3" t="inlineStr">
        <is>
          <t>2.1.1. Сервисный центр</t>
        </is>
      </c>
      <c r="G113" s="4" t="n">
        <v>2</v>
      </c>
      <c r="H113" s="4" t="n"/>
      <c r="I113" s="3" t="inlineStr">
        <is>
          <t>75-114</t>
        </is>
      </c>
      <c r="J113" s="4" t="n">
        <v>2</v>
      </c>
      <c r="K113" s="4" t="n"/>
      <c r="L113" s="4" t="n"/>
      <c r="M113" s="8" t="n">
        <v>0.06</v>
      </c>
      <c r="N113" s="4" t="inlineStr">
        <is>
          <t>%</t>
        </is>
      </c>
      <c r="O113" s="3" t="inlineStr">
        <is>
          <t>НоваПак</t>
        </is>
      </c>
      <c r="P113" s="3" t="inlineStr">
        <is>
          <t>F14</t>
        </is>
      </c>
      <c t="str" r="Q113" s="6">
        <f>A113&amp;"|"&amp;C113&amp;"|"&amp;D113&amp;"|"&amp;G113</f>
        <v>НоваПак|Шкала|Оборудование|2</v>
      </c>
      <c t="str" r="R113" s="6">
        <f>A113&amp;"|"&amp;C113&amp;"|"&amp;D113&amp;"|"&amp;J113</f>
        <v>НоваПак|Шкала|Оборудование|2</v>
      </c>
      <c t="str" r="S113" s="6">
        <f>A113&amp;"|"&amp;C113&amp;"|"&amp;D113&amp;"|"&amp;G113&amp;"|"&amp;J113</f>
        <v>НоваПак|Шкала|Оборудование|2|2</v>
      </c>
      <c t="str" r="T113" s="6">
        <f>A113&amp;"|"&amp;C113&amp;"|"&amp;G113</f>
        <v>НоваПак|Шкала|2</v>
      </c>
      <c t="str" r="U113" s="6">
        <f>IF(H113="да",A113&amp;"|"&amp;C113&amp;"|"&amp;D113&amp;"|"&amp;J113,"")</f>
        <v/>
      </c>
      <c t="str" r="V113" s="6">
        <f>IF(C113="План",A113&amp;"|"&amp;J113,"")</f>
        <v/>
      </c>
    </row>
    <row r="114">
      <c r="A114" s="3" t="inlineStr">
        <is>
          <t>НоваПак</t>
        </is>
      </c>
      <c r="B114" s="3" t="inlineStr">
        <is>
          <t>РФ</t>
        </is>
      </c>
      <c r="C114" s="3" t="inlineStr">
        <is>
          <t>Шкала</t>
        </is>
      </c>
      <c r="D114" s="3" t="inlineStr">
        <is>
          <t>Оборудование</t>
        </is>
      </c>
      <c r="E114" s="3" t="inlineStr">
        <is>
          <t>Оборудование — за квартал</t>
        </is>
      </c>
      <c r="F114" s="3" t="inlineStr">
        <is>
          <t>2.1.1. Сервисный центр</t>
        </is>
      </c>
      <c r="G114" s="4" t="n">
        <v>2</v>
      </c>
      <c r="H114" s="4" t="n"/>
      <c r="I114" s="3" t="inlineStr">
        <is>
          <t>115-149</t>
        </is>
      </c>
      <c r="J114" s="4" t="n">
        <v>3</v>
      </c>
      <c r="K114" s="4" t="n"/>
      <c r="L114" s="4" t="n"/>
      <c r="M114" s="8" t="n">
        <v>0.06</v>
      </c>
      <c r="N114" s="4" t="inlineStr">
        <is>
          <t>%</t>
        </is>
      </c>
      <c r="O114" s="3" t="inlineStr">
        <is>
          <t>НоваПак</t>
        </is>
      </c>
      <c r="P114" s="3" t="inlineStr">
        <is>
          <t>G14</t>
        </is>
      </c>
      <c t="str" r="Q114" s="6">
        <f>A114&amp;"|"&amp;C114&amp;"|"&amp;D114&amp;"|"&amp;G114</f>
        <v>НоваПак|Шкала|Оборудование|2</v>
      </c>
      <c t="str" r="R114" s="6">
        <f>A114&amp;"|"&amp;C114&amp;"|"&amp;D114&amp;"|"&amp;J114</f>
        <v>НоваПак|Шкала|Оборудование|3</v>
      </c>
      <c t="str" r="S114" s="6">
        <f>A114&amp;"|"&amp;C114&amp;"|"&amp;D114&amp;"|"&amp;G114&amp;"|"&amp;J114</f>
        <v>НоваПак|Шкала|Оборудование|2|3</v>
      </c>
      <c t="str" r="T114" s="6">
        <f>A114&amp;"|"&amp;C114&amp;"|"&amp;G114</f>
        <v>НоваПак|Шкала|2</v>
      </c>
      <c t="str" r="U114" s="6">
        <f>IF(H114="да",A114&amp;"|"&amp;C114&amp;"|"&amp;D114&amp;"|"&amp;J114,"")</f>
        <v/>
      </c>
      <c t="str" r="V114" s="6">
        <f>IF(C114="План",A114&amp;"|"&amp;J114,"")</f>
        <v/>
      </c>
    </row>
    <row r="115">
      <c r="A115" s="3" t="inlineStr">
        <is>
          <t>НоваПак</t>
        </is>
      </c>
      <c r="B115" s="3" t="inlineStr">
        <is>
          <t>РФ</t>
        </is>
      </c>
      <c r="C115" s="3" t="inlineStr">
        <is>
          <t>Шкала</t>
        </is>
      </c>
      <c r="D115" s="3" t="inlineStr">
        <is>
          <t>Оборудование</t>
        </is>
      </c>
      <c r="E115" s="3" t="inlineStr">
        <is>
          <t>Оборудование — за квартал</t>
        </is>
      </c>
      <c r="F115" s="3" t="inlineStr">
        <is>
          <t>2.1.1. Сервисный центр</t>
        </is>
      </c>
      <c r="G115" s="4" t="n">
        <v>2</v>
      </c>
      <c r="H115" s="4" t="n"/>
      <c r="I115" s="3" t="inlineStr">
        <is>
          <t>150-189</t>
        </is>
      </c>
      <c r="J115" s="4" t="n">
        <v>4</v>
      </c>
      <c r="K115" s="4" t="n"/>
      <c r="L115" s="4" t="n"/>
      <c r="M115" s="8" t="n">
        <v>0.06</v>
      </c>
      <c r="N115" s="4" t="inlineStr">
        <is>
          <t>%</t>
        </is>
      </c>
      <c r="O115" s="3" t="inlineStr">
        <is>
          <t>НоваПак</t>
        </is>
      </c>
      <c r="P115" s="3" t="inlineStr">
        <is>
          <t>H14</t>
        </is>
      </c>
      <c t="str" r="Q115" s="6">
        <f>A115&amp;"|"&amp;C115&amp;"|"&amp;D115&amp;"|"&amp;G115</f>
        <v>НоваПак|Шкала|Оборудование|2</v>
      </c>
      <c t="str" r="R115" s="6">
        <f>A115&amp;"|"&amp;C115&amp;"|"&amp;D115&amp;"|"&amp;J115</f>
        <v>НоваПак|Шкала|Оборудование|4</v>
      </c>
      <c t="str" r="S115" s="6">
        <f>A115&amp;"|"&amp;C115&amp;"|"&amp;D115&amp;"|"&amp;G115&amp;"|"&amp;J115</f>
        <v>НоваПак|Шкала|Оборудование|2|4</v>
      </c>
      <c t="str" r="T115" s="6">
        <f>A115&amp;"|"&amp;C115&amp;"|"&amp;G115</f>
        <v>НоваПак|Шкала|2</v>
      </c>
      <c t="str" r="U115" s="6">
        <f>IF(H115="да",A115&amp;"|"&amp;C115&amp;"|"&amp;D115&amp;"|"&amp;J115,"")</f>
        <v/>
      </c>
      <c t="str" r="V115" s="6">
        <f>IF(C115="План",A115&amp;"|"&amp;J115,"")</f>
        <v/>
      </c>
    </row>
    <row r="116">
      <c r="A116" s="3" t="inlineStr">
        <is>
          <t>НоваПак</t>
        </is>
      </c>
      <c r="B116" s="3" t="inlineStr">
        <is>
          <t>РФ</t>
        </is>
      </c>
      <c r="C116" s="3" t="inlineStr">
        <is>
          <t>Шкала</t>
        </is>
      </c>
      <c r="D116" s="3" t="inlineStr">
        <is>
          <t>Оборудование</t>
        </is>
      </c>
      <c r="E116" s="3" t="inlineStr">
        <is>
          <t>Оборудование — за квартал</t>
        </is>
      </c>
      <c r="F116" s="3" t="inlineStr">
        <is>
          <t>2.1.1. Сервисный центр</t>
        </is>
      </c>
      <c r="G116" s="4" t="n">
        <v>2</v>
      </c>
      <c r="H116" s="4" t="n"/>
      <c r="I116" s="3" t="inlineStr">
        <is>
          <t>190-224</t>
        </is>
      </c>
      <c r="J116" s="4" t="n">
        <v>5</v>
      </c>
      <c r="K116" s="4" t="n"/>
      <c r="L116" s="4" t="n"/>
      <c r="M116" s="8" t="n">
        <v>0.06</v>
      </c>
      <c r="N116" s="4" t="inlineStr">
        <is>
          <t>%</t>
        </is>
      </c>
      <c r="O116" s="3" t="inlineStr">
        <is>
          <t>НоваПак</t>
        </is>
      </c>
      <c r="P116" s="3" t="inlineStr">
        <is>
          <t>I14</t>
        </is>
      </c>
      <c t="str" r="Q116" s="6">
        <f>A116&amp;"|"&amp;C116&amp;"|"&amp;D116&amp;"|"&amp;G116</f>
        <v>НоваПак|Шкала|Оборудование|2</v>
      </c>
      <c t="str" r="R116" s="6">
        <f>A116&amp;"|"&amp;C116&amp;"|"&amp;D116&amp;"|"&amp;J116</f>
        <v>НоваПак|Шкала|Оборудование|5</v>
      </c>
      <c t="str" r="S116" s="6">
        <f>A116&amp;"|"&amp;C116&amp;"|"&amp;D116&amp;"|"&amp;G116&amp;"|"&amp;J116</f>
        <v>НоваПак|Шкала|Оборудование|2|5</v>
      </c>
      <c t="str" r="T116" s="6">
        <f>A116&amp;"|"&amp;C116&amp;"|"&amp;G116</f>
        <v>НоваПак|Шкала|2</v>
      </c>
      <c t="str" r="U116" s="6">
        <f>IF(H116="да",A116&amp;"|"&amp;C116&amp;"|"&amp;D116&amp;"|"&amp;J116,"")</f>
        <v/>
      </c>
      <c t="str" r="V116" s="6">
        <f>IF(C116="План",A116&amp;"|"&amp;J116,"")</f>
        <v/>
      </c>
    </row>
    <row r="117">
      <c r="A117" s="3" t="inlineStr">
        <is>
          <t>НоваПак</t>
        </is>
      </c>
      <c r="B117" s="3" t="inlineStr">
        <is>
          <t>РФ</t>
        </is>
      </c>
      <c r="C117" s="3" t="inlineStr">
        <is>
          <t>Шкала</t>
        </is>
      </c>
      <c r="D117" s="3" t="inlineStr">
        <is>
          <t>Оборудование</t>
        </is>
      </c>
      <c r="E117" s="3" t="inlineStr">
        <is>
          <t>Оборудование — за квартал</t>
        </is>
      </c>
      <c r="F117" s="3" t="inlineStr">
        <is>
          <t>2.1.1. Сервисный центр</t>
        </is>
      </c>
      <c r="G117" s="4" t="n">
        <v>2</v>
      </c>
      <c r="H117" s="4" t="n"/>
      <c r="I117" s="3" t="inlineStr">
        <is>
          <t>225 и более</t>
        </is>
      </c>
      <c r="J117" s="4" t="n">
        <v>6</v>
      </c>
      <c r="K117" s="4" t="n"/>
      <c r="L117" s="4" t="n"/>
      <c r="M117" s="8" t="n">
        <v>0.06</v>
      </c>
      <c r="N117" s="4" t="inlineStr">
        <is>
          <t>%</t>
        </is>
      </c>
      <c r="O117" s="3" t="inlineStr">
        <is>
          <t>НоваПак</t>
        </is>
      </c>
      <c r="P117" s="3" t="inlineStr">
        <is>
          <t>J14</t>
        </is>
      </c>
      <c t="str" r="Q117" s="6">
        <f>A117&amp;"|"&amp;C117&amp;"|"&amp;D117&amp;"|"&amp;G117</f>
        <v>НоваПак|Шкала|Оборудование|2</v>
      </c>
      <c t="str" r="R117" s="6">
        <f>A117&amp;"|"&amp;C117&amp;"|"&amp;D117&amp;"|"&amp;J117</f>
        <v>НоваПак|Шкала|Оборудование|6</v>
      </c>
      <c t="str" r="S117" s="6">
        <f>A117&amp;"|"&amp;C117&amp;"|"&amp;D117&amp;"|"&amp;G117&amp;"|"&amp;J117</f>
        <v>НоваПак|Шкала|Оборудование|2|6</v>
      </c>
      <c t="str" r="T117" s="6">
        <f>A117&amp;"|"&amp;C117&amp;"|"&amp;G117</f>
        <v>НоваПак|Шкала|2</v>
      </c>
      <c t="str" r="U117" s="6">
        <f>IF(H117="да",A117&amp;"|"&amp;C117&amp;"|"&amp;D117&amp;"|"&amp;J117,"")</f>
        <v/>
      </c>
      <c t="str" r="V117" s="6">
        <f>IF(C117="План",A117&amp;"|"&amp;J117,"")</f>
        <v/>
      </c>
    </row>
    <row r="118">
      <c r="A118" s="3" t="inlineStr">
        <is>
          <t>НоваПак</t>
        </is>
      </c>
      <c r="B118" s="3" t="inlineStr">
        <is>
          <t>РФ</t>
        </is>
      </c>
      <c r="C118" s="3" t="inlineStr">
        <is>
          <t>Шкала</t>
        </is>
      </c>
      <c r="D118" s="3" t="inlineStr">
        <is>
          <t>Оборудование</t>
        </is>
      </c>
      <c r="E118" s="3" t="inlineStr">
        <is>
          <t>Оборудование — за квартал</t>
        </is>
      </c>
      <c r="F118" s="3" t="inlineStr">
        <is>
          <t>2.1.2. Сервисный центр - гарантийное обслуживание</t>
        </is>
      </c>
      <c r="G118" s="4" t="n">
        <v>3</v>
      </c>
      <c r="H118" s="4" t="n"/>
      <c r="I118" s="3" t="inlineStr">
        <is>
          <t>до 75</t>
        </is>
      </c>
      <c r="J118" s="4" t="n">
        <v>1</v>
      </c>
      <c r="K118" s="4" t="n"/>
      <c r="L118" s="4" t="n"/>
      <c r="M118" s="8" t="n">
        <v>0.01</v>
      </c>
      <c r="N118" s="4" t="inlineStr">
        <is>
          <t>%</t>
        </is>
      </c>
      <c r="O118" s="3" t="inlineStr">
        <is>
          <t>НоваПак</t>
        </is>
      </c>
      <c r="P118" s="3" t="inlineStr">
        <is>
          <t>E15</t>
        </is>
      </c>
      <c t="str" r="Q118" s="6">
        <f>A118&amp;"|"&amp;C118&amp;"|"&amp;D118&amp;"|"&amp;G118</f>
        <v>НоваПак|Шкала|Оборудование|3</v>
      </c>
      <c t="str" r="R118" s="6">
        <f>A118&amp;"|"&amp;C118&amp;"|"&amp;D118&amp;"|"&amp;J118</f>
        <v>НоваПак|Шкала|Оборудование|1</v>
      </c>
      <c t="str" r="S118" s="6">
        <f>A118&amp;"|"&amp;C118&amp;"|"&amp;D118&amp;"|"&amp;G118&amp;"|"&amp;J118</f>
        <v>НоваПак|Шкала|Оборудование|3|1</v>
      </c>
      <c t="str" r="T118" s="6">
        <f>A118&amp;"|"&amp;C118&amp;"|"&amp;G118</f>
        <v>НоваПак|Шкала|3</v>
      </c>
      <c t="str" r="U118" s="6">
        <f>IF(H118="да",A118&amp;"|"&amp;C118&amp;"|"&amp;D118&amp;"|"&amp;J118,"")</f>
        <v/>
      </c>
      <c t="str" r="V118" s="6">
        <f>IF(C118="План",A118&amp;"|"&amp;J118,"")</f>
        <v/>
      </c>
    </row>
    <row r="119">
      <c r="A119" s="3" t="inlineStr">
        <is>
          <t>НоваПак</t>
        </is>
      </c>
      <c r="B119" s="3" t="inlineStr">
        <is>
          <t>РФ</t>
        </is>
      </c>
      <c r="C119" s="3" t="inlineStr">
        <is>
          <t>Шкала</t>
        </is>
      </c>
      <c r="D119" s="3" t="inlineStr">
        <is>
          <t>Оборудование</t>
        </is>
      </c>
      <c r="E119" s="3" t="inlineStr">
        <is>
          <t>Оборудование — за квартал</t>
        </is>
      </c>
      <c r="F119" s="3" t="inlineStr">
        <is>
          <t>2.1.2. Сервисный центр - гарантийное обслуживание</t>
        </is>
      </c>
      <c r="G119" s="4" t="n">
        <v>3</v>
      </c>
      <c r="H119" s="4" t="n"/>
      <c r="I119" s="3" t="inlineStr">
        <is>
          <t>75-114</t>
        </is>
      </c>
      <c r="J119" s="4" t="n">
        <v>2</v>
      </c>
      <c r="K119" s="4" t="n"/>
      <c r="L119" s="4" t="n"/>
      <c r="M119" s="8" t="n">
        <v>0.01</v>
      </c>
      <c r="N119" s="4" t="inlineStr">
        <is>
          <t>%</t>
        </is>
      </c>
      <c r="O119" s="3" t="inlineStr">
        <is>
          <t>НоваПак</t>
        </is>
      </c>
      <c r="P119" s="3" t="inlineStr">
        <is>
          <t>F15</t>
        </is>
      </c>
      <c t="str" r="Q119" s="6">
        <f>A119&amp;"|"&amp;C119&amp;"|"&amp;D119&amp;"|"&amp;G119</f>
        <v>НоваПак|Шкала|Оборудование|3</v>
      </c>
      <c t="str" r="R119" s="6">
        <f>A119&amp;"|"&amp;C119&amp;"|"&amp;D119&amp;"|"&amp;J119</f>
        <v>НоваПак|Шкала|Оборудование|2</v>
      </c>
      <c t="str" r="S119" s="6">
        <f>A119&amp;"|"&amp;C119&amp;"|"&amp;D119&amp;"|"&amp;G119&amp;"|"&amp;J119</f>
        <v>НоваПак|Шкала|Оборудование|3|2</v>
      </c>
      <c t="str" r="T119" s="6">
        <f>A119&amp;"|"&amp;C119&amp;"|"&amp;G119</f>
        <v>НоваПак|Шкала|3</v>
      </c>
      <c t="str" r="U119" s="6">
        <f>IF(H119="да",A119&amp;"|"&amp;C119&amp;"|"&amp;D119&amp;"|"&amp;J119,"")</f>
        <v/>
      </c>
      <c t="str" r="V119" s="6">
        <f>IF(C119="План",A119&amp;"|"&amp;J119,"")</f>
        <v/>
      </c>
    </row>
    <row r="120">
      <c r="A120" s="3" t="inlineStr">
        <is>
          <t>НоваПак</t>
        </is>
      </c>
      <c r="B120" s="3" t="inlineStr">
        <is>
          <t>РФ</t>
        </is>
      </c>
      <c r="C120" s="3" t="inlineStr">
        <is>
          <t>Шкала</t>
        </is>
      </c>
      <c r="D120" s="3" t="inlineStr">
        <is>
          <t>Оборудование</t>
        </is>
      </c>
      <c r="E120" s="3" t="inlineStr">
        <is>
          <t>Оборудование — за квартал</t>
        </is>
      </c>
      <c r="F120" s="3" t="inlineStr">
        <is>
          <t>2.1.2. Сервисный центр - гарантийное обслуживание</t>
        </is>
      </c>
      <c r="G120" s="4" t="n">
        <v>3</v>
      </c>
      <c r="H120" s="4" t="n"/>
      <c r="I120" s="3" t="inlineStr">
        <is>
          <t>115-149</t>
        </is>
      </c>
      <c r="J120" s="4" t="n">
        <v>3</v>
      </c>
      <c r="K120" s="4" t="n"/>
      <c r="L120" s="4" t="n"/>
      <c r="M120" s="8" t="n">
        <v>0.01</v>
      </c>
      <c r="N120" s="4" t="inlineStr">
        <is>
          <t>%</t>
        </is>
      </c>
      <c r="O120" s="3" t="inlineStr">
        <is>
          <t>НоваПак</t>
        </is>
      </c>
      <c r="P120" s="3" t="inlineStr">
        <is>
          <t>G15</t>
        </is>
      </c>
      <c t="str" r="Q120" s="6">
        <f>A120&amp;"|"&amp;C120&amp;"|"&amp;D120&amp;"|"&amp;G120</f>
        <v>НоваПак|Шкала|Оборудование|3</v>
      </c>
      <c t="str" r="R120" s="6">
        <f>A120&amp;"|"&amp;C120&amp;"|"&amp;D120&amp;"|"&amp;J120</f>
        <v>НоваПак|Шкала|Оборудование|3</v>
      </c>
      <c t="str" r="S120" s="6">
        <f>A120&amp;"|"&amp;C120&amp;"|"&amp;D120&amp;"|"&amp;G120&amp;"|"&amp;J120</f>
        <v>НоваПак|Шкала|Оборудование|3|3</v>
      </c>
      <c t="str" r="T120" s="6">
        <f>A120&amp;"|"&amp;C120&amp;"|"&amp;G120</f>
        <v>НоваПак|Шкала|3</v>
      </c>
      <c t="str" r="U120" s="6">
        <f>IF(H120="да",A120&amp;"|"&amp;C120&amp;"|"&amp;D120&amp;"|"&amp;J120,"")</f>
        <v/>
      </c>
      <c t="str" r="V120" s="6">
        <f>IF(C120="План",A120&amp;"|"&amp;J120,"")</f>
        <v/>
      </c>
    </row>
    <row r="121">
      <c r="A121" s="3" t="inlineStr">
        <is>
          <t>НоваПак</t>
        </is>
      </c>
      <c r="B121" s="3" t="inlineStr">
        <is>
          <t>РФ</t>
        </is>
      </c>
      <c r="C121" s="3" t="inlineStr">
        <is>
          <t>Шкала</t>
        </is>
      </c>
      <c r="D121" s="3" t="inlineStr">
        <is>
          <t>Оборудование</t>
        </is>
      </c>
      <c r="E121" s="3" t="inlineStr">
        <is>
          <t>Оборудование — за квартал</t>
        </is>
      </c>
      <c r="F121" s="3" t="inlineStr">
        <is>
          <t>2.1.2. Сервисный центр - гарантийное обслуживание</t>
        </is>
      </c>
      <c r="G121" s="4" t="n">
        <v>3</v>
      </c>
      <c r="H121" s="4" t="n"/>
      <c r="I121" s="3" t="inlineStr">
        <is>
          <t>150-189</t>
        </is>
      </c>
      <c r="J121" s="4" t="n">
        <v>4</v>
      </c>
      <c r="K121" s="4" t="n"/>
      <c r="L121" s="4" t="n"/>
      <c r="M121" s="8" t="n">
        <v>0.01</v>
      </c>
      <c r="N121" s="4" t="inlineStr">
        <is>
          <t>%</t>
        </is>
      </c>
      <c r="O121" s="3" t="inlineStr">
        <is>
          <t>НоваПак</t>
        </is>
      </c>
      <c r="P121" s="3" t="inlineStr">
        <is>
          <t>H15</t>
        </is>
      </c>
      <c t="str" r="Q121" s="6">
        <f>A121&amp;"|"&amp;C121&amp;"|"&amp;D121&amp;"|"&amp;G121</f>
        <v>НоваПак|Шкала|Оборудование|3</v>
      </c>
      <c t="str" r="R121" s="6">
        <f>A121&amp;"|"&amp;C121&amp;"|"&amp;D121&amp;"|"&amp;J121</f>
        <v>НоваПак|Шкала|Оборудование|4</v>
      </c>
      <c t="str" r="S121" s="6">
        <f>A121&amp;"|"&amp;C121&amp;"|"&amp;D121&amp;"|"&amp;G121&amp;"|"&amp;J121</f>
        <v>НоваПак|Шкала|Оборудование|3|4</v>
      </c>
      <c t="str" r="T121" s="6">
        <f>A121&amp;"|"&amp;C121&amp;"|"&amp;G121</f>
        <v>НоваПак|Шкала|3</v>
      </c>
      <c t="str" r="U121" s="6">
        <f>IF(H121="да",A121&amp;"|"&amp;C121&amp;"|"&amp;D121&amp;"|"&amp;J121,"")</f>
        <v/>
      </c>
      <c t="str" r="V121" s="6">
        <f>IF(C121="План",A121&amp;"|"&amp;J121,"")</f>
        <v/>
      </c>
    </row>
    <row r="122">
      <c r="A122" s="3" t="inlineStr">
        <is>
          <t>НоваПак</t>
        </is>
      </c>
      <c r="B122" s="3" t="inlineStr">
        <is>
          <t>РФ</t>
        </is>
      </c>
      <c r="C122" s="3" t="inlineStr">
        <is>
          <t>Шкала</t>
        </is>
      </c>
      <c r="D122" s="3" t="inlineStr">
        <is>
          <t>Оборудование</t>
        </is>
      </c>
      <c r="E122" s="3" t="inlineStr">
        <is>
          <t>Оборудование — за квартал</t>
        </is>
      </c>
      <c r="F122" s="3" t="inlineStr">
        <is>
          <t>2.1.2. Сервисный центр - гарантийное обслуживание</t>
        </is>
      </c>
      <c r="G122" s="4" t="n">
        <v>3</v>
      </c>
      <c r="H122" s="4" t="n"/>
      <c r="I122" s="3" t="inlineStr">
        <is>
          <t>190-224</t>
        </is>
      </c>
      <c r="J122" s="4" t="n">
        <v>5</v>
      </c>
      <c r="K122" s="4" t="n"/>
      <c r="L122" s="4" t="n"/>
      <c r="M122" s="8" t="n">
        <v>0.01</v>
      </c>
      <c r="N122" s="4" t="inlineStr">
        <is>
          <t>%</t>
        </is>
      </c>
      <c r="O122" s="3" t="inlineStr">
        <is>
          <t>НоваПак</t>
        </is>
      </c>
      <c r="P122" s="3" t="inlineStr">
        <is>
          <t>I15</t>
        </is>
      </c>
      <c t="str" r="Q122" s="6">
        <f>A122&amp;"|"&amp;C122&amp;"|"&amp;D122&amp;"|"&amp;G122</f>
        <v>НоваПак|Шкала|Оборудование|3</v>
      </c>
      <c t="str" r="R122" s="6">
        <f>A122&amp;"|"&amp;C122&amp;"|"&amp;D122&amp;"|"&amp;J122</f>
        <v>НоваПак|Шкала|Оборудование|5</v>
      </c>
      <c t="str" r="S122" s="6">
        <f>A122&amp;"|"&amp;C122&amp;"|"&amp;D122&amp;"|"&amp;G122&amp;"|"&amp;J122</f>
        <v>НоваПак|Шкала|Оборудование|3|5</v>
      </c>
      <c t="str" r="T122" s="6">
        <f>A122&amp;"|"&amp;C122&amp;"|"&amp;G122</f>
        <v>НоваПак|Шкала|3</v>
      </c>
      <c t="str" r="U122" s="6">
        <f>IF(H122="да",A122&amp;"|"&amp;C122&amp;"|"&amp;D122&amp;"|"&amp;J122,"")</f>
        <v/>
      </c>
      <c t="str" r="V122" s="6">
        <f>IF(C122="План",A122&amp;"|"&amp;J122,"")</f>
        <v/>
      </c>
    </row>
    <row r="123">
      <c r="A123" s="3" t="inlineStr">
        <is>
          <t>НоваПак</t>
        </is>
      </c>
      <c r="B123" s="3" t="inlineStr">
        <is>
          <t>РФ</t>
        </is>
      </c>
      <c r="C123" s="3" t="inlineStr">
        <is>
          <t>Шкала</t>
        </is>
      </c>
      <c r="D123" s="3" t="inlineStr">
        <is>
          <t>Оборудование</t>
        </is>
      </c>
      <c r="E123" s="3" t="inlineStr">
        <is>
          <t>Оборудование — за квартал</t>
        </is>
      </c>
      <c r="F123" s="3" t="inlineStr">
        <is>
          <t>2.1.2. Сервисный центр - гарантийное обслуживание</t>
        </is>
      </c>
      <c r="G123" s="4" t="n">
        <v>3</v>
      </c>
      <c r="H123" s="4" t="n"/>
      <c r="I123" s="3" t="inlineStr">
        <is>
          <t>225 и более</t>
        </is>
      </c>
      <c r="J123" s="4" t="n">
        <v>6</v>
      </c>
      <c r="K123" s="4" t="n"/>
      <c r="L123" s="4" t="n"/>
      <c r="M123" s="8" t="n">
        <v>0.01</v>
      </c>
      <c r="N123" s="4" t="inlineStr">
        <is>
          <t>%</t>
        </is>
      </c>
      <c r="O123" s="3" t="inlineStr">
        <is>
          <t>НоваПак</t>
        </is>
      </c>
      <c r="P123" s="3" t="inlineStr">
        <is>
          <t>J15</t>
        </is>
      </c>
      <c t="str" r="Q123" s="6">
        <f>A123&amp;"|"&amp;C123&amp;"|"&amp;D123&amp;"|"&amp;G123</f>
        <v>НоваПак|Шкала|Оборудование|3</v>
      </c>
      <c t="str" r="R123" s="6">
        <f>A123&amp;"|"&amp;C123&amp;"|"&amp;D123&amp;"|"&amp;J123</f>
        <v>НоваПак|Шкала|Оборудование|6</v>
      </c>
      <c t="str" r="S123" s="6">
        <f>A123&amp;"|"&amp;C123&amp;"|"&amp;D123&amp;"|"&amp;G123&amp;"|"&amp;J123</f>
        <v>НоваПак|Шкала|Оборудование|3|6</v>
      </c>
      <c t="str" r="T123" s="6">
        <f>A123&amp;"|"&amp;C123&amp;"|"&amp;G123</f>
        <v>НоваПак|Шкала|3</v>
      </c>
      <c t="str" r="U123" s="6">
        <f>IF(H123="да",A123&amp;"|"&amp;C123&amp;"|"&amp;D123&amp;"|"&amp;J123,"")</f>
        <v/>
      </c>
      <c t="str" r="V123" s="6">
        <f>IF(C123="План",A123&amp;"|"&amp;J123,"")</f>
        <v/>
      </c>
    </row>
    <row r="124">
      <c r="A124" s="3" t="inlineStr">
        <is>
          <t>НоваПак</t>
        </is>
      </c>
      <c r="B124" s="3" t="inlineStr">
        <is>
          <t>РФ</t>
        </is>
      </c>
      <c r="C124" s="3" t="inlineStr">
        <is>
          <t>Шкала</t>
        </is>
      </c>
      <c r="D124" s="3" t="inlineStr">
        <is>
          <t>Оборудование</t>
        </is>
      </c>
      <c r="E124" s="3" t="inlineStr">
        <is>
          <t>Оборудование — за квартал</t>
        </is>
      </c>
      <c r="F124" s="3" t="inlineStr">
        <is>
          <t>2.3 Наличие минимальных складских остатков по оборудованию</t>
        </is>
      </c>
      <c r="G124" s="4" t="n">
        <v>4</v>
      </c>
      <c r="H124" s="4" t="n"/>
      <c r="I124" s="3" t="inlineStr">
        <is>
          <t>до 75</t>
        </is>
      </c>
      <c r="J124" s="4" t="n">
        <v>1</v>
      </c>
      <c r="K124" s="4" t="n"/>
      <c r="L124" s="4" t="n"/>
      <c r="M124" s="8" t="n">
        <v>0.01</v>
      </c>
      <c r="N124" s="4" t="inlineStr">
        <is>
          <t>%</t>
        </is>
      </c>
      <c r="O124" s="3" t="inlineStr">
        <is>
          <t>НоваПак</t>
        </is>
      </c>
      <c r="P124" s="3" t="inlineStr">
        <is>
          <t>E16</t>
        </is>
      </c>
      <c t="str" r="Q124" s="6">
        <f>A124&amp;"|"&amp;C124&amp;"|"&amp;D124&amp;"|"&amp;G124</f>
        <v>НоваПак|Шкала|Оборудование|4</v>
      </c>
      <c t="str" r="R124" s="6">
        <f>A124&amp;"|"&amp;C124&amp;"|"&amp;D124&amp;"|"&amp;J124</f>
        <v>НоваПак|Шкала|Оборудование|1</v>
      </c>
      <c t="str" r="S124" s="6">
        <f>A124&amp;"|"&amp;C124&amp;"|"&amp;D124&amp;"|"&amp;G124&amp;"|"&amp;J124</f>
        <v>НоваПак|Шкала|Оборудование|4|1</v>
      </c>
      <c t="str" r="T124" s="6">
        <f>A124&amp;"|"&amp;C124&amp;"|"&amp;G124</f>
        <v>НоваПак|Шкала|4</v>
      </c>
      <c t="str" r="U124" s="6">
        <f>IF(H124="да",A124&amp;"|"&amp;C124&amp;"|"&amp;D124&amp;"|"&amp;J124,"")</f>
        <v/>
      </c>
      <c t="str" r="V124" s="6">
        <f>IF(C124="План",A124&amp;"|"&amp;J124,"")</f>
        <v/>
      </c>
    </row>
    <row r="125">
      <c r="A125" s="3" t="inlineStr">
        <is>
          <t>НоваПак</t>
        </is>
      </c>
      <c r="B125" s="3" t="inlineStr">
        <is>
          <t>РФ</t>
        </is>
      </c>
      <c r="C125" s="3" t="inlineStr">
        <is>
          <t>Шкала</t>
        </is>
      </c>
      <c r="D125" s="3" t="inlineStr">
        <is>
          <t>Оборудование</t>
        </is>
      </c>
      <c r="E125" s="3" t="inlineStr">
        <is>
          <t>Оборудование — за квартал</t>
        </is>
      </c>
      <c r="F125" s="3" t="inlineStr">
        <is>
          <t>2.3 Наличие минимальных складских остатков по оборудованию</t>
        </is>
      </c>
      <c r="G125" s="4" t="n">
        <v>4</v>
      </c>
      <c r="H125" s="4" t="n"/>
      <c r="I125" s="3" t="inlineStr">
        <is>
          <t>75-114</t>
        </is>
      </c>
      <c r="J125" s="4" t="n">
        <v>2</v>
      </c>
      <c r="K125" s="4" t="n"/>
      <c r="L125" s="4" t="n"/>
      <c r="M125" s="8" t="n">
        <v>0.01</v>
      </c>
      <c r="N125" s="4" t="inlineStr">
        <is>
          <t>%</t>
        </is>
      </c>
      <c r="O125" s="3" t="inlineStr">
        <is>
          <t>НоваПак</t>
        </is>
      </c>
      <c r="P125" s="3" t="inlineStr">
        <is>
          <t>F16</t>
        </is>
      </c>
      <c t="str" r="Q125" s="6">
        <f>A125&amp;"|"&amp;C125&amp;"|"&amp;D125&amp;"|"&amp;G125</f>
        <v>НоваПак|Шкала|Оборудование|4</v>
      </c>
      <c t="str" r="R125" s="6">
        <f>A125&amp;"|"&amp;C125&amp;"|"&amp;D125&amp;"|"&amp;J125</f>
        <v>НоваПак|Шкала|Оборудование|2</v>
      </c>
      <c t="str" r="S125" s="6">
        <f>A125&amp;"|"&amp;C125&amp;"|"&amp;D125&amp;"|"&amp;G125&amp;"|"&amp;J125</f>
        <v>НоваПак|Шкала|Оборудование|4|2</v>
      </c>
      <c t="str" r="T125" s="6">
        <f>A125&amp;"|"&amp;C125&amp;"|"&amp;G125</f>
        <v>НоваПак|Шкала|4</v>
      </c>
      <c t="str" r="U125" s="6">
        <f>IF(H125="да",A125&amp;"|"&amp;C125&amp;"|"&amp;D125&amp;"|"&amp;J125,"")</f>
        <v/>
      </c>
      <c t="str" r="V125" s="6">
        <f>IF(C125="План",A125&amp;"|"&amp;J125,"")</f>
        <v/>
      </c>
    </row>
    <row r="126">
      <c r="A126" s="3" t="inlineStr">
        <is>
          <t>НоваПак</t>
        </is>
      </c>
      <c r="B126" s="3" t="inlineStr">
        <is>
          <t>РФ</t>
        </is>
      </c>
      <c r="C126" s="3" t="inlineStr">
        <is>
          <t>Шкала</t>
        </is>
      </c>
      <c r="D126" s="3" t="inlineStr">
        <is>
          <t>Оборудование</t>
        </is>
      </c>
      <c r="E126" s="3" t="inlineStr">
        <is>
          <t>Оборудование — за квартал</t>
        </is>
      </c>
      <c r="F126" s="3" t="inlineStr">
        <is>
          <t>2.3 Наличие минимальных складских остатков по оборудованию</t>
        </is>
      </c>
      <c r="G126" s="4" t="n">
        <v>4</v>
      </c>
      <c r="H126" s="4" t="n"/>
      <c r="I126" s="3" t="inlineStr">
        <is>
          <t>115-149</t>
        </is>
      </c>
      <c r="J126" s="4" t="n">
        <v>3</v>
      </c>
      <c r="K126" s="4" t="n"/>
      <c r="L126" s="4" t="n"/>
      <c r="M126" s="8" t="n">
        <v>0.01</v>
      </c>
      <c r="N126" s="4" t="inlineStr">
        <is>
          <t>%</t>
        </is>
      </c>
      <c r="O126" s="3" t="inlineStr">
        <is>
          <t>НоваПак</t>
        </is>
      </c>
      <c r="P126" s="3" t="inlineStr">
        <is>
          <t>G16</t>
        </is>
      </c>
      <c t="str" r="Q126" s="6">
        <f>A126&amp;"|"&amp;C126&amp;"|"&amp;D126&amp;"|"&amp;G126</f>
        <v>НоваПак|Шкала|Оборудование|4</v>
      </c>
      <c t="str" r="R126" s="6">
        <f>A126&amp;"|"&amp;C126&amp;"|"&amp;D126&amp;"|"&amp;J126</f>
        <v>НоваПак|Шкала|Оборудование|3</v>
      </c>
      <c t="str" r="S126" s="6">
        <f>A126&amp;"|"&amp;C126&amp;"|"&amp;D126&amp;"|"&amp;G126&amp;"|"&amp;J126</f>
        <v>НоваПак|Шкала|Оборудование|4|3</v>
      </c>
      <c t="str" r="T126" s="6">
        <f>A126&amp;"|"&amp;C126&amp;"|"&amp;G126</f>
        <v>НоваПак|Шкала|4</v>
      </c>
      <c t="str" r="U126" s="6">
        <f>IF(H126="да",A126&amp;"|"&amp;C126&amp;"|"&amp;D126&amp;"|"&amp;J126,"")</f>
        <v/>
      </c>
      <c t="str" r="V126" s="6">
        <f>IF(C126="План",A126&amp;"|"&amp;J126,"")</f>
        <v/>
      </c>
    </row>
    <row r="127">
      <c r="A127" s="3" t="inlineStr">
        <is>
          <t>НоваПак</t>
        </is>
      </c>
      <c r="B127" s="3" t="inlineStr">
        <is>
          <t>РФ</t>
        </is>
      </c>
      <c r="C127" s="3" t="inlineStr">
        <is>
          <t>Шкала</t>
        </is>
      </c>
      <c r="D127" s="3" t="inlineStr">
        <is>
          <t>Оборудование</t>
        </is>
      </c>
      <c r="E127" s="3" t="inlineStr">
        <is>
          <t>Оборудование — за квартал</t>
        </is>
      </c>
      <c r="F127" s="3" t="inlineStr">
        <is>
          <t>2.3 Наличие минимальных складских остатков по оборудованию</t>
        </is>
      </c>
      <c r="G127" s="4" t="n">
        <v>4</v>
      </c>
      <c r="H127" s="4" t="n"/>
      <c r="I127" s="3" t="inlineStr">
        <is>
          <t>150-189</t>
        </is>
      </c>
      <c r="J127" s="4" t="n">
        <v>4</v>
      </c>
      <c r="K127" s="4" t="n"/>
      <c r="L127" s="4" t="n"/>
      <c r="M127" s="8" t="n">
        <v>0.01</v>
      </c>
      <c r="N127" s="4" t="inlineStr">
        <is>
          <t>%</t>
        </is>
      </c>
      <c r="O127" s="3" t="inlineStr">
        <is>
          <t>НоваПак</t>
        </is>
      </c>
      <c r="P127" s="3" t="inlineStr">
        <is>
          <t>H16</t>
        </is>
      </c>
      <c t="str" r="Q127" s="6">
        <f>A127&amp;"|"&amp;C127&amp;"|"&amp;D127&amp;"|"&amp;G127</f>
        <v>НоваПак|Шкала|Оборудование|4</v>
      </c>
      <c t="str" r="R127" s="6">
        <f>A127&amp;"|"&amp;C127&amp;"|"&amp;D127&amp;"|"&amp;J127</f>
        <v>НоваПак|Шкала|Оборудование|4</v>
      </c>
      <c t="str" r="S127" s="6">
        <f>A127&amp;"|"&amp;C127&amp;"|"&amp;D127&amp;"|"&amp;G127&amp;"|"&amp;J127</f>
        <v>НоваПак|Шкала|Оборудование|4|4</v>
      </c>
      <c t="str" r="T127" s="6">
        <f>A127&amp;"|"&amp;C127&amp;"|"&amp;G127</f>
        <v>НоваПак|Шкала|4</v>
      </c>
      <c t="str" r="U127" s="6">
        <f>IF(H127="да",A127&amp;"|"&amp;C127&amp;"|"&amp;D127&amp;"|"&amp;J127,"")</f>
        <v/>
      </c>
      <c t="str" r="V127" s="6">
        <f>IF(C127="План",A127&amp;"|"&amp;J127,"")</f>
        <v/>
      </c>
    </row>
    <row r="128">
      <c r="A128" s="3" t="inlineStr">
        <is>
          <t>НоваПак</t>
        </is>
      </c>
      <c r="B128" s="3" t="inlineStr">
        <is>
          <t>РФ</t>
        </is>
      </c>
      <c r="C128" s="3" t="inlineStr">
        <is>
          <t>Шкала</t>
        </is>
      </c>
      <c r="D128" s="3" t="inlineStr">
        <is>
          <t>Оборудование</t>
        </is>
      </c>
      <c r="E128" s="3" t="inlineStr">
        <is>
          <t>Оборудование — за квартал</t>
        </is>
      </c>
      <c r="F128" s="3" t="inlineStr">
        <is>
          <t>2.3 Наличие минимальных складских остатков по оборудованию</t>
        </is>
      </c>
      <c r="G128" s="4" t="n">
        <v>4</v>
      </c>
      <c r="H128" s="4" t="n"/>
      <c r="I128" s="3" t="inlineStr">
        <is>
          <t>190-224</t>
        </is>
      </c>
      <c r="J128" s="4" t="n">
        <v>5</v>
      </c>
      <c r="K128" s="4" t="n"/>
      <c r="L128" s="4" t="n"/>
      <c r="M128" s="8" t="n">
        <v>0.01</v>
      </c>
      <c r="N128" s="4" t="inlineStr">
        <is>
          <t>%</t>
        </is>
      </c>
      <c r="O128" s="3" t="inlineStr">
        <is>
          <t>НоваПак</t>
        </is>
      </c>
      <c r="P128" s="3" t="inlineStr">
        <is>
          <t>I16</t>
        </is>
      </c>
      <c t="str" r="Q128" s="6">
        <f>A128&amp;"|"&amp;C128&amp;"|"&amp;D128&amp;"|"&amp;G128</f>
        <v>НоваПак|Шкала|Оборудование|4</v>
      </c>
      <c t="str" r="R128" s="6">
        <f>A128&amp;"|"&amp;C128&amp;"|"&amp;D128&amp;"|"&amp;J128</f>
        <v>НоваПак|Шкала|Оборудование|5</v>
      </c>
      <c t="str" r="S128" s="6">
        <f>A128&amp;"|"&amp;C128&amp;"|"&amp;D128&amp;"|"&amp;G128&amp;"|"&amp;J128</f>
        <v>НоваПак|Шкала|Оборудование|4|5</v>
      </c>
      <c t="str" r="T128" s="6">
        <f>A128&amp;"|"&amp;C128&amp;"|"&amp;G128</f>
        <v>НоваПак|Шкала|4</v>
      </c>
      <c t="str" r="U128" s="6">
        <f>IF(H128="да",A128&amp;"|"&amp;C128&amp;"|"&amp;D128&amp;"|"&amp;J128,"")</f>
        <v/>
      </c>
      <c t="str" r="V128" s="6">
        <f>IF(C128="План",A128&amp;"|"&amp;J128,"")</f>
        <v/>
      </c>
    </row>
    <row r="129">
      <c r="A129" s="3" t="inlineStr">
        <is>
          <t>НоваПак</t>
        </is>
      </c>
      <c r="B129" s="3" t="inlineStr">
        <is>
          <t>РФ</t>
        </is>
      </c>
      <c r="C129" s="3" t="inlineStr">
        <is>
          <t>Шкала</t>
        </is>
      </c>
      <c r="D129" s="3" t="inlineStr">
        <is>
          <t>Оборудование</t>
        </is>
      </c>
      <c r="E129" s="3" t="inlineStr">
        <is>
          <t>Оборудование — за квартал</t>
        </is>
      </c>
      <c r="F129" s="3" t="inlineStr">
        <is>
          <t>2.3 Наличие минимальных складских остатков по оборудованию</t>
        </is>
      </c>
      <c r="G129" s="4" t="n">
        <v>4</v>
      </c>
      <c r="H129" s="4" t="n"/>
      <c r="I129" s="3" t="inlineStr">
        <is>
          <t>225 и более</t>
        </is>
      </c>
      <c r="J129" s="4" t="n">
        <v>6</v>
      </c>
      <c r="K129" s="4" t="n"/>
      <c r="L129" s="4" t="n"/>
      <c r="M129" s="8" t="n">
        <v>0.01</v>
      </c>
      <c r="N129" s="4" t="inlineStr">
        <is>
          <t>%</t>
        </is>
      </c>
      <c r="O129" s="3" t="inlineStr">
        <is>
          <t>НоваПак</t>
        </is>
      </c>
      <c r="P129" s="3" t="inlineStr">
        <is>
          <t>J16</t>
        </is>
      </c>
      <c t="str" r="Q129" s="6">
        <f>A129&amp;"|"&amp;C129&amp;"|"&amp;D129&amp;"|"&amp;G129</f>
        <v>НоваПак|Шкала|Оборудование|4</v>
      </c>
      <c t="str" r="R129" s="6">
        <f>A129&amp;"|"&amp;C129&amp;"|"&amp;D129&amp;"|"&amp;J129</f>
        <v>НоваПак|Шкала|Оборудование|6</v>
      </c>
      <c t="str" r="S129" s="6">
        <f>A129&amp;"|"&amp;C129&amp;"|"&amp;D129&amp;"|"&amp;G129&amp;"|"&amp;J129</f>
        <v>НоваПак|Шкала|Оборудование|4|6</v>
      </c>
      <c t="str" r="T129" s="6">
        <f>A129&amp;"|"&amp;C129&amp;"|"&amp;G129</f>
        <v>НоваПак|Шкала|4</v>
      </c>
      <c t="str" r="U129" s="6">
        <f>IF(H129="да",A129&amp;"|"&amp;C129&amp;"|"&amp;D129&amp;"|"&amp;J129,"")</f>
        <v/>
      </c>
      <c t="str" r="V129" s="6">
        <f>IF(C129="План",A129&amp;"|"&amp;J129,"")</f>
        <v/>
      </c>
    </row>
    <row r="130">
      <c r="A130" s="3" t="inlineStr">
        <is>
          <t>НоваПак</t>
        </is>
      </c>
      <c r="B130" s="3" t="inlineStr">
        <is>
          <t>РФ</t>
        </is>
      </c>
      <c r="C130" s="3" t="inlineStr">
        <is>
          <t>Шкала</t>
        </is>
      </c>
      <c r="D130" s="3" t="inlineStr">
        <is>
          <t>Оборудование</t>
        </is>
      </c>
      <c r="E130" s="3" t="inlineStr">
        <is>
          <t>Оборудование — за квартал</t>
        </is>
      </c>
      <c r="F130" s="3" t="inlineStr">
        <is>
          <t>3 Объем закупок МП</t>
        </is>
      </c>
      <c r="G130" s="4" t="n">
        <v>5</v>
      </c>
      <c r="H130" s="4" t="n"/>
      <c r="I130" s="3" t="inlineStr">
        <is>
          <t>до 75</t>
        </is>
      </c>
      <c r="J130" s="4" t="n">
        <v>1</v>
      </c>
      <c r="K130" s="4" t="n"/>
      <c r="L130" s="4" t="n"/>
      <c r="M130" s="8" t="n">
        <v>0</v>
      </c>
      <c r="N130" s="4" t="inlineStr">
        <is>
          <t>%</t>
        </is>
      </c>
      <c r="O130" s="3" t="inlineStr">
        <is>
          <t>НоваПак</t>
        </is>
      </c>
      <c r="P130" s="3" t="inlineStr">
        <is>
          <t>E17</t>
        </is>
      </c>
      <c t="str" r="Q130" s="6">
        <f>A130&amp;"|"&amp;C130&amp;"|"&amp;D130&amp;"|"&amp;G130</f>
        <v>НоваПак|Шкала|Оборудование|5</v>
      </c>
      <c t="str" r="R130" s="6">
        <f>A130&amp;"|"&amp;C130&amp;"|"&amp;D130&amp;"|"&amp;J130</f>
        <v>НоваПак|Шкала|Оборудование|1</v>
      </c>
      <c t="str" r="S130" s="6">
        <f>A130&amp;"|"&amp;C130&amp;"|"&amp;D130&amp;"|"&amp;G130&amp;"|"&amp;J130</f>
        <v>НоваПак|Шкала|Оборудование|5|1</v>
      </c>
      <c t="str" r="T130" s="6">
        <f>A130&amp;"|"&amp;C130&amp;"|"&amp;G130</f>
        <v>НоваПак|Шкала|5</v>
      </c>
      <c t="str" r="U130" s="6">
        <f>IF(H130="да",A130&amp;"|"&amp;C130&amp;"|"&amp;D130&amp;"|"&amp;J130,"")</f>
        <v/>
      </c>
      <c t="str" r="V130" s="6">
        <f>IF(C130="План",A130&amp;"|"&amp;J130,"")</f>
        <v/>
      </c>
    </row>
    <row r="131">
      <c r="A131" s="3" t="inlineStr">
        <is>
          <t>НоваПак</t>
        </is>
      </c>
      <c r="B131" s="3" t="inlineStr">
        <is>
          <t>РФ</t>
        </is>
      </c>
      <c r="C131" s="3" t="inlineStr">
        <is>
          <t>Шкала</t>
        </is>
      </c>
      <c r="D131" s="3" t="inlineStr">
        <is>
          <t>Оборудование</t>
        </is>
      </c>
      <c r="E131" s="3" t="inlineStr">
        <is>
          <t>Оборудование — за квартал</t>
        </is>
      </c>
      <c r="F131" s="3" t="inlineStr">
        <is>
          <t>3 Объем закупок МП</t>
        </is>
      </c>
      <c r="G131" s="4" t="n">
        <v>5</v>
      </c>
      <c r="H131" s="4" t="n"/>
      <c r="I131" s="3" t="inlineStr">
        <is>
          <t>75-114</t>
        </is>
      </c>
      <c r="J131" s="4" t="n">
        <v>2</v>
      </c>
      <c r="K131" s="4" t="n"/>
      <c r="L131" s="4" t="n"/>
      <c r="M131" s="8" t="n">
        <v>0.01</v>
      </c>
      <c r="N131" s="4" t="inlineStr">
        <is>
          <t>%</t>
        </is>
      </c>
      <c r="O131" s="3" t="inlineStr">
        <is>
          <t>НоваПак</t>
        </is>
      </c>
      <c r="P131" s="3" t="inlineStr">
        <is>
          <t>F17</t>
        </is>
      </c>
      <c t="str" r="Q131" s="6">
        <f>A131&amp;"|"&amp;C131&amp;"|"&amp;D131&amp;"|"&amp;G131</f>
        <v>НоваПак|Шкала|Оборудование|5</v>
      </c>
      <c t="str" r="R131" s="6">
        <f>A131&amp;"|"&amp;C131&amp;"|"&amp;D131&amp;"|"&amp;J131</f>
        <v>НоваПак|Шкала|Оборудование|2</v>
      </c>
      <c t="str" r="S131" s="6">
        <f>A131&amp;"|"&amp;C131&amp;"|"&amp;D131&amp;"|"&amp;G131&amp;"|"&amp;J131</f>
        <v>НоваПак|Шкала|Оборудование|5|2</v>
      </c>
      <c t="str" r="T131" s="6">
        <f>A131&amp;"|"&amp;C131&amp;"|"&amp;G131</f>
        <v>НоваПак|Шкала|5</v>
      </c>
      <c t="str" r="U131" s="6">
        <f>IF(H131="да",A131&amp;"|"&amp;C131&amp;"|"&amp;D131&amp;"|"&amp;J131,"")</f>
        <v/>
      </c>
      <c t="str" r="V131" s="6">
        <f>IF(C131="План",A131&amp;"|"&amp;J131,"")</f>
        <v/>
      </c>
    </row>
    <row r="132">
      <c r="A132" s="3" t="inlineStr">
        <is>
          <t>НоваПак</t>
        </is>
      </c>
      <c r="B132" s="3" t="inlineStr">
        <is>
          <t>РФ</t>
        </is>
      </c>
      <c r="C132" s="3" t="inlineStr">
        <is>
          <t>Шкала</t>
        </is>
      </c>
      <c r="D132" s="3" t="inlineStr">
        <is>
          <t>Оборудование</t>
        </is>
      </c>
      <c r="E132" s="3" t="inlineStr">
        <is>
          <t>Оборудование — за квартал</t>
        </is>
      </c>
      <c r="F132" s="3" t="inlineStr">
        <is>
          <t>3 Объем закупок МП</t>
        </is>
      </c>
      <c r="G132" s="4" t="n">
        <v>5</v>
      </c>
      <c r="H132" s="4" t="n"/>
      <c r="I132" s="3" t="inlineStr">
        <is>
          <t>115-149</t>
        </is>
      </c>
      <c r="J132" s="4" t="n">
        <v>3</v>
      </c>
      <c r="K132" s="4" t="n"/>
      <c r="L132" s="4" t="n"/>
      <c r="M132" s="8" t="n">
        <v>0.02</v>
      </c>
      <c r="N132" s="4" t="inlineStr">
        <is>
          <t>%</t>
        </is>
      </c>
      <c r="O132" s="3" t="inlineStr">
        <is>
          <t>НоваПак</t>
        </is>
      </c>
      <c r="P132" s="3" t="inlineStr">
        <is>
          <t>G17</t>
        </is>
      </c>
      <c t="str" r="Q132" s="6">
        <f>A132&amp;"|"&amp;C132&amp;"|"&amp;D132&amp;"|"&amp;G132</f>
        <v>НоваПак|Шкала|Оборудование|5</v>
      </c>
      <c t="str" r="R132" s="6">
        <f>A132&amp;"|"&amp;C132&amp;"|"&amp;D132&amp;"|"&amp;J132</f>
        <v>НоваПак|Шкала|Оборудование|3</v>
      </c>
      <c t="str" r="S132" s="6">
        <f>A132&amp;"|"&amp;C132&amp;"|"&amp;D132&amp;"|"&amp;G132&amp;"|"&amp;J132</f>
        <v>НоваПак|Шкала|Оборудование|5|3</v>
      </c>
      <c t="str" r="T132" s="6">
        <f>A132&amp;"|"&amp;C132&amp;"|"&amp;G132</f>
        <v>НоваПак|Шкала|5</v>
      </c>
      <c t="str" r="U132" s="6">
        <f>IF(H132="да",A132&amp;"|"&amp;C132&amp;"|"&amp;D132&amp;"|"&amp;J132,"")</f>
        <v/>
      </c>
      <c t="str" r="V132" s="6">
        <f>IF(C132="План",A132&amp;"|"&amp;J132,"")</f>
        <v/>
      </c>
    </row>
    <row r="133">
      <c r="A133" s="3" t="inlineStr">
        <is>
          <t>НоваПак</t>
        </is>
      </c>
      <c r="B133" s="3" t="inlineStr">
        <is>
          <t>РФ</t>
        </is>
      </c>
      <c r="C133" s="3" t="inlineStr">
        <is>
          <t>Шкала</t>
        </is>
      </c>
      <c r="D133" s="3" t="inlineStr">
        <is>
          <t>Оборудование</t>
        </is>
      </c>
      <c r="E133" s="3" t="inlineStr">
        <is>
          <t>Оборудование — за квартал</t>
        </is>
      </c>
      <c r="F133" s="3" t="inlineStr">
        <is>
          <t>3 Объем закупок МП</t>
        </is>
      </c>
      <c r="G133" s="4" t="n">
        <v>5</v>
      </c>
      <c r="H133" s="4" t="n"/>
      <c r="I133" s="3" t="inlineStr">
        <is>
          <t>150-189</t>
        </is>
      </c>
      <c r="J133" s="4" t="n">
        <v>4</v>
      </c>
      <c r="K133" s="4" t="n"/>
      <c r="L133" s="4" t="n"/>
      <c r="M133" s="8" t="n">
        <v>0.03</v>
      </c>
      <c r="N133" s="4" t="inlineStr">
        <is>
          <t>%</t>
        </is>
      </c>
      <c r="O133" s="3" t="inlineStr">
        <is>
          <t>НоваПак</t>
        </is>
      </c>
      <c r="P133" s="3" t="inlineStr">
        <is>
          <t>H17</t>
        </is>
      </c>
      <c t="str" r="Q133" s="6">
        <f>A133&amp;"|"&amp;C133&amp;"|"&amp;D133&amp;"|"&amp;G133</f>
        <v>НоваПак|Шкала|Оборудование|5</v>
      </c>
      <c t="str" r="R133" s="6">
        <f>A133&amp;"|"&amp;C133&amp;"|"&amp;D133&amp;"|"&amp;J133</f>
        <v>НоваПак|Шкала|Оборудование|4</v>
      </c>
      <c t="str" r="S133" s="6">
        <f>A133&amp;"|"&amp;C133&amp;"|"&amp;D133&amp;"|"&amp;G133&amp;"|"&amp;J133</f>
        <v>НоваПак|Шкала|Оборудование|5|4</v>
      </c>
      <c t="str" r="T133" s="6">
        <f>A133&amp;"|"&amp;C133&amp;"|"&amp;G133</f>
        <v>НоваПак|Шкала|5</v>
      </c>
      <c t="str" r="U133" s="6">
        <f>IF(H133="да",A133&amp;"|"&amp;C133&amp;"|"&amp;D133&amp;"|"&amp;J133,"")</f>
        <v/>
      </c>
      <c t="str" r="V133" s="6">
        <f>IF(C133="План",A133&amp;"|"&amp;J133,"")</f>
        <v/>
      </c>
    </row>
    <row r="134">
      <c r="A134" s="3" t="inlineStr">
        <is>
          <t>НоваПак</t>
        </is>
      </c>
      <c r="B134" s="3" t="inlineStr">
        <is>
          <t>РФ</t>
        </is>
      </c>
      <c r="C134" s="3" t="inlineStr">
        <is>
          <t>Шкала</t>
        </is>
      </c>
      <c r="D134" s="3" t="inlineStr">
        <is>
          <t>Оборудование</t>
        </is>
      </c>
      <c r="E134" s="3" t="inlineStr">
        <is>
          <t>Оборудование — за квартал</t>
        </is>
      </c>
      <c r="F134" s="3" t="inlineStr">
        <is>
          <t>3 Объем закупок МП</t>
        </is>
      </c>
      <c r="G134" s="4" t="n">
        <v>5</v>
      </c>
      <c r="H134" s="4" t="n"/>
      <c r="I134" s="3" t="inlineStr">
        <is>
          <t>190-224</t>
        </is>
      </c>
      <c r="J134" s="4" t="n">
        <v>5</v>
      </c>
      <c r="K134" s="4" t="n"/>
      <c r="L134" s="4" t="n"/>
      <c r="M134" s="8" t="n">
        <v>0.04</v>
      </c>
      <c r="N134" s="4" t="inlineStr">
        <is>
          <t>%</t>
        </is>
      </c>
      <c r="O134" s="3" t="inlineStr">
        <is>
          <t>НоваПак</t>
        </is>
      </c>
      <c r="P134" s="3" t="inlineStr">
        <is>
          <t>I17</t>
        </is>
      </c>
      <c t="str" r="Q134" s="6">
        <f>A134&amp;"|"&amp;C134&amp;"|"&amp;D134&amp;"|"&amp;G134</f>
        <v>НоваПак|Шкала|Оборудование|5</v>
      </c>
      <c t="str" r="R134" s="6">
        <f>A134&amp;"|"&amp;C134&amp;"|"&amp;D134&amp;"|"&amp;J134</f>
        <v>НоваПак|Шкала|Оборудование|5</v>
      </c>
      <c t="str" r="S134" s="6">
        <f>A134&amp;"|"&amp;C134&amp;"|"&amp;D134&amp;"|"&amp;G134&amp;"|"&amp;J134</f>
        <v>НоваПак|Шкала|Оборудование|5|5</v>
      </c>
      <c t="str" r="T134" s="6">
        <f>A134&amp;"|"&amp;C134&amp;"|"&amp;G134</f>
        <v>НоваПак|Шкала|5</v>
      </c>
      <c t="str" r="U134" s="6">
        <f>IF(H134="да",A134&amp;"|"&amp;C134&amp;"|"&amp;D134&amp;"|"&amp;J134,"")</f>
        <v/>
      </c>
      <c t="str" r="V134" s="6">
        <f>IF(C134="План",A134&amp;"|"&amp;J134,"")</f>
        <v/>
      </c>
    </row>
    <row r="135">
      <c r="A135" s="3" t="inlineStr">
        <is>
          <t>НоваПак</t>
        </is>
      </c>
      <c r="B135" s="3" t="inlineStr">
        <is>
          <t>РФ</t>
        </is>
      </c>
      <c r="C135" s="3" t="inlineStr">
        <is>
          <t>Шкала</t>
        </is>
      </c>
      <c r="D135" s="3" t="inlineStr">
        <is>
          <t>Оборудование</t>
        </is>
      </c>
      <c r="E135" s="3" t="inlineStr">
        <is>
          <t>Оборудование — за квартал</t>
        </is>
      </c>
      <c r="F135" s="3" t="inlineStr">
        <is>
          <t>3 Объем закупок МП</t>
        </is>
      </c>
      <c r="G135" s="4" t="n">
        <v>5</v>
      </c>
      <c r="H135" s="4" t="n"/>
      <c r="I135" s="3" t="inlineStr">
        <is>
          <t>225 и более</t>
        </is>
      </c>
      <c r="J135" s="4" t="n">
        <v>6</v>
      </c>
      <c r="K135" s="4" t="n"/>
      <c r="L135" s="4" t="n"/>
      <c r="M135" s="8" t="n">
        <v>0.05</v>
      </c>
      <c r="N135" s="4" t="inlineStr">
        <is>
          <t>%</t>
        </is>
      </c>
      <c r="O135" s="3" t="inlineStr">
        <is>
          <t>НоваПак</t>
        </is>
      </c>
      <c r="P135" s="3" t="inlineStr">
        <is>
          <t>J17</t>
        </is>
      </c>
      <c t="str" r="Q135" s="6">
        <f>A135&amp;"|"&amp;C135&amp;"|"&amp;D135&amp;"|"&amp;G135</f>
        <v>НоваПак|Шкала|Оборудование|5</v>
      </c>
      <c t="str" r="R135" s="6">
        <f>A135&amp;"|"&amp;C135&amp;"|"&amp;D135&amp;"|"&amp;J135</f>
        <v>НоваПак|Шкала|Оборудование|6</v>
      </c>
      <c t="str" r="S135" s="6">
        <f>A135&amp;"|"&amp;C135&amp;"|"&amp;D135&amp;"|"&amp;G135&amp;"|"&amp;J135</f>
        <v>НоваПак|Шкала|Оборудование|5|6</v>
      </c>
      <c t="str" r="T135" s="6">
        <f>A135&amp;"|"&amp;C135&amp;"|"&amp;G135</f>
        <v>НоваПак|Шкала|5</v>
      </c>
      <c t="str" r="U135" s="6">
        <f>IF(H135="да",A135&amp;"|"&amp;C135&amp;"|"&amp;D135&amp;"|"&amp;J135,"")</f>
        <v/>
      </c>
      <c t="str" r="V135" s="6">
        <f>IF(C135="План",A135&amp;"|"&amp;J135,"")</f>
        <v/>
      </c>
    </row>
    <row r="136">
      <c r="A136" s="3" t="inlineStr">
        <is>
          <t>НоваПак</t>
        </is>
      </c>
      <c r="B136" s="3" t="inlineStr">
        <is>
          <t>РФ</t>
        </is>
      </c>
      <c r="C136" s="3" t="inlineStr">
        <is>
          <t>Шкала</t>
        </is>
      </c>
      <c r="D136" s="3" t="inlineStr">
        <is>
          <t>Оборудование</t>
        </is>
      </c>
      <c r="E136" s="3" t="inlineStr">
        <is>
          <t>Оборудование — за квартал</t>
        </is>
      </c>
      <c r="F136" s="3" t="inlineStr">
        <is>
          <t>ИТОГО по МП:</t>
        </is>
      </c>
      <c r="G136" s="4" t="n">
        <v>6</v>
      </c>
      <c r="H136" s="4" t="inlineStr">
        <is>
          <t>да</t>
        </is>
      </c>
      <c r="I136" s="3" t="inlineStr">
        <is>
          <t>до 75</t>
        </is>
      </c>
      <c r="J136" s="4" t="n">
        <v>1</v>
      </c>
      <c r="K136" s="4" t="n"/>
      <c r="L136" s="4" t="n"/>
      <c r="M136" s="8" t="n">
        <v>0.14</v>
      </c>
      <c r="N136" s="4" t="inlineStr">
        <is>
          <t>%</t>
        </is>
      </c>
      <c r="O136" s="3" t="inlineStr">
        <is>
          <t>НоваПак</t>
        </is>
      </c>
      <c r="P136" s="3" t="inlineStr">
        <is>
          <t>E18</t>
        </is>
      </c>
      <c t="str" r="Q136" s="6">
        <f>A136&amp;"|"&amp;C136&amp;"|"&amp;D136&amp;"|"&amp;G136</f>
        <v>НоваПак|Шкала|Оборудование|6</v>
      </c>
      <c t="str" r="R136" s="6">
        <f>A136&amp;"|"&amp;C136&amp;"|"&amp;D136&amp;"|"&amp;J136</f>
        <v>НоваПак|Шкала|Оборудование|1</v>
      </c>
      <c t="str" r="S136" s="6">
        <f>A136&amp;"|"&amp;C136&amp;"|"&amp;D136&amp;"|"&amp;G136&amp;"|"&amp;J136</f>
        <v>НоваПак|Шкала|Оборудование|6|1</v>
      </c>
      <c t="str" r="T136" s="6">
        <f>A136&amp;"|"&amp;C136&amp;"|"&amp;G136</f>
        <v>НоваПак|Шкала|6</v>
      </c>
      <c t="str" r="U136" s="6">
        <f>IF(H136="да",A136&amp;"|"&amp;C136&amp;"|"&amp;D136&amp;"|"&amp;J136,"")</f>
        <v>НоваПак|Шкала|Оборудование|1</v>
      </c>
      <c t="str" r="V136" s="6">
        <f>IF(C136="План",A136&amp;"|"&amp;J136,"")</f>
        <v/>
      </c>
    </row>
    <row r="137">
      <c r="A137" s="3" t="inlineStr">
        <is>
          <t>НоваПак</t>
        </is>
      </c>
      <c r="B137" s="3" t="inlineStr">
        <is>
          <t>РФ</t>
        </is>
      </c>
      <c r="C137" s="3" t="inlineStr">
        <is>
          <t>Шкала</t>
        </is>
      </c>
      <c r="D137" s="3" t="inlineStr">
        <is>
          <t>Оборудование</t>
        </is>
      </c>
      <c r="E137" s="3" t="inlineStr">
        <is>
          <t>Оборудование — за квартал</t>
        </is>
      </c>
      <c r="F137" s="3" t="inlineStr">
        <is>
          <t>ИТОГО по МП:</t>
        </is>
      </c>
      <c r="G137" s="4" t="n">
        <v>6</v>
      </c>
      <c r="H137" s="4" t="inlineStr">
        <is>
          <t>да</t>
        </is>
      </c>
      <c r="I137" s="3" t="inlineStr">
        <is>
          <t>75-114</t>
        </is>
      </c>
      <c r="J137" s="4" t="n">
        <v>2</v>
      </c>
      <c r="K137" s="4" t="n"/>
      <c r="L137" s="4" t="n"/>
      <c r="M137" s="8" t="n">
        <v>0.15</v>
      </c>
      <c r="N137" s="4" t="inlineStr">
        <is>
          <t>%</t>
        </is>
      </c>
      <c r="O137" s="3" t="inlineStr">
        <is>
          <t>НоваПак</t>
        </is>
      </c>
      <c r="P137" s="3" t="inlineStr">
        <is>
          <t>F18</t>
        </is>
      </c>
      <c t="str" r="Q137" s="6">
        <f>A137&amp;"|"&amp;C137&amp;"|"&amp;D137&amp;"|"&amp;G137</f>
        <v>НоваПак|Шкала|Оборудование|6</v>
      </c>
      <c t="str" r="R137" s="6">
        <f>A137&amp;"|"&amp;C137&amp;"|"&amp;D137&amp;"|"&amp;J137</f>
        <v>НоваПак|Шкала|Оборудование|2</v>
      </c>
      <c t="str" r="S137" s="6">
        <f>A137&amp;"|"&amp;C137&amp;"|"&amp;D137&amp;"|"&amp;G137&amp;"|"&amp;J137</f>
        <v>НоваПак|Шкала|Оборудование|6|2</v>
      </c>
      <c t="str" r="T137" s="6">
        <f>A137&amp;"|"&amp;C137&amp;"|"&amp;G137</f>
        <v>НоваПак|Шкала|6</v>
      </c>
      <c t="str" r="U137" s="6">
        <f>IF(H137="да",A137&amp;"|"&amp;C137&amp;"|"&amp;D137&amp;"|"&amp;J137,"")</f>
        <v>НоваПак|Шкала|Оборудование|2</v>
      </c>
      <c t="str" r="V137" s="6">
        <f>IF(C137="План",A137&amp;"|"&amp;J137,"")</f>
        <v/>
      </c>
    </row>
    <row r="138">
      <c r="A138" s="3" t="inlineStr">
        <is>
          <t>НоваПак</t>
        </is>
      </c>
      <c r="B138" s="3" t="inlineStr">
        <is>
          <t>РФ</t>
        </is>
      </c>
      <c r="C138" s="3" t="inlineStr">
        <is>
          <t>Шкала</t>
        </is>
      </c>
      <c r="D138" s="3" t="inlineStr">
        <is>
          <t>Оборудование</t>
        </is>
      </c>
      <c r="E138" s="3" t="inlineStr">
        <is>
          <t>Оборудование — за квартал</t>
        </is>
      </c>
      <c r="F138" s="3" t="inlineStr">
        <is>
          <t>ИТОГО по МП:</t>
        </is>
      </c>
      <c r="G138" s="4" t="n">
        <v>6</v>
      </c>
      <c r="H138" s="4" t="inlineStr">
        <is>
          <t>да</t>
        </is>
      </c>
      <c r="I138" s="3" t="inlineStr">
        <is>
          <t>115-149</t>
        </is>
      </c>
      <c r="J138" s="4" t="n">
        <v>3</v>
      </c>
      <c r="K138" s="4" t="n"/>
      <c r="L138" s="4" t="n"/>
      <c r="M138" s="8" t="n">
        <v>0.16</v>
      </c>
      <c r="N138" s="4" t="inlineStr">
        <is>
          <t>%</t>
        </is>
      </c>
      <c r="O138" s="3" t="inlineStr">
        <is>
          <t>НоваПак</t>
        </is>
      </c>
      <c r="P138" s="3" t="inlineStr">
        <is>
          <t>G18</t>
        </is>
      </c>
      <c t="str" r="Q138" s="6">
        <f>A138&amp;"|"&amp;C138&amp;"|"&amp;D138&amp;"|"&amp;G138</f>
        <v>НоваПак|Шкала|Оборудование|6</v>
      </c>
      <c t="str" r="R138" s="6">
        <f>A138&amp;"|"&amp;C138&amp;"|"&amp;D138&amp;"|"&amp;J138</f>
        <v>НоваПак|Шкала|Оборудование|3</v>
      </c>
      <c t="str" r="S138" s="6">
        <f>A138&amp;"|"&amp;C138&amp;"|"&amp;D138&amp;"|"&amp;G138&amp;"|"&amp;J138</f>
        <v>НоваПак|Шкала|Оборудование|6|3</v>
      </c>
      <c t="str" r="T138" s="6">
        <f>A138&amp;"|"&amp;C138&amp;"|"&amp;G138</f>
        <v>НоваПак|Шкала|6</v>
      </c>
      <c t="str" r="U138" s="6">
        <f>IF(H138="да",A138&amp;"|"&amp;C138&amp;"|"&amp;D138&amp;"|"&amp;J138,"")</f>
        <v>НоваПак|Шкала|Оборудование|3</v>
      </c>
      <c t="str" r="V138" s="6">
        <f>IF(C138="План",A138&amp;"|"&amp;J138,"")</f>
        <v/>
      </c>
    </row>
    <row r="139">
      <c r="A139" s="3" t="inlineStr">
        <is>
          <t>НоваПак</t>
        </is>
      </c>
      <c r="B139" s="3" t="inlineStr">
        <is>
          <t>РФ</t>
        </is>
      </c>
      <c r="C139" s="3" t="inlineStr">
        <is>
          <t>Шкала</t>
        </is>
      </c>
      <c r="D139" s="3" t="inlineStr">
        <is>
          <t>Оборудование</t>
        </is>
      </c>
      <c r="E139" s="3" t="inlineStr">
        <is>
          <t>Оборудование — за квартал</t>
        </is>
      </c>
      <c r="F139" s="3" t="inlineStr">
        <is>
          <t>ИТОГО по МП:</t>
        </is>
      </c>
      <c r="G139" s="4" t="n">
        <v>6</v>
      </c>
      <c r="H139" s="4" t="inlineStr">
        <is>
          <t>да</t>
        </is>
      </c>
      <c r="I139" s="3" t="inlineStr">
        <is>
          <t>150-189</t>
        </is>
      </c>
      <c r="J139" s="4" t="n">
        <v>4</v>
      </c>
      <c r="K139" s="4" t="n"/>
      <c r="L139" s="4" t="n"/>
      <c r="M139" s="8" t="n">
        <v>0.17</v>
      </c>
      <c r="N139" s="4" t="inlineStr">
        <is>
          <t>%</t>
        </is>
      </c>
      <c r="O139" s="3" t="inlineStr">
        <is>
          <t>НоваПак</t>
        </is>
      </c>
      <c r="P139" s="3" t="inlineStr">
        <is>
          <t>H18</t>
        </is>
      </c>
      <c t="str" r="Q139" s="6">
        <f>A139&amp;"|"&amp;C139&amp;"|"&amp;D139&amp;"|"&amp;G139</f>
        <v>НоваПак|Шкала|Оборудование|6</v>
      </c>
      <c t="str" r="R139" s="6">
        <f>A139&amp;"|"&amp;C139&amp;"|"&amp;D139&amp;"|"&amp;J139</f>
        <v>НоваПак|Шкала|Оборудование|4</v>
      </c>
      <c t="str" r="S139" s="6">
        <f>A139&amp;"|"&amp;C139&amp;"|"&amp;D139&amp;"|"&amp;G139&amp;"|"&amp;J139</f>
        <v>НоваПак|Шкала|Оборудование|6|4</v>
      </c>
      <c t="str" r="T139" s="6">
        <f>A139&amp;"|"&amp;C139&amp;"|"&amp;G139</f>
        <v>НоваПак|Шкала|6</v>
      </c>
      <c t="str" r="U139" s="6">
        <f>IF(H139="да",A139&amp;"|"&amp;C139&amp;"|"&amp;D139&amp;"|"&amp;J139,"")</f>
        <v>НоваПак|Шкала|Оборудование|4</v>
      </c>
      <c t="str" r="V139" s="6">
        <f>IF(C139="План",A139&amp;"|"&amp;J139,"")</f>
        <v/>
      </c>
    </row>
    <row r="140">
      <c r="A140" s="3" t="inlineStr">
        <is>
          <t>НоваПак</t>
        </is>
      </c>
      <c r="B140" s="3" t="inlineStr">
        <is>
          <t>РФ</t>
        </is>
      </c>
      <c r="C140" s="3" t="inlineStr">
        <is>
          <t>Шкала</t>
        </is>
      </c>
      <c r="D140" s="3" t="inlineStr">
        <is>
          <t>Оборудование</t>
        </is>
      </c>
      <c r="E140" s="3" t="inlineStr">
        <is>
          <t>Оборудование — за квартал</t>
        </is>
      </c>
      <c r="F140" s="3" t="inlineStr">
        <is>
          <t>ИТОГО по МП:</t>
        </is>
      </c>
      <c r="G140" s="4" t="n">
        <v>6</v>
      </c>
      <c r="H140" s="4" t="inlineStr">
        <is>
          <t>да</t>
        </is>
      </c>
      <c r="I140" s="3" t="inlineStr">
        <is>
          <t>190-224</t>
        </is>
      </c>
      <c r="J140" s="4" t="n">
        <v>5</v>
      </c>
      <c r="K140" s="4" t="n"/>
      <c r="L140" s="4" t="n"/>
      <c r="M140" s="8" t="n">
        <v>0.18</v>
      </c>
      <c r="N140" s="4" t="inlineStr">
        <is>
          <t>%</t>
        </is>
      </c>
      <c r="O140" s="3" t="inlineStr">
        <is>
          <t>НоваПак</t>
        </is>
      </c>
      <c r="P140" s="3" t="inlineStr">
        <is>
          <t>I18</t>
        </is>
      </c>
      <c t="str" r="Q140" s="6">
        <f>A140&amp;"|"&amp;C140&amp;"|"&amp;D140&amp;"|"&amp;G140</f>
        <v>НоваПак|Шкала|Оборудование|6</v>
      </c>
      <c t="str" r="R140" s="6">
        <f>A140&amp;"|"&amp;C140&amp;"|"&amp;D140&amp;"|"&amp;J140</f>
        <v>НоваПак|Шкала|Оборудование|5</v>
      </c>
      <c t="str" r="S140" s="6">
        <f>A140&amp;"|"&amp;C140&amp;"|"&amp;D140&amp;"|"&amp;G140&amp;"|"&amp;J140</f>
        <v>НоваПак|Шкала|Оборудование|6|5</v>
      </c>
      <c t="str" r="T140" s="6">
        <f>A140&amp;"|"&amp;C140&amp;"|"&amp;G140</f>
        <v>НоваПак|Шкала|6</v>
      </c>
      <c t="str" r="U140" s="6">
        <f>IF(H140="да",A140&amp;"|"&amp;C140&amp;"|"&amp;D140&amp;"|"&amp;J140,"")</f>
        <v>НоваПак|Шкала|Оборудование|5</v>
      </c>
      <c t="str" r="V140" s="6">
        <f>IF(C140="План",A140&amp;"|"&amp;J140,"")</f>
        <v/>
      </c>
    </row>
    <row r="141">
      <c r="A141" s="3" t="inlineStr">
        <is>
          <t>НоваПак</t>
        </is>
      </c>
      <c r="B141" s="3" t="inlineStr">
        <is>
          <t>РФ</t>
        </is>
      </c>
      <c r="C141" s="3" t="inlineStr">
        <is>
          <t>Шкала</t>
        </is>
      </c>
      <c r="D141" s="3" t="inlineStr">
        <is>
          <t>Оборудование</t>
        </is>
      </c>
      <c r="E141" s="3" t="inlineStr">
        <is>
          <t>Оборудование — за квартал</t>
        </is>
      </c>
      <c r="F141" s="3" t="inlineStr">
        <is>
          <t>ИТОГО по МП:</t>
        </is>
      </c>
      <c r="G141" s="4" t="n">
        <v>6</v>
      </c>
      <c r="H141" s="4" t="inlineStr">
        <is>
          <t>да</t>
        </is>
      </c>
      <c r="I141" s="3" t="inlineStr">
        <is>
          <t>225 и более</t>
        </is>
      </c>
      <c r="J141" s="4" t="n">
        <v>6</v>
      </c>
      <c r="K141" s="4" t="n"/>
      <c r="L141" s="4" t="n"/>
      <c r="M141" s="8" t="n">
        <v>0.19</v>
      </c>
      <c r="N141" s="4" t="inlineStr">
        <is>
          <t>%</t>
        </is>
      </c>
      <c r="O141" s="3" t="inlineStr">
        <is>
          <t>НоваПак</t>
        </is>
      </c>
      <c r="P141" s="3" t="inlineStr">
        <is>
          <t>J18</t>
        </is>
      </c>
      <c t="str" r="Q141" s="6">
        <f>A141&amp;"|"&amp;C141&amp;"|"&amp;D141&amp;"|"&amp;G141</f>
        <v>НоваПак|Шкала|Оборудование|6</v>
      </c>
      <c t="str" r="R141" s="6">
        <f>A141&amp;"|"&amp;C141&amp;"|"&amp;D141&amp;"|"&amp;J141</f>
        <v>НоваПак|Шкала|Оборудование|6</v>
      </c>
      <c t="str" r="S141" s="6">
        <f>A141&amp;"|"&amp;C141&amp;"|"&amp;D141&amp;"|"&amp;G141&amp;"|"&amp;J141</f>
        <v>НоваПак|Шкала|Оборудование|6|6</v>
      </c>
      <c t="str" r="T141" s="6">
        <f>A141&amp;"|"&amp;C141&amp;"|"&amp;G141</f>
        <v>НоваПак|Шкала|6</v>
      </c>
      <c t="str" r="U141" s="6">
        <f>IF(H141="да",A141&amp;"|"&amp;C141&amp;"|"&amp;D141&amp;"|"&amp;J141,"")</f>
        <v>НоваПак|Шкала|Оборудование|6</v>
      </c>
      <c t="str" r="V141" s="6">
        <f>IF(C141="План",A141&amp;"|"&amp;J141,"")</f>
        <v/>
      </c>
    </row>
    <row r="142">
      <c r="A142" s="3" t="inlineStr">
        <is>
          <t>НоваПак</t>
        </is>
      </c>
      <c r="B142" s="3" t="inlineStr">
        <is>
          <t>РФ</t>
        </is>
      </c>
      <c r="C142" s="3" t="inlineStr">
        <is>
          <t>Шкала</t>
        </is>
      </c>
      <c r="D142" s="3" t="inlineStr">
        <is>
          <t>Оборудование</t>
        </is>
      </c>
      <c r="E142" s="3" t="inlineStr">
        <is>
          <t>Оборудование — за квартал</t>
        </is>
      </c>
      <c r="F142" s="3" t="inlineStr">
        <is>
          <t>Наличие минимальных складских остатков по РМ (синхронизация отчета по остаткам с 1С КОМПО)</t>
        </is>
      </c>
      <c r="G142" s="4" t="n">
        <v>7</v>
      </c>
      <c r="H142" s="4" t="n"/>
      <c r="I142" s="3" t="inlineStr">
        <is>
          <t>до 75</t>
        </is>
      </c>
      <c r="J142" s="4" t="n">
        <v>1</v>
      </c>
      <c r="K142" s="4" t="n"/>
      <c r="L142" s="4" t="n"/>
      <c r="M142" s="8" t="n">
        <v>0.01</v>
      </c>
      <c r="N142" s="4" t="inlineStr">
        <is>
          <t>%</t>
        </is>
      </c>
      <c r="O142" s="3" t="inlineStr">
        <is>
          <t>НоваПак</t>
        </is>
      </c>
      <c r="P142" s="3" t="inlineStr">
        <is>
          <t>E20</t>
        </is>
      </c>
      <c t="str" r="Q142" s="6">
        <f>A142&amp;"|"&amp;C142&amp;"|"&amp;D142&amp;"|"&amp;G142</f>
        <v>НоваПак|Шкала|Оборудование|7</v>
      </c>
      <c t="str" r="R142" s="6">
        <f>A142&amp;"|"&amp;C142&amp;"|"&amp;D142&amp;"|"&amp;J142</f>
        <v>НоваПак|Шкала|Оборудование|1</v>
      </c>
      <c t="str" r="S142" s="6">
        <f>A142&amp;"|"&amp;C142&amp;"|"&amp;D142&amp;"|"&amp;G142&amp;"|"&amp;J142</f>
        <v>НоваПак|Шкала|Оборудование|7|1</v>
      </c>
      <c t="str" r="T142" s="6">
        <f>A142&amp;"|"&amp;C142&amp;"|"&amp;G142</f>
        <v>НоваПак|Шкала|7</v>
      </c>
      <c t="str" r="U142" s="6">
        <f>IF(H142="да",A142&amp;"|"&amp;C142&amp;"|"&amp;D142&amp;"|"&amp;J142,"")</f>
        <v/>
      </c>
      <c t="str" r="V142" s="6">
        <f>IF(C142="План",A142&amp;"|"&amp;J142,"")</f>
        <v/>
      </c>
    </row>
    <row r="143">
      <c r="A143" s="3" t="inlineStr">
        <is>
          <t>НоваПак</t>
        </is>
      </c>
      <c r="B143" s="3" t="inlineStr">
        <is>
          <t>РФ</t>
        </is>
      </c>
      <c r="C143" s="3" t="inlineStr">
        <is>
          <t>Шкала</t>
        </is>
      </c>
      <c r="D143" s="3" t="inlineStr">
        <is>
          <t>Оборудование</t>
        </is>
      </c>
      <c r="E143" s="3" t="inlineStr">
        <is>
          <t>Оборудование — за квартал</t>
        </is>
      </c>
      <c r="F143" s="3" t="inlineStr">
        <is>
          <t>Наличие минимальных складских остатков по РМ (синхронизация отчета по остаткам с 1С КОМПО)</t>
        </is>
      </c>
      <c r="G143" s="4" t="n">
        <v>7</v>
      </c>
      <c r="H143" s="4" t="n"/>
      <c r="I143" s="3" t="inlineStr">
        <is>
          <t>75-114</t>
        </is>
      </c>
      <c r="J143" s="4" t="n">
        <v>2</v>
      </c>
      <c r="K143" s="4" t="n"/>
      <c r="L143" s="4" t="n"/>
      <c r="M143" s="8" t="n">
        <v>0.01</v>
      </c>
      <c r="N143" s="4" t="inlineStr">
        <is>
          <t>%</t>
        </is>
      </c>
      <c r="O143" s="3" t="inlineStr">
        <is>
          <t>НоваПак</t>
        </is>
      </c>
      <c r="P143" s="3" t="inlineStr">
        <is>
          <t>F20</t>
        </is>
      </c>
      <c t="str" r="Q143" s="6">
        <f>A143&amp;"|"&amp;C143&amp;"|"&amp;D143&amp;"|"&amp;G143</f>
        <v>НоваПак|Шкала|Оборудование|7</v>
      </c>
      <c t="str" r="R143" s="6">
        <f>A143&amp;"|"&amp;C143&amp;"|"&amp;D143&amp;"|"&amp;J143</f>
        <v>НоваПак|Шкала|Оборудование|2</v>
      </c>
      <c t="str" r="S143" s="6">
        <f>A143&amp;"|"&amp;C143&amp;"|"&amp;D143&amp;"|"&amp;G143&amp;"|"&amp;J143</f>
        <v>НоваПак|Шкала|Оборудование|7|2</v>
      </c>
      <c t="str" r="T143" s="6">
        <f>A143&amp;"|"&amp;C143&amp;"|"&amp;G143</f>
        <v>НоваПак|Шкала|7</v>
      </c>
      <c t="str" r="U143" s="6">
        <f>IF(H143="да",A143&amp;"|"&amp;C143&amp;"|"&amp;D143&amp;"|"&amp;J143,"")</f>
        <v/>
      </c>
      <c t="str" r="V143" s="6">
        <f>IF(C143="План",A143&amp;"|"&amp;J143,"")</f>
        <v/>
      </c>
    </row>
    <row r="144">
      <c r="A144" s="3" t="inlineStr">
        <is>
          <t>НоваПак</t>
        </is>
      </c>
      <c r="B144" s="3" t="inlineStr">
        <is>
          <t>РФ</t>
        </is>
      </c>
      <c r="C144" s="3" t="inlineStr">
        <is>
          <t>Шкала</t>
        </is>
      </c>
      <c r="D144" s="3" t="inlineStr">
        <is>
          <t>Оборудование</t>
        </is>
      </c>
      <c r="E144" s="3" t="inlineStr">
        <is>
          <t>Оборудование — за квартал</t>
        </is>
      </c>
      <c r="F144" s="3" t="inlineStr">
        <is>
          <t>Наличие минимальных складских остатков по РМ (синхронизация отчета по остаткам с 1С КОМПО)</t>
        </is>
      </c>
      <c r="G144" s="4" t="n">
        <v>7</v>
      </c>
      <c r="H144" s="4" t="n"/>
      <c r="I144" s="3" t="inlineStr">
        <is>
          <t>115-149</t>
        </is>
      </c>
      <c r="J144" s="4" t="n">
        <v>3</v>
      </c>
      <c r="K144" s="4" t="n"/>
      <c r="L144" s="4" t="n"/>
      <c r="M144" s="8" t="n">
        <v>0.01</v>
      </c>
      <c r="N144" s="4" t="inlineStr">
        <is>
          <t>%</t>
        </is>
      </c>
      <c r="O144" s="3" t="inlineStr">
        <is>
          <t>НоваПак</t>
        </is>
      </c>
      <c r="P144" s="3" t="inlineStr">
        <is>
          <t>G20</t>
        </is>
      </c>
      <c t="str" r="Q144" s="6">
        <f>A144&amp;"|"&amp;C144&amp;"|"&amp;D144&amp;"|"&amp;G144</f>
        <v>НоваПак|Шкала|Оборудование|7</v>
      </c>
      <c t="str" r="R144" s="6">
        <f>A144&amp;"|"&amp;C144&amp;"|"&amp;D144&amp;"|"&amp;J144</f>
        <v>НоваПак|Шкала|Оборудование|3</v>
      </c>
      <c t="str" r="S144" s="6">
        <f>A144&amp;"|"&amp;C144&amp;"|"&amp;D144&amp;"|"&amp;G144&amp;"|"&amp;J144</f>
        <v>НоваПак|Шкала|Оборудование|7|3</v>
      </c>
      <c t="str" r="T144" s="6">
        <f>A144&amp;"|"&amp;C144&amp;"|"&amp;G144</f>
        <v>НоваПак|Шкала|7</v>
      </c>
      <c t="str" r="U144" s="6">
        <f>IF(H144="да",A144&amp;"|"&amp;C144&amp;"|"&amp;D144&amp;"|"&amp;J144,"")</f>
        <v/>
      </c>
      <c t="str" r="V144" s="6">
        <f>IF(C144="План",A144&amp;"|"&amp;J144,"")</f>
        <v/>
      </c>
    </row>
    <row r="145">
      <c r="A145" s="3" t="inlineStr">
        <is>
          <t>НоваПак</t>
        </is>
      </c>
      <c r="B145" s="3" t="inlineStr">
        <is>
          <t>РФ</t>
        </is>
      </c>
      <c r="C145" s="3" t="inlineStr">
        <is>
          <t>Шкала</t>
        </is>
      </c>
      <c r="D145" s="3" t="inlineStr">
        <is>
          <t>Оборудование</t>
        </is>
      </c>
      <c r="E145" s="3" t="inlineStr">
        <is>
          <t>Оборудование — за квартал</t>
        </is>
      </c>
      <c r="F145" s="3" t="inlineStr">
        <is>
          <t>Наличие минимальных складских остатков по РМ (синхронизация отчета по остаткам с 1С КОМПО)</t>
        </is>
      </c>
      <c r="G145" s="4" t="n">
        <v>7</v>
      </c>
      <c r="H145" s="4" t="n"/>
      <c r="I145" s="3" t="inlineStr">
        <is>
          <t>150-189</t>
        </is>
      </c>
      <c r="J145" s="4" t="n">
        <v>4</v>
      </c>
      <c r="K145" s="4" t="n"/>
      <c r="L145" s="4" t="n"/>
      <c r="M145" s="8" t="n">
        <v>0.01</v>
      </c>
      <c r="N145" s="4" t="inlineStr">
        <is>
          <t>%</t>
        </is>
      </c>
      <c r="O145" s="3" t="inlineStr">
        <is>
          <t>НоваПак</t>
        </is>
      </c>
      <c r="P145" s="3" t="inlineStr">
        <is>
          <t>H20</t>
        </is>
      </c>
      <c t="str" r="Q145" s="6">
        <f>A145&amp;"|"&amp;C145&amp;"|"&amp;D145&amp;"|"&amp;G145</f>
        <v>НоваПак|Шкала|Оборудование|7</v>
      </c>
      <c t="str" r="R145" s="6">
        <f>A145&amp;"|"&amp;C145&amp;"|"&amp;D145&amp;"|"&amp;J145</f>
        <v>НоваПак|Шкала|Оборудование|4</v>
      </c>
      <c t="str" r="S145" s="6">
        <f>A145&amp;"|"&amp;C145&amp;"|"&amp;D145&amp;"|"&amp;G145&amp;"|"&amp;J145</f>
        <v>НоваПак|Шкала|Оборудование|7|4</v>
      </c>
      <c t="str" r="T145" s="6">
        <f>A145&amp;"|"&amp;C145&amp;"|"&amp;G145</f>
        <v>НоваПак|Шкала|7</v>
      </c>
      <c t="str" r="U145" s="6">
        <f>IF(H145="да",A145&amp;"|"&amp;C145&amp;"|"&amp;D145&amp;"|"&amp;J145,"")</f>
        <v/>
      </c>
      <c t="str" r="V145" s="6">
        <f>IF(C145="План",A145&amp;"|"&amp;J145,"")</f>
        <v/>
      </c>
    </row>
    <row r="146">
      <c r="A146" s="3" t="inlineStr">
        <is>
          <t>НоваПак</t>
        </is>
      </c>
      <c r="B146" s="3" t="inlineStr">
        <is>
          <t>РФ</t>
        </is>
      </c>
      <c r="C146" s="3" t="inlineStr">
        <is>
          <t>Шкала</t>
        </is>
      </c>
      <c r="D146" s="3" t="inlineStr">
        <is>
          <t>Оборудование</t>
        </is>
      </c>
      <c r="E146" s="3" t="inlineStr">
        <is>
          <t>Оборудование — за квартал</t>
        </is>
      </c>
      <c r="F146" s="3" t="inlineStr">
        <is>
          <t>Наличие минимальных складских остатков по РМ (синхронизация отчета по остаткам с 1С КОМПО)</t>
        </is>
      </c>
      <c r="G146" s="4" t="n">
        <v>7</v>
      </c>
      <c r="H146" s="4" t="n"/>
      <c r="I146" s="3" t="inlineStr">
        <is>
          <t>190-224</t>
        </is>
      </c>
      <c r="J146" s="4" t="n">
        <v>5</v>
      </c>
      <c r="K146" s="4" t="n"/>
      <c r="L146" s="4" t="n"/>
      <c r="M146" s="8" t="n">
        <v>0.01</v>
      </c>
      <c r="N146" s="4" t="inlineStr">
        <is>
          <t>%</t>
        </is>
      </c>
      <c r="O146" s="3" t="inlineStr">
        <is>
          <t>НоваПак</t>
        </is>
      </c>
      <c r="P146" s="3" t="inlineStr">
        <is>
          <t>I20</t>
        </is>
      </c>
      <c t="str" r="Q146" s="6">
        <f>A146&amp;"|"&amp;C146&amp;"|"&amp;D146&amp;"|"&amp;G146</f>
        <v>НоваПак|Шкала|Оборудование|7</v>
      </c>
      <c t="str" r="R146" s="6">
        <f>A146&amp;"|"&amp;C146&amp;"|"&amp;D146&amp;"|"&amp;J146</f>
        <v>НоваПак|Шкала|Оборудование|5</v>
      </c>
      <c t="str" r="S146" s="6">
        <f>A146&amp;"|"&amp;C146&amp;"|"&amp;D146&amp;"|"&amp;G146&amp;"|"&amp;J146</f>
        <v>НоваПак|Шкала|Оборудование|7|5</v>
      </c>
      <c t="str" r="T146" s="6">
        <f>A146&amp;"|"&amp;C146&amp;"|"&amp;G146</f>
        <v>НоваПак|Шкала|7</v>
      </c>
      <c t="str" r="U146" s="6">
        <f>IF(H146="да",A146&amp;"|"&amp;C146&amp;"|"&amp;D146&amp;"|"&amp;J146,"")</f>
        <v/>
      </c>
      <c t="str" r="V146" s="6">
        <f>IF(C146="План",A146&amp;"|"&amp;J146,"")</f>
        <v/>
      </c>
    </row>
    <row r="147">
      <c r="A147" s="3" t="inlineStr">
        <is>
          <t>НоваПак</t>
        </is>
      </c>
      <c r="B147" s="3" t="inlineStr">
        <is>
          <t>РФ</t>
        </is>
      </c>
      <c r="C147" s="3" t="inlineStr">
        <is>
          <t>Шкала</t>
        </is>
      </c>
      <c r="D147" s="3" t="inlineStr">
        <is>
          <t>Оборудование</t>
        </is>
      </c>
      <c r="E147" s="3" t="inlineStr">
        <is>
          <t>Оборудование — за квартал</t>
        </is>
      </c>
      <c r="F147" s="3" t="inlineStr">
        <is>
          <t>Наличие минимальных складских остатков по РМ (синхронизация отчета по остаткам с 1С КОМПО)</t>
        </is>
      </c>
      <c r="G147" s="4" t="n">
        <v>7</v>
      </c>
      <c r="H147" s="4" t="n"/>
      <c r="I147" s="3" t="inlineStr">
        <is>
          <t>225 и более</t>
        </is>
      </c>
      <c r="J147" s="4" t="n">
        <v>6</v>
      </c>
      <c r="K147" s="4" t="n"/>
      <c r="L147" s="4" t="n"/>
      <c r="M147" s="8" t="n">
        <v>0.01</v>
      </c>
      <c r="N147" s="4" t="inlineStr">
        <is>
          <t>%</t>
        </is>
      </c>
      <c r="O147" s="3" t="inlineStr">
        <is>
          <t>НоваПак</t>
        </is>
      </c>
      <c r="P147" s="3" t="inlineStr">
        <is>
          <t>J20</t>
        </is>
      </c>
      <c t="str" r="Q147" s="6">
        <f>A147&amp;"|"&amp;C147&amp;"|"&amp;D147&amp;"|"&amp;G147</f>
        <v>НоваПак|Шкала|Оборудование|7</v>
      </c>
      <c t="str" r="R147" s="6">
        <f>A147&amp;"|"&amp;C147&amp;"|"&amp;D147&amp;"|"&amp;J147</f>
        <v>НоваПак|Шкала|Оборудование|6</v>
      </c>
      <c t="str" r="S147" s="6">
        <f>A147&amp;"|"&amp;C147&amp;"|"&amp;D147&amp;"|"&amp;G147&amp;"|"&amp;J147</f>
        <v>НоваПак|Шкала|Оборудование|7|6</v>
      </c>
      <c t="str" r="T147" s="6">
        <f>A147&amp;"|"&amp;C147&amp;"|"&amp;G147</f>
        <v>НоваПак|Шкала|7</v>
      </c>
      <c t="str" r="U147" s="6">
        <f>IF(H147="да",A147&amp;"|"&amp;C147&amp;"|"&amp;D147&amp;"|"&amp;J147,"")</f>
        <v/>
      </c>
      <c t="str" r="V147" s="6">
        <f>IF(C147="План",A147&amp;"|"&amp;J147,"")</f>
        <v/>
      </c>
    </row>
    <row r="148">
      <c r="A148" s="3" t="inlineStr">
        <is>
          <t>НоваПак</t>
        </is>
      </c>
      <c r="B148" s="3" t="inlineStr">
        <is>
          <t>РФ</t>
        </is>
      </c>
      <c r="C148" s="3" t="inlineStr">
        <is>
          <t>Шкала</t>
        </is>
      </c>
      <c r="D148" s="3" t="inlineStr">
        <is>
          <t>Оборудование</t>
        </is>
      </c>
      <c r="E148" s="3" t="inlineStr">
        <is>
          <t>Оборудование — за квартал</t>
        </is>
      </c>
      <c r="F148" s="3" t="inlineStr">
        <is>
          <t>Объем закупок РМ</t>
        </is>
      </c>
      <c r="G148" s="4" t="n">
        <v>8</v>
      </c>
      <c r="H148" s="4" t="n"/>
      <c r="I148" s="3" t="inlineStr">
        <is>
          <t>до 75</t>
        </is>
      </c>
      <c r="J148" s="4" t="n">
        <v>1</v>
      </c>
      <c r="K148" s="4" t="n"/>
      <c r="L148" s="4" t="n"/>
      <c r="M148" s="8" t="n">
        <v>0</v>
      </c>
      <c r="N148" s="4" t="inlineStr">
        <is>
          <t>%</t>
        </is>
      </c>
      <c r="O148" s="3" t="inlineStr">
        <is>
          <t>НоваПак</t>
        </is>
      </c>
      <c r="P148" s="3" t="inlineStr">
        <is>
          <t>E21</t>
        </is>
      </c>
      <c t="str" r="Q148" s="6">
        <f>A148&amp;"|"&amp;C148&amp;"|"&amp;D148&amp;"|"&amp;G148</f>
        <v>НоваПак|Шкала|Оборудование|8</v>
      </c>
      <c t="str" r="R148" s="6">
        <f>A148&amp;"|"&amp;C148&amp;"|"&amp;D148&amp;"|"&amp;J148</f>
        <v>НоваПак|Шкала|Оборудование|1</v>
      </c>
      <c t="str" r="S148" s="6">
        <f>A148&amp;"|"&amp;C148&amp;"|"&amp;D148&amp;"|"&amp;G148&amp;"|"&amp;J148</f>
        <v>НоваПак|Шкала|Оборудование|8|1</v>
      </c>
      <c t="str" r="T148" s="6">
        <f>A148&amp;"|"&amp;C148&amp;"|"&amp;G148</f>
        <v>НоваПак|Шкала|8</v>
      </c>
      <c t="str" r="U148" s="6">
        <f>IF(H148="да",A148&amp;"|"&amp;C148&amp;"|"&amp;D148&amp;"|"&amp;J148,"")</f>
        <v/>
      </c>
      <c t="str" r="V148" s="6">
        <f>IF(C148="План",A148&amp;"|"&amp;J148,"")</f>
        <v/>
      </c>
    </row>
    <row r="149">
      <c r="A149" s="3" t="inlineStr">
        <is>
          <t>НоваПак</t>
        </is>
      </c>
      <c r="B149" s="3" t="inlineStr">
        <is>
          <t>РФ</t>
        </is>
      </c>
      <c r="C149" s="3" t="inlineStr">
        <is>
          <t>Шкала</t>
        </is>
      </c>
      <c r="D149" s="3" t="inlineStr">
        <is>
          <t>Оборудование</t>
        </is>
      </c>
      <c r="E149" s="3" t="inlineStr">
        <is>
          <t>Оборудование — за квартал</t>
        </is>
      </c>
      <c r="F149" s="3" t="inlineStr">
        <is>
          <t>Объем закупок РМ</t>
        </is>
      </c>
      <c r="G149" s="4" t="n">
        <v>8</v>
      </c>
      <c r="H149" s="4" t="n"/>
      <c r="I149" s="3" t="inlineStr">
        <is>
          <t>75-114</t>
        </is>
      </c>
      <c r="J149" s="4" t="n">
        <v>2</v>
      </c>
      <c r="K149" s="4" t="n"/>
      <c r="L149" s="4" t="n"/>
      <c r="M149" s="8" t="n">
        <v>0.01</v>
      </c>
      <c r="N149" s="4" t="inlineStr">
        <is>
          <t>%</t>
        </is>
      </c>
      <c r="O149" s="3" t="inlineStr">
        <is>
          <t>НоваПак</t>
        </is>
      </c>
      <c r="P149" s="3" t="inlineStr">
        <is>
          <t>F21</t>
        </is>
      </c>
      <c t="str" r="Q149" s="6">
        <f>A149&amp;"|"&amp;C149&amp;"|"&amp;D149&amp;"|"&amp;G149</f>
        <v>НоваПак|Шкала|Оборудование|8</v>
      </c>
      <c t="str" r="R149" s="6">
        <f>A149&amp;"|"&amp;C149&amp;"|"&amp;D149&amp;"|"&amp;J149</f>
        <v>НоваПак|Шкала|Оборудование|2</v>
      </c>
      <c t="str" r="S149" s="6">
        <f>A149&amp;"|"&amp;C149&amp;"|"&amp;D149&amp;"|"&amp;G149&amp;"|"&amp;J149</f>
        <v>НоваПак|Шкала|Оборудование|8|2</v>
      </c>
      <c t="str" r="T149" s="6">
        <f>A149&amp;"|"&amp;C149&amp;"|"&amp;G149</f>
        <v>НоваПак|Шкала|8</v>
      </c>
      <c t="str" r="U149" s="6">
        <f>IF(H149="да",A149&amp;"|"&amp;C149&amp;"|"&amp;D149&amp;"|"&amp;J149,"")</f>
        <v/>
      </c>
      <c t="str" r="V149" s="6">
        <f>IF(C149="План",A149&amp;"|"&amp;J149,"")</f>
        <v/>
      </c>
    </row>
    <row r="150">
      <c r="A150" s="3" t="inlineStr">
        <is>
          <t>НоваПак</t>
        </is>
      </c>
      <c r="B150" s="3" t="inlineStr">
        <is>
          <t>РФ</t>
        </is>
      </c>
      <c r="C150" s="3" t="inlineStr">
        <is>
          <t>Шкала</t>
        </is>
      </c>
      <c r="D150" s="3" t="inlineStr">
        <is>
          <t>Оборудование</t>
        </is>
      </c>
      <c r="E150" s="3" t="inlineStr">
        <is>
          <t>Оборудование — за квартал</t>
        </is>
      </c>
      <c r="F150" s="3" t="inlineStr">
        <is>
          <t>Объем закупок РМ</t>
        </is>
      </c>
      <c r="G150" s="4" t="n">
        <v>8</v>
      </c>
      <c r="H150" s="4" t="n"/>
      <c r="I150" s="3" t="inlineStr">
        <is>
          <t>115-149</t>
        </is>
      </c>
      <c r="J150" s="4" t="n">
        <v>3</v>
      </c>
      <c r="K150" s="4" t="n"/>
      <c r="L150" s="4" t="n"/>
      <c r="M150" s="8" t="n">
        <v>0.02</v>
      </c>
      <c r="N150" s="4" t="inlineStr">
        <is>
          <t>%</t>
        </is>
      </c>
      <c r="O150" s="3" t="inlineStr">
        <is>
          <t>НоваПак</t>
        </is>
      </c>
      <c r="P150" s="3" t="inlineStr">
        <is>
          <t>G21</t>
        </is>
      </c>
      <c t="str" r="Q150" s="6">
        <f>A150&amp;"|"&amp;C150&amp;"|"&amp;D150&amp;"|"&amp;G150</f>
        <v>НоваПак|Шкала|Оборудование|8</v>
      </c>
      <c t="str" r="R150" s="6">
        <f>A150&amp;"|"&amp;C150&amp;"|"&amp;D150&amp;"|"&amp;J150</f>
        <v>НоваПак|Шкала|Оборудование|3</v>
      </c>
      <c t="str" r="S150" s="6">
        <f>A150&amp;"|"&amp;C150&amp;"|"&amp;D150&amp;"|"&amp;G150&amp;"|"&amp;J150</f>
        <v>НоваПак|Шкала|Оборудование|8|3</v>
      </c>
      <c t="str" r="T150" s="6">
        <f>A150&amp;"|"&amp;C150&amp;"|"&amp;G150</f>
        <v>НоваПак|Шкала|8</v>
      </c>
      <c t="str" r="U150" s="6">
        <f>IF(H150="да",A150&amp;"|"&amp;C150&amp;"|"&amp;D150&amp;"|"&amp;J150,"")</f>
        <v/>
      </c>
      <c t="str" r="V150" s="6">
        <f>IF(C150="План",A150&amp;"|"&amp;J150,"")</f>
        <v/>
      </c>
    </row>
    <row r="151">
      <c r="A151" s="3" t="inlineStr">
        <is>
          <t>НоваПак</t>
        </is>
      </c>
      <c r="B151" s="3" t="inlineStr">
        <is>
          <t>РФ</t>
        </is>
      </c>
      <c r="C151" s="3" t="inlineStr">
        <is>
          <t>Шкала</t>
        </is>
      </c>
      <c r="D151" s="3" t="inlineStr">
        <is>
          <t>Оборудование</t>
        </is>
      </c>
      <c r="E151" s="3" t="inlineStr">
        <is>
          <t>Оборудование — за квартал</t>
        </is>
      </c>
      <c r="F151" s="3" t="inlineStr">
        <is>
          <t>Объем закупок РМ</t>
        </is>
      </c>
      <c r="G151" s="4" t="n">
        <v>8</v>
      </c>
      <c r="H151" s="4" t="n"/>
      <c r="I151" s="3" t="inlineStr">
        <is>
          <t>150-189</t>
        </is>
      </c>
      <c r="J151" s="4" t="n">
        <v>4</v>
      </c>
      <c r="K151" s="4" t="n"/>
      <c r="L151" s="4" t="n"/>
      <c r="M151" s="8" t="n">
        <v>0.03</v>
      </c>
      <c r="N151" s="4" t="inlineStr">
        <is>
          <t>%</t>
        </is>
      </c>
      <c r="O151" s="3" t="inlineStr">
        <is>
          <t>НоваПак</t>
        </is>
      </c>
      <c r="P151" s="3" t="inlineStr">
        <is>
          <t>H21</t>
        </is>
      </c>
      <c t="str" r="Q151" s="6">
        <f>A151&amp;"|"&amp;C151&amp;"|"&amp;D151&amp;"|"&amp;G151</f>
        <v>НоваПак|Шкала|Оборудование|8</v>
      </c>
      <c t="str" r="R151" s="6">
        <f>A151&amp;"|"&amp;C151&amp;"|"&amp;D151&amp;"|"&amp;J151</f>
        <v>НоваПак|Шкала|Оборудование|4</v>
      </c>
      <c t="str" r="S151" s="6">
        <f>A151&amp;"|"&amp;C151&amp;"|"&amp;D151&amp;"|"&amp;G151&amp;"|"&amp;J151</f>
        <v>НоваПак|Шкала|Оборудование|8|4</v>
      </c>
      <c t="str" r="T151" s="6">
        <f>A151&amp;"|"&amp;C151&amp;"|"&amp;G151</f>
        <v>НоваПак|Шкала|8</v>
      </c>
      <c t="str" r="U151" s="6">
        <f>IF(H151="да",A151&amp;"|"&amp;C151&amp;"|"&amp;D151&amp;"|"&amp;J151,"")</f>
        <v/>
      </c>
      <c t="str" r="V151" s="6">
        <f>IF(C151="План",A151&amp;"|"&amp;J151,"")</f>
        <v/>
      </c>
    </row>
    <row r="152">
      <c r="A152" s="3" t="inlineStr">
        <is>
          <t>НоваПак</t>
        </is>
      </c>
      <c r="B152" s="3" t="inlineStr">
        <is>
          <t>РФ</t>
        </is>
      </c>
      <c r="C152" s="3" t="inlineStr">
        <is>
          <t>Шкала</t>
        </is>
      </c>
      <c r="D152" s="3" t="inlineStr">
        <is>
          <t>Оборудование</t>
        </is>
      </c>
      <c r="E152" s="3" t="inlineStr">
        <is>
          <t>Оборудование — за квартал</t>
        </is>
      </c>
      <c r="F152" s="3" t="inlineStr">
        <is>
          <t>Объем закупок РМ</t>
        </is>
      </c>
      <c r="G152" s="4" t="n">
        <v>8</v>
      </c>
      <c r="H152" s="4" t="n"/>
      <c r="I152" s="3" t="inlineStr">
        <is>
          <t>190-224</t>
        </is>
      </c>
      <c r="J152" s="4" t="n">
        <v>5</v>
      </c>
      <c r="K152" s="4" t="n"/>
      <c r="L152" s="4" t="n"/>
      <c r="M152" s="8" t="n">
        <v>0.04</v>
      </c>
      <c r="N152" s="4" t="inlineStr">
        <is>
          <t>%</t>
        </is>
      </c>
      <c r="O152" s="3" t="inlineStr">
        <is>
          <t>НоваПак</t>
        </is>
      </c>
      <c r="P152" s="3" t="inlineStr">
        <is>
          <t>I21</t>
        </is>
      </c>
      <c t="str" r="Q152" s="6">
        <f>A152&amp;"|"&amp;C152&amp;"|"&amp;D152&amp;"|"&amp;G152</f>
        <v>НоваПак|Шкала|Оборудование|8</v>
      </c>
      <c t="str" r="R152" s="6">
        <f>A152&amp;"|"&amp;C152&amp;"|"&amp;D152&amp;"|"&amp;J152</f>
        <v>НоваПак|Шкала|Оборудование|5</v>
      </c>
      <c t="str" r="S152" s="6">
        <f>A152&amp;"|"&amp;C152&amp;"|"&amp;D152&amp;"|"&amp;G152&amp;"|"&amp;J152</f>
        <v>НоваПак|Шкала|Оборудование|8|5</v>
      </c>
      <c t="str" r="T152" s="6">
        <f>A152&amp;"|"&amp;C152&amp;"|"&amp;G152</f>
        <v>НоваПак|Шкала|8</v>
      </c>
      <c t="str" r="U152" s="6">
        <f>IF(H152="да",A152&amp;"|"&amp;C152&amp;"|"&amp;D152&amp;"|"&amp;J152,"")</f>
        <v/>
      </c>
      <c t="str" r="V152" s="6">
        <f>IF(C152="План",A152&amp;"|"&amp;J152,"")</f>
        <v/>
      </c>
    </row>
    <row r="153">
      <c r="A153" s="3" t="inlineStr">
        <is>
          <t>НоваПак</t>
        </is>
      </c>
      <c r="B153" s="3" t="inlineStr">
        <is>
          <t>РФ</t>
        </is>
      </c>
      <c r="C153" s="3" t="inlineStr">
        <is>
          <t>Шкала</t>
        </is>
      </c>
      <c r="D153" s="3" t="inlineStr">
        <is>
          <t>Оборудование</t>
        </is>
      </c>
      <c r="E153" s="3" t="inlineStr">
        <is>
          <t>Оборудование — за квартал</t>
        </is>
      </c>
      <c r="F153" s="3" t="inlineStr">
        <is>
          <t>Объем закупок РМ</t>
        </is>
      </c>
      <c r="G153" s="4" t="n">
        <v>8</v>
      </c>
      <c r="H153" s="4" t="n"/>
      <c r="I153" s="3" t="inlineStr">
        <is>
          <t>225 и более</t>
        </is>
      </c>
      <c r="J153" s="4" t="n">
        <v>6</v>
      </c>
      <c r="K153" s="4" t="n"/>
      <c r="L153" s="4" t="n"/>
      <c r="M153" s="8" t="n">
        <v>0.05</v>
      </c>
      <c r="N153" s="4" t="inlineStr">
        <is>
          <t>%</t>
        </is>
      </c>
      <c r="O153" s="3" t="inlineStr">
        <is>
          <t>НоваПак</t>
        </is>
      </c>
      <c r="P153" s="3" t="inlineStr">
        <is>
          <t>J21</t>
        </is>
      </c>
      <c t="str" r="Q153" s="6">
        <f>A153&amp;"|"&amp;C153&amp;"|"&amp;D153&amp;"|"&amp;G153</f>
        <v>НоваПак|Шкала|Оборудование|8</v>
      </c>
      <c t="str" r="R153" s="6">
        <f>A153&amp;"|"&amp;C153&amp;"|"&amp;D153&amp;"|"&amp;J153</f>
        <v>НоваПак|Шкала|Оборудование|6</v>
      </c>
      <c t="str" r="S153" s="6">
        <f>A153&amp;"|"&amp;C153&amp;"|"&amp;D153&amp;"|"&amp;G153&amp;"|"&amp;J153</f>
        <v>НоваПак|Шкала|Оборудование|8|6</v>
      </c>
      <c t="str" r="T153" s="6">
        <f>A153&amp;"|"&amp;C153&amp;"|"&amp;G153</f>
        <v>НоваПак|Шкала|8</v>
      </c>
      <c t="str" r="U153" s="6">
        <f>IF(H153="да",A153&amp;"|"&amp;C153&amp;"|"&amp;D153&amp;"|"&amp;J153,"")</f>
        <v/>
      </c>
      <c t="str" r="V153" s="6">
        <f>IF(C153="План",A153&amp;"|"&amp;J153,"")</f>
        <v/>
      </c>
    </row>
    <row r="154">
      <c r="A154" s="3" t="inlineStr">
        <is>
          <t>НоваПак</t>
        </is>
      </c>
      <c r="B154" s="3" t="inlineStr">
        <is>
          <t>РФ</t>
        </is>
      </c>
      <c r="C154" s="3" t="inlineStr">
        <is>
          <t>Шкала</t>
        </is>
      </c>
      <c r="D154" s="3" t="inlineStr">
        <is>
          <t>Расходные материалы</t>
        </is>
      </c>
      <c r="E154" s="3" t="inlineStr">
        <is>
          <t>Расходные материалы — за квартал</t>
        </is>
      </c>
      <c r="F154" s="3" t="inlineStr">
        <is>
          <t>Наличие минимальных складских остатков по РМ (синхронизация отчета по остаткам с 1С КОМПО)</t>
        </is>
      </c>
      <c r="G154" s="4" t="n">
        <v>1</v>
      </c>
      <c r="H154" s="4" t="n"/>
      <c r="I154" s="3" t="inlineStr">
        <is>
          <t>до 75</t>
        </is>
      </c>
      <c r="J154" s="4" t="n">
        <v>1</v>
      </c>
      <c r="K154" s="4" t="n"/>
      <c r="L154" s="4" t="n"/>
      <c r="M154" s="8" t="n">
        <v>0.01</v>
      </c>
      <c r="N154" s="4" t="inlineStr">
        <is>
          <t>%</t>
        </is>
      </c>
      <c r="O154" s="3" t="inlineStr">
        <is>
          <t>НоваПак</t>
        </is>
      </c>
      <c r="P154" s="3" t="inlineStr">
        <is>
          <t>E20</t>
        </is>
      </c>
      <c t="str" r="Q154" s="6">
        <f>A154&amp;"|"&amp;C154&amp;"|"&amp;D154&amp;"|"&amp;G154</f>
        <v>НоваПак|Шкала|Расходные материалы|1</v>
      </c>
      <c t="str" r="R154" s="6">
        <f>A154&amp;"|"&amp;C154&amp;"|"&amp;D154&amp;"|"&amp;J154</f>
        <v>НоваПак|Шкала|Расходные материалы|1</v>
      </c>
      <c t="str" r="S154" s="6">
        <f>A154&amp;"|"&amp;C154&amp;"|"&amp;D154&amp;"|"&amp;G154&amp;"|"&amp;J154</f>
        <v>НоваПак|Шкала|Расходные материалы|1|1</v>
      </c>
      <c t="str" r="T154" s="6">
        <f>A154&amp;"|"&amp;C154&amp;"|"&amp;G154</f>
        <v>НоваПак|Шкала|1</v>
      </c>
      <c t="str" r="U154" s="6">
        <f>IF(H154="да",A154&amp;"|"&amp;C154&amp;"|"&amp;D154&amp;"|"&amp;J154,"")</f>
        <v/>
      </c>
      <c t="str" r="V154" s="6">
        <f>IF(C154="План",A154&amp;"|"&amp;J154,"")</f>
        <v/>
      </c>
    </row>
    <row r="155">
      <c r="A155" s="3" t="inlineStr">
        <is>
          <t>НоваПак</t>
        </is>
      </c>
      <c r="B155" s="3" t="inlineStr">
        <is>
          <t>РФ</t>
        </is>
      </c>
      <c r="C155" s="3" t="inlineStr">
        <is>
          <t>Шкала</t>
        </is>
      </c>
      <c r="D155" s="3" t="inlineStr">
        <is>
          <t>Расходные материалы</t>
        </is>
      </c>
      <c r="E155" s="3" t="inlineStr">
        <is>
          <t>Расходные материалы — за квартал</t>
        </is>
      </c>
      <c r="F155" s="3" t="inlineStr">
        <is>
          <t>Наличие минимальных складских остатков по РМ (синхронизация отчета по остаткам с 1С КОМПО)</t>
        </is>
      </c>
      <c r="G155" s="4" t="n">
        <v>1</v>
      </c>
      <c r="H155" s="4" t="n"/>
      <c r="I155" s="3" t="inlineStr">
        <is>
          <t>75-115</t>
        </is>
      </c>
      <c r="J155" s="4" t="n">
        <v>2</v>
      </c>
      <c r="K155" s="4" t="n"/>
      <c r="L155" s="4" t="n"/>
      <c r="M155" s="8" t="n">
        <v>0.01</v>
      </c>
      <c r="N155" s="4" t="inlineStr">
        <is>
          <t>%</t>
        </is>
      </c>
      <c r="O155" s="3" t="inlineStr">
        <is>
          <t>НоваПак</t>
        </is>
      </c>
      <c r="P155" s="3" t="inlineStr">
        <is>
          <t>F20</t>
        </is>
      </c>
      <c t="str" r="Q155" s="6">
        <f>A155&amp;"|"&amp;C155&amp;"|"&amp;D155&amp;"|"&amp;G155</f>
        <v>НоваПак|Шкала|Расходные материалы|1</v>
      </c>
      <c t="str" r="R155" s="6">
        <f>A155&amp;"|"&amp;C155&amp;"|"&amp;D155&amp;"|"&amp;J155</f>
        <v>НоваПак|Шкала|Расходные материалы|2</v>
      </c>
      <c t="str" r="S155" s="6">
        <f>A155&amp;"|"&amp;C155&amp;"|"&amp;D155&amp;"|"&amp;G155&amp;"|"&amp;J155</f>
        <v>НоваПак|Шкала|Расходные материалы|1|2</v>
      </c>
      <c t="str" r="T155" s="6">
        <f>A155&amp;"|"&amp;C155&amp;"|"&amp;G155</f>
        <v>НоваПак|Шкала|1</v>
      </c>
      <c t="str" r="U155" s="6">
        <f>IF(H155="да",A155&amp;"|"&amp;C155&amp;"|"&amp;D155&amp;"|"&amp;J155,"")</f>
        <v/>
      </c>
      <c t="str" r="V155" s="6">
        <f>IF(C155="План",A155&amp;"|"&amp;J155,"")</f>
        <v/>
      </c>
    </row>
    <row r="156">
      <c r="A156" s="3" t="inlineStr">
        <is>
          <t>НоваПак</t>
        </is>
      </c>
      <c r="B156" s="3" t="inlineStr">
        <is>
          <t>РФ</t>
        </is>
      </c>
      <c r="C156" s="3" t="inlineStr">
        <is>
          <t>Шкала</t>
        </is>
      </c>
      <c r="D156" s="3" t="inlineStr">
        <is>
          <t>Расходные материалы</t>
        </is>
      </c>
      <c r="E156" s="3" t="inlineStr">
        <is>
          <t>Расходные материалы — за квартал</t>
        </is>
      </c>
      <c r="F156" s="3" t="inlineStr">
        <is>
          <t>Наличие минимальных складских остатков по РМ (синхронизация отчета по остаткам с 1С КОМПО)</t>
        </is>
      </c>
      <c r="G156" s="4" t="n">
        <v>1</v>
      </c>
      <c r="H156" s="4" t="n"/>
      <c r="I156" s="3" t="inlineStr">
        <is>
          <t>115-150</t>
        </is>
      </c>
      <c r="J156" s="4" t="n">
        <v>3</v>
      </c>
      <c r="K156" s="4" t="n"/>
      <c r="L156" s="4" t="n"/>
      <c r="M156" s="8" t="n">
        <v>0.01</v>
      </c>
      <c r="N156" s="4" t="inlineStr">
        <is>
          <t>%</t>
        </is>
      </c>
      <c r="O156" s="3" t="inlineStr">
        <is>
          <t>НоваПак</t>
        </is>
      </c>
      <c r="P156" s="3" t="inlineStr">
        <is>
          <t>G20</t>
        </is>
      </c>
      <c t="str" r="Q156" s="6">
        <f>A156&amp;"|"&amp;C156&amp;"|"&amp;D156&amp;"|"&amp;G156</f>
        <v>НоваПак|Шкала|Расходные материалы|1</v>
      </c>
      <c t="str" r="R156" s="6">
        <f>A156&amp;"|"&amp;C156&amp;"|"&amp;D156&amp;"|"&amp;J156</f>
        <v>НоваПак|Шкала|Расходные материалы|3</v>
      </c>
      <c t="str" r="S156" s="6">
        <f>A156&amp;"|"&amp;C156&amp;"|"&amp;D156&amp;"|"&amp;G156&amp;"|"&amp;J156</f>
        <v>НоваПак|Шкала|Расходные материалы|1|3</v>
      </c>
      <c t="str" r="T156" s="6">
        <f>A156&amp;"|"&amp;C156&amp;"|"&amp;G156</f>
        <v>НоваПак|Шкала|1</v>
      </c>
      <c t="str" r="U156" s="6">
        <f>IF(H156="да",A156&amp;"|"&amp;C156&amp;"|"&amp;D156&amp;"|"&amp;J156,"")</f>
        <v/>
      </c>
      <c t="str" r="V156" s="6">
        <f>IF(C156="План",A156&amp;"|"&amp;J156,"")</f>
        <v/>
      </c>
    </row>
    <row r="157">
      <c r="A157" s="3" t="inlineStr">
        <is>
          <t>НоваПак</t>
        </is>
      </c>
      <c r="B157" s="3" t="inlineStr">
        <is>
          <t>РФ</t>
        </is>
      </c>
      <c r="C157" s="3" t="inlineStr">
        <is>
          <t>Шкала</t>
        </is>
      </c>
      <c r="D157" s="3" t="inlineStr">
        <is>
          <t>Расходные материалы</t>
        </is>
      </c>
      <c r="E157" s="3" t="inlineStr">
        <is>
          <t>Расходные материалы — за квартал</t>
        </is>
      </c>
      <c r="F157" s="3" t="inlineStr">
        <is>
          <t>Наличие минимальных складских остатков по РМ (синхронизация отчета по остаткам с 1С КОМПО)</t>
        </is>
      </c>
      <c r="G157" s="4" t="n">
        <v>1</v>
      </c>
      <c r="H157" s="4" t="n"/>
      <c r="I157" s="3" t="inlineStr">
        <is>
          <t>150-190</t>
        </is>
      </c>
      <c r="J157" s="4" t="n">
        <v>4</v>
      </c>
      <c r="K157" s="4" t="n"/>
      <c r="L157" s="4" t="n"/>
      <c r="M157" s="8" t="n">
        <v>0.01</v>
      </c>
      <c r="N157" s="4" t="inlineStr">
        <is>
          <t>%</t>
        </is>
      </c>
      <c r="O157" s="3" t="inlineStr">
        <is>
          <t>НоваПак</t>
        </is>
      </c>
      <c r="P157" s="3" t="inlineStr">
        <is>
          <t>H20</t>
        </is>
      </c>
      <c t="str" r="Q157" s="6">
        <f>A157&amp;"|"&amp;C157&amp;"|"&amp;D157&amp;"|"&amp;G157</f>
        <v>НоваПак|Шкала|Расходные материалы|1</v>
      </c>
      <c t="str" r="R157" s="6">
        <f>A157&amp;"|"&amp;C157&amp;"|"&amp;D157&amp;"|"&amp;J157</f>
        <v>НоваПак|Шкала|Расходные материалы|4</v>
      </c>
      <c t="str" r="S157" s="6">
        <f>A157&amp;"|"&amp;C157&amp;"|"&amp;D157&amp;"|"&amp;G157&amp;"|"&amp;J157</f>
        <v>НоваПак|Шкала|Расходные материалы|1|4</v>
      </c>
      <c t="str" r="T157" s="6">
        <f>A157&amp;"|"&amp;C157&amp;"|"&amp;G157</f>
        <v>НоваПак|Шкала|1</v>
      </c>
      <c t="str" r="U157" s="6">
        <f>IF(H157="да",A157&amp;"|"&amp;C157&amp;"|"&amp;D157&amp;"|"&amp;J157,"")</f>
        <v/>
      </c>
      <c t="str" r="V157" s="6">
        <f>IF(C157="План",A157&amp;"|"&amp;J157,"")</f>
        <v/>
      </c>
    </row>
    <row r="158">
      <c r="A158" s="3" t="inlineStr">
        <is>
          <t>НоваПак</t>
        </is>
      </c>
      <c r="B158" s="3" t="inlineStr">
        <is>
          <t>РФ</t>
        </is>
      </c>
      <c r="C158" s="3" t="inlineStr">
        <is>
          <t>Шкала</t>
        </is>
      </c>
      <c r="D158" s="3" t="inlineStr">
        <is>
          <t>Расходные материалы</t>
        </is>
      </c>
      <c r="E158" s="3" t="inlineStr">
        <is>
          <t>Расходные материалы — за квартал</t>
        </is>
      </c>
      <c r="F158" s="3" t="inlineStr">
        <is>
          <t>Наличие минимальных складских остатков по РМ (синхронизация отчета по остаткам с 1С КОМПО)</t>
        </is>
      </c>
      <c r="G158" s="4" t="n">
        <v>1</v>
      </c>
      <c r="H158" s="4" t="n"/>
      <c r="I158" s="3" t="inlineStr">
        <is>
          <t>190-225</t>
        </is>
      </c>
      <c r="J158" s="4" t="n">
        <v>5</v>
      </c>
      <c r="K158" s="4" t="n"/>
      <c r="L158" s="4" t="n"/>
      <c r="M158" s="8" t="n">
        <v>0.01</v>
      </c>
      <c r="N158" s="4" t="inlineStr">
        <is>
          <t>%</t>
        </is>
      </c>
      <c r="O158" s="3" t="inlineStr">
        <is>
          <t>НоваПак</t>
        </is>
      </c>
      <c r="P158" s="3" t="inlineStr">
        <is>
          <t>I20</t>
        </is>
      </c>
      <c t="str" r="Q158" s="6">
        <f>A158&amp;"|"&amp;C158&amp;"|"&amp;D158&amp;"|"&amp;G158</f>
        <v>НоваПак|Шкала|Расходные материалы|1</v>
      </c>
      <c t="str" r="R158" s="6">
        <f>A158&amp;"|"&amp;C158&amp;"|"&amp;D158&amp;"|"&amp;J158</f>
        <v>НоваПак|Шкала|Расходные материалы|5</v>
      </c>
      <c t="str" r="S158" s="6">
        <f>A158&amp;"|"&amp;C158&amp;"|"&amp;D158&amp;"|"&amp;G158&amp;"|"&amp;J158</f>
        <v>НоваПак|Шкала|Расходные материалы|1|5</v>
      </c>
      <c t="str" r="T158" s="6">
        <f>A158&amp;"|"&amp;C158&amp;"|"&amp;G158</f>
        <v>НоваПак|Шкала|1</v>
      </c>
      <c t="str" r="U158" s="6">
        <f>IF(H158="да",A158&amp;"|"&amp;C158&amp;"|"&amp;D158&amp;"|"&amp;J158,"")</f>
        <v/>
      </c>
      <c t="str" r="V158" s="6">
        <f>IF(C158="План",A158&amp;"|"&amp;J158,"")</f>
        <v/>
      </c>
    </row>
    <row r="159">
      <c r="A159" s="3" t="inlineStr">
        <is>
          <t>НоваПак</t>
        </is>
      </c>
      <c r="B159" s="3" t="inlineStr">
        <is>
          <t>РФ</t>
        </is>
      </c>
      <c r="C159" s="3" t="inlineStr">
        <is>
          <t>Шкала</t>
        </is>
      </c>
      <c r="D159" s="3" t="inlineStr">
        <is>
          <t>Расходные материалы</t>
        </is>
      </c>
      <c r="E159" s="3" t="inlineStr">
        <is>
          <t>Расходные материалы — за квартал</t>
        </is>
      </c>
      <c r="F159" s="3" t="inlineStr">
        <is>
          <t>Наличие минимальных складских остатков по РМ (синхронизация отчета по остаткам с 1С КОМПО)</t>
        </is>
      </c>
      <c r="G159" s="4" t="n">
        <v>1</v>
      </c>
      <c r="H159" s="4" t="n"/>
      <c r="I159" s="3" t="inlineStr">
        <is>
          <t>225 и более</t>
        </is>
      </c>
      <c r="J159" s="4" t="n">
        <v>6</v>
      </c>
      <c r="K159" s="4" t="n"/>
      <c r="L159" s="4" t="n"/>
      <c r="M159" s="8" t="n">
        <v>0.01</v>
      </c>
      <c r="N159" s="4" t="inlineStr">
        <is>
          <t>%</t>
        </is>
      </c>
      <c r="O159" s="3" t="inlineStr">
        <is>
          <t>НоваПак</t>
        </is>
      </c>
      <c r="P159" s="3" t="inlineStr">
        <is>
          <t>J20</t>
        </is>
      </c>
      <c t="str" r="Q159" s="6">
        <f>A159&amp;"|"&amp;C159&amp;"|"&amp;D159&amp;"|"&amp;G159</f>
        <v>НоваПак|Шкала|Расходные материалы|1</v>
      </c>
      <c t="str" r="R159" s="6">
        <f>A159&amp;"|"&amp;C159&amp;"|"&amp;D159&amp;"|"&amp;J159</f>
        <v>НоваПак|Шкала|Расходные материалы|6</v>
      </c>
      <c t="str" r="S159" s="6">
        <f>A159&amp;"|"&amp;C159&amp;"|"&amp;D159&amp;"|"&amp;G159&amp;"|"&amp;J159</f>
        <v>НоваПак|Шкала|Расходные материалы|1|6</v>
      </c>
      <c t="str" r="T159" s="6">
        <f>A159&amp;"|"&amp;C159&amp;"|"&amp;G159</f>
        <v>НоваПак|Шкала|1</v>
      </c>
      <c t="str" r="U159" s="6">
        <f>IF(H159="да",A159&amp;"|"&amp;C159&amp;"|"&amp;D159&amp;"|"&amp;J159,"")</f>
        <v/>
      </c>
      <c t="str" r="V159" s="6">
        <f>IF(C159="План",A159&amp;"|"&amp;J159,"")</f>
        <v/>
      </c>
    </row>
    <row r="160">
      <c r="A160" s="3" t="inlineStr">
        <is>
          <t>НоваПак</t>
        </is>
      </c>
      <c r="B160" s="3" t="inlineStr">
        <is>
          <t>РФ</t>
        </is>
      </c>
      <c r="C160" s="3" t="inlineStr">
        <is>
          <t>Шкала</t>
        </is>
      </c>
      <c r="D160" s="3" t="inlineStr">
        <is>
          <t>Расходные материалы</t>
        </is>
      </c>
      <c r="E160" s="3" t="inlineStr">
        <is>
          <t>Расходные материалы — за квартал</t>
        </is>
      </c>
      <c r="F160" s="3" t="inlineStr">
        <is>
          <t>Объем закупок РМ</t>
        </is>
      </c>
      <c r="G160" s="4" t="n">
        <v>2</v>
      </c>
      <c r="H160" s="4" t="n"/>
      <c r="I160" s="3" t="inlineStr">
        <is>
          <t>до 75</t>
        </is>
      </c>
      <c r="J160" s="4" t="n">
        <v>1</v>
      </c>
      <c r="K160" s="4" t="n"/>
      <c r="L160" s="4" t="n"/>
      <c r="M160" s="8" t="n">
        <v>0</v>
      </c>
      <c r="N160" s="4" t="inlineStr">
        <is>
          <t>%</t>
        </is>
      </c>
      <c r="O160" s="3" t="inlineStr">
        <is>
          <t>НоваПак</t>
        </is>
      </c>
      <c r="P160" s="3" t="inlineStr">
        <is>
          <t>E21</t>
        </is>
      </c>
      <c t="str" r="Q160" s="6">
        <f>A160&amp;"|"&amp;C160&amp;"|"&amp;D160&amp;"|"&amp;G160</f>
        <v>НоваПак|Шкала|Расходные материалы|2</v>
      </c>
      <c t="str" r="R160" s="6">
        <f>A160&amp;"|"&amp;C160&amp;"|"&amp;D160&amp;"|"&amp;J160</f>
        <v>НоваПак|Шкала|Расходные материалы|1</v>
      </c>
      <c t="str" r="S160" s="6">
        <f>A160&amp;"|"&amp;C160&amp;"|"&amp;D160&amp;"|"&amp;G160&amp;"|"&amp;J160</f>
        <v>НоваПак|Шкала|Расходные материалы|2|1</v>
      </c>
      <c t="str" r="T160" s="6">
        <f>A160&amp;"|"&amp;C160&amp;"|"&amp;G160</f>
        <v>НоваПак|Шкала|2</v>
      </c>
      <c t="str" r="U160" s="6">
        <f>IF(H160="да",A160&amp;"|"&amp;C160&amp;"|"&amp;D160&amp;"|"&amp;J160,"")</f>
        <v/>
      </c>
      <c t="str" r="V160" s="6">
        <f>IF(C160="План",A160&amp;"|"&amp;J160,"")</f>
        <v/>
      </c>
    </row>
    <row r="161">
      <c r="A161" s="3" t="inlineStr">
        <is>
          <t>НоваПак</t>
        </is>
      </c>
      <c r="B161" s="3" t="inlineStr">
        <is>
          <t>РФ</t>
        </is>
      </c>
      <c r="C161" s="3" t="inlineStr">
        <is>
          <t>Шкала</t>
        </is>
      </c>
      <c r="D161" s="3" t="inlineStr">
        <is>
          <t>Расходные материалы</t>
        </is>
      </c>
      <c r="E161" s="3" t="inlineStr">
        <is>
          <t>Расходные материалы — за квартал</t>
        </is>
      </c>
      <c r="F161" s="3" t="inlineStr">
        <is>
          <t>Объем закупок РМ</t>
        </is>
      </c>
      <c r="G161" s="4" t="n">
        <v>2</v>
      </c>
      <c r="H161" s="4" t="n"/>
      <c r="I161" s="3" t="inlineStr">
        <is>
          <t>75-115</t>
        </is>
      </c>
      <c r="J161" s="4" t="n">
        <v>2</v>
      </c>
      <c r="K161" s="4" t="n"/>
      <c r="L161" s="4" t="n"/>
      <c r="M161" s="8" t="n">
        <v>0.01</v>
      </c>
      <c r="N161" s="4" t="inlineStr">
        <is>
          <t>%</t>
        </is>
      </c>
      <c r="O161" s="3" t="inlineStr">
        <is>
          <t>НоваПак</t>
        </is>
      </c>
      <c r="P161" s="3" t="inlineStr">
        <is>
          <t>F21</t>
        </is>
      </c>
      <c t="str" r="Q161" s="6">
        <f>A161&amp;"|"&amp;C161&amp;"|"&amp;D161&amp;"|"&amp;G161</f>
        <v>НоваПак|Шкала|Расходные материалы|2</v>
      </c>
      <c t="str" r="R161" s="6">
        <f>A161&amp;"|"&amp;C161&amp;"|"&amp;D161&amp;"|"&amp;J161</f>
        <v>НоваПак|Шкала|Расходные материалы|2</v>
      </c>
      <c t="str" r="S161" s="6">
        <f>A161&amp;"|"&amp;C161&amp;"|"&amp;D161&amp;"|"&amp;G161&amp;"|"&amp;J161</f>
        <v>НоваПак|Шкала|Расходные материалы|2|2</v>
      </c>
      <c t="str" r="T161" s="6">
        <f>A161&amp;"|"&amp;C161&amp;"|"&amp;G161</f>
        <v>НоваПак|Шкала|2</v>
      </c>
      <c t="str" r="U161" s="6">
        <f>IF(H161="да",A161&amp;"|"&amp;C161&amp;"|"&amp;D161&amp;"|"&amp;J161,"")</f>
        <v/>
      </c>
      <c t="str" r="V161" s="6">
        <f>IF(C161="План",A161&amp;"|"&amp;J161,"")</f>
        <v/>
      </c>
    </row>
    <row r="162">
      <c r="A162" s="3" t="inlineStr">
        <is>
          <t>НоваПак</t>
        </is>
      </c>
      <c r="B162" s="3" t="inlineStr">
        <is>
          <t>РФ</t>
        </is>
      </c>
      <c r="C162" s="3" t="inlineStr">
        <is>
          <t>Шкала</t>
        </is>
      </c>
      <c r="D162" s="3" t="inlineStr">
        <is>
          <t>Расходные материалы</t>
        </is>
      </c>
      <c r="E162" s="3" t="inlineStr">
        <is>
          <t>Расходные материалы — за квартал</t>
        </is>
      </c>
      <c r="F162" s="3" t="inlineStr">
        <is>
          <t>Объем закупок РМ</t>
        </is>
      </c>
      <c r="G162" s="4" t="n">
        <v>2</v>
      </c>
      <c r="H162" s="4" t="n"/>
      <c r="I162" s="3" t="inlineStr">
        <is>
          <t>115-150</t>
        </is>
      </c>
      <c r="J162" s="4" t="n">
        <v>3</v>
      </c>
      <c r="K162" s="4" t="n"/>
      <c r="L162" s="4" t="n"/>
      <c r="M162" s="8" t="n">
        <v>0.02</v>
      </c>
      <c r="N162" s="4" t="inlineStr">
        <is>
          <t>%</t>
        </is>
      </c>
      <c r="O162" s="3" t="inlineStr">
        <is>
          <t>НоваПак</t>
        </is>
      </c>
      <c r="P162" s="3" t="inlineStr">
        <is>
          <t>G21</t>
        </is>
      </c>
      <c t="str" r="Q162" s="6">
        <f>A162&amp;"|"&amp;C162&amp;"|"&amp;D162&amp;"|"&amp;G162</f>
        <v>НоваПак|Шкала|Расходные материалы|2</v>
      </c>
      <c t="str" r="R162" s="6">
        <f>A162&amp;"|"&amp;C162&amp;"|"&amp;D162&amp;"|"&amp;J162</f>
        <v>НоваПак|Шкала|Расходные материалы|3</v>
      </c>
      <c t="str" r="S162" s="6">
        <f>A162&amp;"|"&amp;C162&amp;"|"&amp;D162&amp;"|"&amp;G162&amp;"|"&amp;J162</f>
        <v>НоваПак|Шкала|Расходные материалы|2|3</v>
      </c>
      <c t="str" r="T162" s="6">
        <f>A162&amp;"|"&amp;C162&amp;"|"&amp;G162</f>
        <v>НоваПак|Шкала|2</v>
      </c>
      <c t="str" r="U162" s="6">
        <f>IF(H162="да",A162&amp;"|"&amp;C162&amp;"|"&amp;D162&amp;"|"&amp;J162,"")</f>
        <v/>
      </c>
      <c t="str" r="V162" s="6">
        <f>IF(C162="План",A162&amp;"|"&amp;J162,"")</f>
        <v/>
      </c>
    </row>
    <row r="163">
      <c r="A163" s="3" t="inlineStr">
        <is>
          <t>НоваПак</t>
        </is>
      </c>
      <c r="B163" s="3" t="inlineStr">
        <is>
          <t>РФ</t>
        </is>
      </c>
      <c r="C163" s="3" t="inlineStr">
        <is>
          <t>Шкала</t>
        </is>
      </c>
      <c r="D163" s="3" t="inlineStr">
        <is>
          <t>Расходные материалы</t>
        </is>
      </c>
      <c r="E163" s="3" t="inlineStr">
        <is>
          <t>Расходные материалы — за квартал</t>
        </is>
      </c>
      <c r="F163" s="3" t="inlineStr">
        <is>
          <t>Объем закупок РМ</t>
        </is>
      </c>
      <c r="G163" s="4" t="n">
        <v>2</v>
      </c>
      <c r="H163" s="4" t="n"/>
      <c r="I163" s="3" t="inlineStr">
        <is>
          <t>150-190</t>
        </is>
      </c>
      <c r="J163" s="4" t="n">
        <v>4</v>
      </c>
      <c r="K163" s="4" t="n"/>
      <c r="L163" s="4" t="n"/>
      <c r="M163" s="8" t="n">
        <v>0.03</v>
      </c>
      <c r="N163" s="4" t="inlineStr">
        <is>
          <t>%</t>
        </is>
      </c>
      <c r="O163" s="3" t="inlineStr">
        <is>
          <t>НоваПак</t>
        </is>
      </c>
      <c r="P163" s="3" t="inlineStr">
        <is>
          <t>H21</t>
        </is>
      </c>
      <c t="str" r="Q163" s="6">
        <f>A163&amp;"|"&amp;C163&amp;"|"&amp;D163&amp;"|"&amp;G163</f>
        <v>НоваПак|Шкала|Расходные материалы|2</v>
      </c>
      <c t="str" r="R163" s="6">
        <f>A163&amp;"|"&amp;C163&amp;"|"&amp;D163&amp;"|"&amp;J163</f>
        <v>НоваПак|Шкала|Расходные материалы|4</v>
      </c>
      <c t="str" r="S163" s="6">
        <f>A163&amp;"|"&amp;C163&amp;"|"&amp;D163&amp;"|"&amp;G163&amp;"|"&amp;J163</f>
        <v>НоваПак|Шкала|Расходные материалы|2|4</v>
      </c>
      <c t="str" r="T163" s="6">
        <f>A163&amp;"|"&amp;C163&amp;"|"&amp;G163</f>
        <v>НоваПак|Шкала|2</v>
      </c>
      <c t="str" r="U163" s="6">
        <f>IF(H163="да",A163&amp;"|"&amp;C163&amp;"|"&amp;D163&amp;"|"&amp;J163,"")</f>
        <v/>
      </c>
      <c t="str" r="V163" s="6">
        <f>IF(C163="План",A163&amp;"|"&amp;J163,"")</f>
        <v/>
      </c>
    </row>
    <row r="164">
      <c r="A164" s="3" t="inlineStr">
        <is>
          <t>НоваПак</t>
        </is>
      </c>
      <c r="B164" s="3" t="inlineStr">
        <is>
          <t>РФ</t>
        </is>
      </c>
      <c r="C164" s="3" t="inlineStr">
        <is>
          <t>Шкала</t>
        </is>
      </c>
      <c r="D164" s="3" t="inlineStr">
        <is>
          <t>Расходные материалы</t>
        </is>
      </c>
      <c r="E164" s="3" t="inlineStr">
        <is>
          <t>Расходные материалы — за квартал</t>
        </is>
      </c>
      <c r="F164" s="3" t="inlineStr">
        <is>
          <t>Объем закупок РМ</t>
        </is>
      </c>
      <c r="G164" s="4" t="n">
        <v>2</v>
      </c>
      <c r="H164" s="4" t="n"/>
      <c r="I164" s="3" t="inlineStr">
        <is>
          <t>190-225</t>
        </is>
      </c>
      <c r="J164" s="4" t="n">
        <v>5</v>
      </c>
      <c r="K164" s="4" t="n"/>
      <c r="L164" s="4" t="n"/>
      <c r="M164" s="8" t="n">
        <v>0.04</v>
      </c>
      <c r="N164" s="4" t="inlineStr">
        <is>
          <t>%</t>
        </is>
      </c>
      <c r="O164" s="3" t="inlineStr">
        <is>
          <t>НоваПак</t>
        </is>
      </c>
      <c r="P164" s="3" t="inlineStr">
        <is>
          <t>I21</t>
        </is>
      </c>
      <c t="str" r="Q164" s="6">
        <f>A164&amp;"|"&amp;C164&amp;"|"&amp;D164&amp;"|"&amp;G164</f>
        <v>НоваПак|Шкала|Расходные материалы|2</v>
      </c>
      <c t="str" r="R164" s="6">
        <f>A164&amp;"|"&amp;C164&amp;"|"&amp;D164&amp;"|"&amp;J164</f>
        <v>НоваПак|Шкала|Расходные материалы|5</v>
      </c>
      <c t="str" r="S164" s="6">
        <f>A164&amp;"|"&amp;C164&amp;"|"&amp;D164&amp;"|"&amp;G164&amp;"|"&amp;J164</f>
        <v>НоваПак|Шкала|Расходные материалы|2|5</v>
      </c>
      <c t="str" r="T164" s="6">
        <f>A164&amp;"|"&amp;C164&amp;"|"&amp;G164</f>
        <v>НоваПак|Шкала|2</v>
      </c>
      <c t="str" r="U164" s="6">
        <f>IF(H164="да",A164&amp;"|"&amp;C164&amp;"|"&amp;D164&amp;"|"&amp;J164,"")</f>
        <v/>
      </c>
      <c t="str" r="V164" s="6">
        <f>IF(C164="План",A164&amp;"|"&amp;J164,"")</f>
        <v/>
      </c>
    </row>
    <row r="165">
      <c r="A165" s="3" t="inlineStr">
        <is>
          <t>НоваПак</t>
        </is>
      </c>
      <c r="B165" s="3" t="inlineStr">
        <is>
          <t>РФ</t>
        </is>
      </c>
      <c r="C165" s="3" t="inlineStr">
        <is>
          <t>Шкала</t>
        </is>
      </c>
      <c r="D165" s="3" t="inlineStr">
        <is>
          <t>Расходные материалы</t>
        </is>
      </c>
      <c r="E165" s="3" t="inlineStr">
        <is>
          <t>Расходные материалы — за квартал</t>
        </is>
      </c>
      <c r="F165" s="3" t="inlineStr">
        <is>
          <t>Объем закупок РМ</t>
        </is>
      </c>
      <c r="G165" s="4" t="n">
        <v>2</v>
      </c>
      <c r="H165" s="4" t="n"/>
      <c r="I165" s="3" t="inlineStr">
        <is>
          <t>225 и более</t>
        </is>
      </c>
      <c r="J165" s="4" t="n">
        <v>6</v>
      </c>
      <c r="K165" s="4" t="n"/>
      <c r="L165" s="4" t="n"/>
      <c r="M165" s="8" t="n">
        <v>0.05</v>
      </c>
      <c r="N165" s="4" t="inlineStr">
        <is>
          <t>%</t>
        </is>
      </c>
      <c r="O165" s="3" t="inlineStr">
        <is>
          <t>НоваПак</t>
        </is>
      </c>
      <c r="P165" s="3" t="inlineStr">
        <is>
          <t>J21</t>
        </is>
      </c>
      <c t="str" r="Q165" s="6">
        <f>A165&amp;"|"&amp;C165&amp;"|"&amp;D165&amp;"|"&amp;G165</f>
        <v>НоваПак|Шкала|Расходные материалы|2</v>
      </c>
      <c t="str" r="R165" s="6">
        <f>A165&amp;"|"&amp;C165&amp;"|"&amp;D165&amp;"|"&amp;J165</f>
        <v>НоваПак|Шкала|Расходные материалы|6</v>
      </c>
      <c t="str" r="S165" s="6">
        <f>A165&amp;"|"&amp;C165&amp;"|"&amp;D165&amp;"|"&amp;G165&amp;"|"&amp;J165</f>
        <v>НоваПак|Шкала|Расходные материалы|2|6</v>
      </c>
      <c t="str" r="T165" s="6">
        <f>A165&amp;"|"&amp;C165&amp;"|"&amp;G165</f>
        <v>НоваПак|Шкала|2</v>
      </c>
      <c t="str" r="U165" s="6">
        <f>IF(H165="да",A165&amp;"|"&amp;C165&amp;"|"&amp;D165&amp;"|"&amp;J165,"")</f>
        <v/>
      </c>
      <c t="str" r="V165" s="6">
        <f>IF(C165="План",A165&amp;"|"&amp;J165,"")</f>
        <v/>
      </c>
    </row>
    <row r="166">
      <c r="A166" s="3" t="inlineStr">
        <is>
          <t>НоваПак</t>
        </is>
      </c>
      <c r="B166" s="3" t="inlineStr">
        <is>
          <t>РФ</t>
        </is>
      </c>
      <c r="C166" s="3" t="inlineStr">
        <is>
          <t>Шкала</t>
        </is>
      </c>
      <c r="D166" s="3" t="inlineStr">
        <is>
          <t>Сервис (ЗЧ)</t>
        </is>
      </c>
      <c r="E166" s="3" t="inlineStr">
        <is>
          <t>Сервис (ЗЧ) — расчёт по парку оборудования</t>
        </is>
      </c>
      <c r="F166" s="3" t="inlineStr">
        <is>
          <t>Скидка по сервису</t>
        </is>
      </c>
      <c r="G166" s="4" t="n">
        <v>1</v>
      </c>
      <c r="H166" s="4" t="inlineStr">
        <is>
          <t>да</t>
        </is>
      </c>
      <c r="I166" s="3" t="inlineStr">
        <is>
          <t>0–500</t>
        </is>
      </c>
      <c r="J166" s="4" t="n">
        <v>1</v>
      </c>
      <c r="K166" s="4" t="n">
        <v>0</v>
      </c>
      <c r="L166" s="4" t="n">
        <v>500</v>
      </c>
      <c r="M166" s="8" t="n">
        <v>0.19</v>
      </c>
      <c r="N166" s="4" t="inlineStr">
        <is>
          <t>%</t>
        </is>
      </c>
      <c r="O166" s="3" t="inlineStr">
        <is>
          <t>НоваПак</t>
        </is>
      </c>
      <c r="P166" s="3" t="inlineStr">
        <is>
          <t>F26</t>
        </is>
      </c>
      <c t="str" r="Q166" s="6">
        <f>A166&amp;"|"&amp;C166&amp;"|"&amp;D166&amp;"|"&amp;G166</f>
        <v>НоваПак|Шкала|Сервис (ЗЧ)|1</v>
      </c>
      <c t="str" r="R166" s="6">
        <f>A166&amp;"|"&amp;C166&amp;"|"&amp;D166&amp;"|"&amp;J166</f>
        <v>НоваПак|Шкала|Сервис (ЗЧ)|1</v>
      </c>
      <c t="str" r="S166" s="6">
        <f>A166&amp;"|"&amp;C166&amp;"|"&amp;D166&amp;"|"&amp;G166&amp;"|"&amp;J166</f>
        <v>НоваПак|Шкала|Сервис (ЗЧ)|1|1</v>
      </c>
      <c t="str" r="T166" s="6">
        <f>A166&amp;"|"&amp;C166&amp;"|"&amp;G166</f>
        <v>НоваПак|Шкала|1</v>
      </c>
      <c t="str" r="U166" s="6">
        <f>IF(H166="да",A166&amp;"|"&amp;C166&amp;"|"&amp;D166&amp;"|"&amp;J166,"")</f>
        <v>НоваПак|Шкала|Сервис (ЗЧ)|1</v>
      </c>
      <c t="str" r="V166" s="6">
        <f>IF(C166="План",A166&amp;"|"&amp;J166,"")</f>
        <v/>
      </c>
    </row>
    <row r="167">
      <c r="A167" s="3" t="inlineStr">
        <is>
          <t>НоваПак</t>
        </is>
      </c>
      <c r="B167" s="3" t="inlineStr">
        <is>
          <t>РФ</t>
        </is>
      </c>
      <c r="C167" s="3" t="inlineStr">
        <is>
          <t>Шкала</t>
        </is>
      </c>
      <c r="D167" s="3" t="inlineStr">
        <is>
          <t>Сервис (ЗЧ)</t>
        </is>
      </c>
      <c r="E167" s="3" t="inlineStr">
        <is>
          <t>Сервис (ЗЧ) — расчёт по парку оборудования</t>
        </is>
      </c>
      <c r="F167" s="3" t="inlineStr">
        <is>
          <t>Скидка по сервису</t>
        </is>
      </c>
      <c r="G167" s="4" t="n">
        <v>1</v>
      </c>
      <c r="H167" s="4" t="inlineStr">
        <is>
          <t>да</t>
        </is>
      </c>
      <c r="I167" s="3" t="inlineStr">
        <is>
          <t>501–1000</t>
        </is>
      </c>
      <c r="J167" s="4" t="n">
        <v>2</v>
      </c>
      <c r="K167" s="4" t="n">
        <v>501</v>
      </c>
      <c r="L167" s="4" t="n">
        <v>1000</v>
      </c>
      <c r="M167" s="8" t="n">
        <v>0.21</v>
      </c>
      <c r="N167" s="4" t="inlineStr">
        <is>
          <t>%</t>
        </is>
      </c>
      <c r="O167" s="3" t="inlineStr">
        <is>
          <t>НоваПак</t>
        </is>
      </c>
      <c r="P167" s="3" t="inlineStr">
        <is>
          <t>F27</t>
        </is>
      </c>
      <c t="str" r="Q167" s="6">
        <f>A167&amp;"|"&amp;C167&amp;"|"&amp;D167&amp;"|"&amp;G167</f>
        <v>НоваПак|Шкала|Сервис (ЗЧ)|1</v>
      </c>
      <c t="str" r="R167" s="6">
        <f>A167&amp;"|"&amp;C167&amp;"|"&amp;D167&amp;"|"&amp;J167</f>
        <v>НоваПак|Шкала|Сервис (ЗЧ)|2</v>
      </c>
      <c t="str" r="S167" s="6">
        <f>A167&amp;"|"&amp;C167&amp;"|"&amp;D167&amp;"|"&amp;G167&amp;"|"&amp;J167</f>
        <v>НоваПак|Шкала|Сервис (ЗЧ)|1|2</v>
      </c>
      <c t="str" r="T167" s="6">
        <f>A167&amp;"|"&amp;C167&amp;"|"&amp;G167</f>
        <v>НоваПак|Шкала|1</v>
      </c>
      <c t="str" r="U167" s="6">
        <f>IF(H167="да",A167&amp;"|"&amp;C167&amp;"|"&amp;D167&amp;"|"&amp;J167,"")</f>
        <v>НоваПак|Шкала|Сервис (ЗЧ)|2</v>
      </c>
      <c t="str" r="V167" s="6">
        <f>IF(C167="План",A167&amp;"|"&amp;J167,"")</f>
        <v/>
      </c>
    </row>
    <row r="168">
      <c r="A168" s="3" t="inlineStr">
        <is>
          <t>НоваПак</t>
        </is>
      </c>
      <c r="B168" s="3" t="inlineStr">
        <is>
          <t>РФ</t>
        </is>
      </c>
      <c r="C168" s="3" t="inlineStr">
        <is>
          <t>Шкала</t>
        </is>
      </c>
      <c r="D168" s="3" t="inlineStr">
        <is>
          <t>Сервис (ЗЧ)</t>
        </is>
      </c>
      <c r="E168" s="3" t="inlineStr">
        <is>
          <t>Сервис (ЗЧ) — расчёт по парку оборудования</t>
        </is>
      </c>
      <c r="F168" s="3" t="inlineStr">
        <is>
          <t>Скидка по сервису</t>
        </is>
      </c>
      <c r="G168" s="4" t="n">
        <v>1</v>
      </c>
      <c r="H168" s="4" t="inlineStr">
        <is>
          <t>да</t>
        </is>
      </c>
      <c r="I168" s="3" t="inlineStr">
        <is>
          <t>1001–1800</t>
        </is>
      </c>
      <c r="J168" s="4" t="n">
        <v>3</v>
      </c>
      <c r="K168" s="4" t="n">
        <v>1001</v>
      </c>
      <c r="L168" s="4" t="n">
        <v>1800</v>
      </c>
      <c r="M168" s="8" t="n">
        <v>0.23</v>
      </c>
      <c r="N168" s="4" t="inlineStr">
        <is>
          <t>%</t>
        </is>
      </c>
      <c r="O168" s="3" t="inlineStr">
        <is>
          <t>НоваПак</t>
        </is>
      </c>
      <c r="P168" s="3" t="inlineStr">
        <is>
          <t>F28</t>
        </is>
      </c>
      <c t="str" r="Q168" s="6">
        <f>A168&amp;"|"&amp;C168&amp;"|"&amp;D168&amp;"|"&amp;G168</f>
        <v>НоваПак|Шкала|Сервис (ЗЧ)|1</v>
      </c>
      <c t="str" r="R168" s="6">
        <f>A168&amp;"|"&amp;C168&amp;"|"&amp;D168&amp;"|"&amp;J168</f>
        <v>НоваПак|Шкала|Сервис (ЗЧ)|3</v>
      </c>
      <c t="str" r="S168" s="6">
        <f>A168&amp;"|"&amp;C168&amp;"|"&amp;D168&amp;"|"&amp;G168&amp;"|"&amp;J168</f>
        <v>НоваПак|Шкала|Сервис (ЗЧ)|1|3</v>
      </c>
      <c t="str" r="T168" s="6">
        <f>A168&amp;"|"&amp;C168&amp;"|"&amp;G168</f>
        <v>НоваПак|Шкала|1</v>
      </c>
      <c t="str" r="U168" s="6">
        <f>IF(H168="да",A168&amp;"|"&amp;C168&amp;"|"&amp;D168&amp;"|"&amp;J168,"")</f>
        <v>НоваПак|Шкала|Сервис (ЗЧ)|3</v>
      </c>
      <c t="str" r="V168" s="6">
        <f>IF(C168="План",A168&amp;"|"&amp;J168,"")</f>
        <v/>
      </c>
    </row>
    <row r="169">
      <c r="A169" s="3" t="inlineStr">
        <is>
          <t>НоваПак</t>
        </is>
      </c>
      <c r="B169" s="3" t="inlineStr">
        <is>
          <t>РФ</t>
        </is>
      </c>
      <c r="C169" s="3" t="inlineStr">
        <is>
          <t>Шкала</t>
        </is>
      </c>
      <c r="D169" s="3" t="inlineStr">
        <is>
          <t>Сервис (ЗЧ)</t>
        </is>
      </c>
      <c r="E169" s="3" t="inlineStr">
        <is>
          <t>Сервис (ЗЧ) — расчёт по парку оборудования</t>
        </is>
      </c>
      <c r="F169" s="3" t="inlineStr">
        <is>
          <t>Скидка по сервису</t>
        </is>
      </c>
      <c r="G169" s="4" t="n">
        <v>1</v>
      </c>
      <c r="H169" s="4" t="inlineStr">
        <is>
          <t>да</t>
        </is>
      </c>
      <c r="I169" s="3" t="inlineStr">
        <is>
          <t>1801–2400</t>
        </is>
      </c>
      <c r="J169" s="4" t="n">
        <v>4</v>
      </c>
      <c r="K169" s="4" t="n">
        <v>1801</v>
      </c>
      <c r="L169" s="4" t="n">
        <v>2400</v>
      </c>
      <c r="M169" s="8" t="n">
        <v>0.25</v>
      </c>
      <c r="N169" s="4" t="inlineStr">
        <is>
          <t>%</t>
        </is>
      </c>
      <c r="O169" s="3" t="inlineStr">
        <is>
          <t>НоваПак</t>
        </is>
      </c>
      <c r="P169" s="3" t="inlineStr">
        <is>
          <t>F29</t>
        </is>
      </c>
      <c t="str" r="Q169" s="6">
        <f>A169&amp;"|"&amp;C169&amp;"|"&amp;D169&amp;"|"&amp;G169</f>
        <v>НоваПак|Шкала|Сервис (ЗЧ)|1</v>
      </c>
      <c t="str" r="R169" s="6">
        <f>A169&amp;"|"&amp;C169&amp;"|"&amp;D169&amp;"|"&amp;J169</f>
        <v>НоваПак|Шкала|Сервис (ЗЧ)|4</v>
      </c>
      <c t="str" r="S169" s="6">
        <f>A169&amp;"|"&amp;C169&amp;"|"&amp;D169&amp;"|"&amp;G169&amp;"|"&amp;J169</f>
        <v>НоваПак|Шкала|Сервис (ЗЧ)|1|4</v>
      </c>
      <c t="str" r="T169" s="6">
        <f>A169&amp;"|"&amp;C169&amp;"|"&amp;G169</f>
        <v>НоваПак|Шкала|1</v>
      </c>
      <c t="str" r="U169" s="6">
        <f>IF(H169="да",A169&amp;"|"&amp;C169&amp;"|"&amp;D169&amp;"|"&amp;J169,"")</f>
        <v>НоваПак|Шкала|Сервис (ЗЧ)|4</v>
      </c>
      <c t="str" r="V169" s="6">
        <f>IF(C169="План",A169&amp;"|"&amp;J169,"")</f>
        <v/>
      </c>
    </row>
    <row r="170">
      <c r="A170" s="3" t="inlineStr">
        <is>
          <t>НоваПак</t>
        </is>
      </c>
      <c r="B170" s="3" t="inlineStr">
        <is>
          <t>РФ</t>
        </is>
      </c>
      <c r="C170" s="3" t="inlineStr">
        <is>
          <t>Шкала</t>
        </is>
      </c>
      <c r="D170" s="3" t="inlineStr">
        <is>
          <t>Сервис (ЗЧ)</t>
        </is>
      </c>
      <c r="E170" s="3" t="inlineStr">
        <is>
          <t>Сервис (ЗЧ) — расчёт по парку оборудования</t>
        </is>
      </c>
      <c r="F170" s="3" t="inlineStr">
        <is>
          <t>Скидка по сервису</t>
        </is>
      </c>
      <c r="G170" s="4" t="n">
        <v>1</v>
      </c>
      <c r="H170" s="4" t="inlineStr">
        <is>
          <t>да</t>
        </is>
      </c>
      <c r="I170" s="3" t="inlineStr">
        <is>
          <t>2401–3000</t>
        </is>
      </c>
      <c r="J170" s="4" t="n">
        <v>5</v>
      </c>
      <c r="K170" s="4" t="n">
        <v>2401</v>
      </c>
      <c r="L170" s="4" t="n">
        <v>3000</v>
      </c>
      <c r="M170" s="8" t="n">
        <v>0.27</v>
      </c>
      <c r="N170" s="4" t="inlineStr">
        <is>
          <t>%</t>
        </is>
      </c>
      <c r="O170" s="3" t="inlineStr">
        <is>
          <t>НоваПак</t>
        </is>
      </c>
      <c r="P170" s="3" t="inlineStr">
        <is>
          <t>F30</t>
        </is>
      </c>
      <c t="str" r="Q170" s="6">
        <f>A170&amp;"|"&amp;C170&amp;"|"&amp;D170&amp;"|"&amp;G170</f>
        <v>НоваПак|Шкала|Сервис (ЗЧ)|1</v>
      </c>
      <c t="str" r="R170" s="6">
        <f>A170&amp;"|"&amp;C170&amp;"|"&amp;D170&amp;"|"&amp;J170</f>
        <v>НоваПак|Шкала|Сервис (ЗЧ)|5</v>
      </c>
      <c t="str" r="S170" s="6">
        <f>A170&amp;"|"&amp;C170&amp;"|"&amp;D170&amp;"|"&amp;G170&amp;"|"&amp;J170</f>
        <v>НоваПак|Шкала|Сервис (ЗЧ)|1|5</v>
      </c>
      <c t="str" r="T170" s="6">
        <f>A170&amp;"|"&amp;C170&amp;"|"&amp;G170</f>
        <v>НоваПак|Шкала|1</v>
      </c>
      <c t="str" r="U170" s="6">
        <f>IF(H170="да",A170&amp;"|"&amp;C170&amp;"|"&amp;D170&amp;"|"&amp;J170,"")</f>
        <v>НоваПак|Шкала|Сервис (ЗЧ)|5</v>
      </c>
      <c t="str" r="V170" s="6">
        <f>IF(C170="План",A170&amp;"|"&amp;J170,"")</f>
        <v/>
      </c>
    </row>
    <row r="171">
      <c r="A171" s="3" t="inlineStr">
        <is>
          <t>НоваПак</t>
        </is>
      </c>
      <c r="B171" s="3" t="inlineStr">
        <is>
          <t>РФ</t>
        </is>
      </c>
      <c r="C171" s="3" t="inlineStr">
        <is>
          <t>Шкала</t>
        </is>
      </c>
      <c r="D171" s="3" t="inlineStr">
        <is>
          <t>Сервис (ЗЧ)</t>
        </is>
      </c>
      <c r="E171" s="3" t="inlineStr">
        <is>
          <t>Сервис (ЗЧ) — расчёт по парку оборудования</t>
        </is>
      </c>
      <c r="F171" s="3" t="inlineStr">
        <is>
          <t>Скидка по сервису</t>
        </is>
      </c>
      <c r="G171" s="4" t="n">
        <v>1</v>
      </c>
      <c r="H171" s="4" t="inlineStr">
        <is>
          <t>да</t>
        </is>
      </c>
      <c r="I171" s="3" t="inlineStr">
        <is>
          <t>3001+</t>
        </is>
      </c>
      <c r="J171" s="4" t="n">
        <v>6</v>
      </c>
      <c r="K171" s="4" t="n">
        <v>3001</v>
      </c>
      <c r="L171" s="4" t="n"/>
      <c r="M171" s="8" t="n">
        <v>0.3</v>
      </c>
      <c r="N171" s="4" t="inlineStr">
        <is>
          <t>%</t>
        </is>
      </c>
      <c r="O171" s="3" t="inlineStr">
        <is>
          <t>НоваПак</t>
        </is>
      </c>
      <c r="P171" s="3" t="inlineStr">
        <is>
          <t>F31</t>
        </is>
      </c>
      <c t="str" r="Q171" s="6">
        <f>A171&amp;"|"&amp;C171&amp;"|"&amp;D171&amp;"|"&amp;G171</f>
        <v>НоваПак|Шкала|Сервис (ЗЧ)|1</v>
      </c>
      <c t="str" r="R171" s="6">
        <f>A171&amp;"|"&amp;C171&amp;"|"&amp;D171&amp;"|"&amp;J171</f>
        <v>НоваПак|Шкала|Сервис (ЗЧ)|6</v>
      </c>
      <c t="str" r="S171" s="6">
        <f>A171&amp;"|"&amp;C171&amp;"|"&amp;D171&amp;"|"&amp;G171&amp;"|"&amp;J171</f>
        <v>НоваПак|Шкала|Сервис (ЗЧ)|1|6</v>
      </c>
      <c t="str" r="T171" s="6">
        <f>A171&amp;"|"&amp;C171&amp;"|"&amp;G171</f>
        <v>НоваПак|Шкала|1</v>
      </c>
      <c t="str" r="U171" s="6">
        <f>IF(H171="да",A171&amp;"|"&amp;C171&amp;"|"&amp;D171&amp;"|"&amp;J171,"")</f>
        <v>НоваПак|Шкала|Сервис (ЗЧ)|6</v>
      </c>
      <c t="str" r="V171" s="6">
        <f>IF(C171="План",A171&amp;"|"&amp;J171,"")</f>
        <v/>
      </c>
    </row>
    <row r="172">
      <c r="A172" s="3" t="inlineStr">
        <is>
          <t>КСП (КОМПО-СП)</t>
        </is>
      </c>
      <c r="B172" s="3" t="inlineStr">
        <is>
          <t>РФ</t>
        </is>
      </c>
      <c r="C172" s="3" t="inlineStr">
        <is>
          <t>План</t>
        </is>
      </c>
      <c r="D172" s="3" t="inlineStr">
        <is>
          <t>Итого по дилеру</t>
        </is>
      </c>
      <c r="E172" s="3" t="inlineStr">
        <is>
          <t>План и бонусы</t>
        </is>
      </c>
      <c r="F172" s="3" t="inlineStr">
        <is>
          <t>Выручка 2024</t>
        </is>
      </c>
      <c r="G172" s="4" t="n">
        <v>1</v>
      </c>
      <c r="H172" s="4" t="n"/>
      <c r="I172" s="3" t="n"/>
      <c r="J172" s="4" t="n">
        <v>1</v>
      </c>
      <c r="K172" s="4" t="n"/>
      <c r="L172" s="4" t="n"/>
      <c r="M172" s="5" t="n">
        <v>1548968</v>
      </c>
      <c r="N172" s="4" t="inlineStr">
        <is>
          <t>EUR</t>
        </is>
      </c>
      <c r="O172" s="3" t="inlineStr">
        <is>
          <t>КСП</t>
        </is>
      </c>
      <c r="P172" s="3" t="inlineStr">
        <is>
          <t>D4</t>
        </is>
      </c>
      <c t="str" r="Q172" s="6">
        <f>A172&amp;"|"&amp;C172&amp;"|"&amp;D172&amp;"|"&amp;G172</f>
        <v>КСП (КОМПО-СП)|План|Итого по дилеру|1</v>
      </c>
      <c t="str" r="R172" s="6">
        <f>A172&amp;"|"&amp;C172&amp;"|"&amp;D172&amp;"|"&amp;J172</f>
        <v>КСП (КОМПО-СП)|План|Итого по дилеру|1</v>
      </c>
      <c t="str" r="S172" s="6">
        <f>A172&amp;"|"&amp;C172&amp;"|"&amp;D172&amp;"|"&amp;G172&amp;"|"&amp;J172</f>
        <v>КСП (КОМПО-СП)|План|Итого по дилеру|1|1</v>
      </c>
      <c t="str" r="T172" s="6">
        <f>A172&amp;"|"&amp;C172&amp;"|"&amp;G172</f>
        <v>КСП (КОМПО-СП)|План|1</v>
      </c>
      <c t="str" r="U172" s="6">
        <f>IF(H172="да",A172&amp;"|"&amp;C172&amp;"|"&amp;D172&amp;"|"&amp;J172,"")</f>
        <v/>
      </c>
      <c t="str" r="V172" s="6">
        <f>IF(C172="План",A172&amp;"|"&amp;J172,"")</f>
        <v>КСП (КОМПО-СП)|1</v>
      </c>
    </row>
    <row r="173">
      <c r="A173" s="3" t="inlineStr">
        <is>
          <t>КСП (КОМПО-СП)</t>
        </is>
      </c>
      <c r="B173" s="3" t="inlineStr">
        <is>
          <t>РФ</t>
        </is>
      </c>
      <c r="C173" s="3" t="inlineStr">
        <is>
          <t>План</t>
        </is>
      </c>
      <c r="D173" s="3" t="inlineStr">
        <is>
          <t>Итого по дилеру</t>
        </is>
      </c>
      <c r="E173" s="3" t="inlineStr">
        <is>
          <t>План и бонусы</t>
        </is>
      </c>
      <c r="F173" s="3" t="inlineStr">
        <is>
          <t>Выручка 2025</t>
        </is>
      </c>
      <c r="G173" s="4" t="n">
        <v>1</v>
      </c>
      <c r="H173" s="4" t="n"/>
      <c r="I173" s="3" t="n"/>
      <c r="J173" s="4" t="n">
        <v>2</v>
      </c>
      <c r="K173" s="4" t="n"/>
      <c r="L173" s="4" t="n"/>
      <c r="M173" s="5" t="n">
        <v>1948199</v>
      </c>
      <c r="N173" s="4" t="inlineStr">
        <is>
          <t>EUR</t>
        </is>
      </c>
      <c r="O173" s="3" t="inlineStr">
        <is>
          <t>КСП</t>
        </is>
      </c>
      <c r="P173" s="3" t="inlineStr">
        <is>
          <t>E4</t>
        </is>
      </c>
      <c t="str" r="Q173" s="6">
        <f>A173&amp;"|"&amp;C173&amp;"|"&amp;D173&amp;"|"&amp;G173</f>
        <v>КСП (КОМПО-СП)|План|Итого по дилеру|1</v>
      </c>
      <c t="str" r="R173" s="6">
        <f>A173&amp;"|"&amp;C173&amp;"|"&amp;D173&amp;"|"&amp;J173</f>
        <v>КСП (КОМПО-СП)|План|Итого по дилеру|2</v>
      </c>
      <c t="str" r="S173" s="6">
        <f>A173&amp;"|"&amp;C173&amp;"|"&amp;D173&amp;"|"&amp;G173&amp;"|"&amp;J173</f>
        <v>КСП (КОМПО-СП)|План|Итого по дилеру|1|2</v>
      </c>
      <c t="str" r="T173" s="6">
        <f>A173&amp;"|"&amp;C173&amp;"|"&amp;G173</f>
        <v>КСП (КОМПО-СП)|План|1</v>
      </c>
      <c t="str" r="U173" s="6">
        <f>IF(H173="да",A173&amp;"|"&amp;C173&amp;"|"&amp;D173&amp;"|"&amp;J173,"")</f>
        <v/>
      </c>
      <c t="str" r="V173" s="6">
        <f>IF(C173="План",A173&amp;"|"&amp;J173,"")</f>
        <v>КСП (КОМПО-СП)|2</v>
      </c>
    </row>
    <row r="174">
      <c r="A174" s="3" t="inlineStr">
        <is>
          <t>КСП (КОМПО-СП)</t>
        </is>
      </c>
      <c r="B174" s="3" t="inlineStr">
        <is>
          <t>РФ</t>
        </is>
      </c>
      <c r="C174" s="3" t="inlineStr">
        <is>
          <t>План</t>
        </is>
      </c>
      <c r="D174" s="3" t="inlineStr">
        <is>
          <t>Итого по дилеру</t>
        </is>
      </c>
      <c r="E174" s="3" t="inlineStr">
        <is>
          <t>План и бонусы</t>
        </is>
      </c>
      <c r="F174" s="3" t="inlineStr">
        <is>
          <t>План 2026</t>
        </is>
      </c>
      <c r="G174" s="4" t="n">
        <v>1</v>
      </c>
      <c r="H174" s="4" t="n"/>
      <c r="I174" s="3" t="n"/>
      <c r="J174" s="4" t="n">
        <v>3</v>
      </c>
      <c r="K174" s="4" t="n"/>
      <c r="L174" s="4" t="n"/>
      <c r="M174" s="5" t="n">
        <v>2104000</v>
      </c>
      <c r="N174" s="4" t="inlineStr">
        <is>
          <t>EUR</t>
        </is>
      </c>
      <c r="O174" s="3" t="inlineStr">
        <is>
          <t>КСП</t>
        </is>
      </c>
      <c r="P174" s="3" t="inlineStr">
        <is>
          <t>F4</t>
        </is>
      </c>
      <c t="str" r="Q174" s="6">
        <f>A174&amp;"|"&amp;C174&amp;"|"&amp;D174&amp;"|"&amp;G174</f>
        <v>КСП (КОМПО-СП)|План|Итого по дилеру|1</v>
      </c>
      <c t="str" r="R174" s="6">
        <f>A174&amp;"|"&amp;C174&amp;"|"&amp;D174&amp;"|"&amp;J174</f>
        <v>КСП (КОМПО-СП)|План|Итого по дилеру|3</v>
      </c>
      <c t="str" r="S174" s="6">
        <f>A174&amp;"|"&amp;C174&amp;"|"&amp;D174&amp;"|"&amp;G174&amp;"|"&amp;J174</f>
        <v>КСП (КОМПО-СП)|План|Итого по дилеру|1|3</v>
      </c>
      <c t="str" r="T174" s="6">
        <f>A174&amp;"|"&amp;C174&amp;"|"&amp;G174</f>
        <v>КСП (КОМПО-СП)|План|1</v>
      </c>
      <c t="str" r="U174" s="6">
        <f>IF(H174="да",A174&amp;"|"&amp;C174&amp;"|"&amp;D174&amp;"|"&amp;J174,"")</f>
        <v/>
      </c>
      <c t="str" r="V174" s="6">
        <f>IF(C174="План",A174&amp;"|"&amp;J174,"")</f>
        <v>КСП (КОМПО-СП)|3</v>
      </c>
    </row>
    <row r="175">
      <c r="A175" s="3" t="inlineStr">
        <is>
          <t>КСП (КОМПО-СП)</t>
        </is>
      </c>
      <c r="B175" s="3" t="inlineStr">
        <is>
          <t>РФ</t>
        </is>
      </c>
      <c r="C175" s="3" t="inlineStr">
        <is>
          <t>План</t>
        </is>
      </c>
      <c r="D175" s="3" t="inlineStr">
        <is>
          <t>Итого по дилеру</t>
        </is>
      </c>
      <c r="E175" s="3" t="inlineStr">
        <is>
          <t>План и бонусы</t>
        </is>
      </c>
      <c r="F175" s="3" t="inlineStr">
        <is>
          <t>Прирост П/Ф</t>
        </is>
      </c>
      <c r="G175" s="4" t="n">
        <v>1</v>
      </c>
      <c r="H175" s="4" t="n"/>
      <c r="I175" s="3" t="n"/>
      <c r="J175" s="4" t="n">
        <v>4</v>
      </c>
      <c r="K175" s="4" t="n"/>
      <c r="L175" s="4" t="n"/>
      <c r="M175" s="7" t="n">
        <v>0.07997180986131291</v>
      </c>
      <c r="N175" s="4" t="inlineStr">
        <is>
          <t>%</t>
        </is>
      </c>
      <c r="O175" s="3" t="inlineStr">
        <is>
          <t>КСП</t>
        </is>
      </c>
      <c r="P175" s="3" t="inlineStr">
        <is>
          <t>G4</t>
        </is>
      </c>
      <c t="str" r="Q175" s="6">
        <f>A175&amp;"|"&amp;C175&amp;"|"&amp;D175&amp;"|"&amp;G175</f>
        <v>КСП (КОМПО-СП)|План|Итого по дилеру|1</v>
      </c>
      <c t="str" r="R175" s="6">
        <f>A175&amp;"|"&amp;C175&amp;"|"&amp;D175&amp;"|"&amp;J175</f>
        <v>КСП (КОМПО-СП)|План|Итого по дилеру|4</v>
      </c>
      <c t="str" r="S175" s="6">
        <f>A175&amp;"|"&amp;C175&amp;"|"&amp;D175&amp;"|"&amp;G175&amp;"|"&amp;J175</f>
        <v>КСП (КОМПО-СП)|План|Итого по дилеру|1|4</v>
      </c>
      <c t="str" r="T175" s="6">
        <f>A175&amp;"|"&amp;C175&amp;"|"&amp;G175</f>
        <v>КСП (КОМПО-СП)|План|1</v>
      </c>
      <c t="str" r="U175" s="6">
        <f>IF(H175="да",A175&amp;"|"&amp;C175&amp;"|"&amp;D175&amp;"|"&amp;J175,"")</f>
        <v/>
      </c>
      <c t="str" r="V175" s="6">
        <f>IF(C175="План",A175&amp;"|"&amp;J175,"")</f>
        <v>КСП (КОМПО-СП)|4</v>
      </c>
    </row>
    <row r="176">
      <c r="A176" s="3" t="inlineStr">
        <is>
          <t>КСП (КОМПО-СП)</t>
        </is>
      </c>
      <c r="B176" s="3" t="inlineStr">
        <is>
          <t>РФ</t>
        </is>
      </c>
      <c r="C176" s="3" t="inlineStr">
        <is>
          <t>План</t>
        </is>
      </c>
      <c r="D176" s="3" t="inlineStr">
        <is>
          <t>Сервис</t>
        </is>
      </c>
      <c r="E176" s="3" t="inlineStr">
        <is>
          <t>План и бонусы</t>
        </is>
      </c>
      <c r="F176" s="3" t="inlineStr">
        <is>
          <t>Выручка 2024</t>
        </is>
      </c>
      <c r="G176" s="4" t="n">
        <v>2</v>
      </c>
      <c r="H176" s="4" t="n"/>
      <c r="I176" s="3" t="n"/>
      <c r="J176" s="4" t="n">
        <v>1</v>
      </c>
      <c r="K176" s="4" t="n"/>
      <c r="L176" s="4" t="n"/>
      <c r="M176" s="5" t="n">
        <v>218223</v>
      </c>
      <c r="N176" s="4" t="inlineStr">
        <is>
          <t>EUR</t>
        </is>
      </c>
      <c r="O176" s="3" t="inlineStr">
        <is>
          <t>КСП</t>
        </is>
      </c>
      <c r="P176" s="3" t="inlineStr">
        <is>
          <t>D5</t>
        </is>
      </c>
      <c t="str" r="Q176" s="6">
        <f>A176&amp;"|"&amp;C176&amp;"|"&amp;D176&amp;"|"&amp;G176</f>
        <v>КСП (КОМПО-СП)|План|Сервис|2</v>
      </c>
      <c t="str" r="R176" s="6">
        <f>A176&amp;"|"&amp;C176&amp;"|"&amp;D176&amp;"|"&amp;J176</f>
        <v>КСП (КОМПО-СП)|План|Сервис|1</v>
      </c>
      <c t="str" r="S176" s="6">
        <f>A176&amp;"|"&amp;C176&amp;"|"&amp;D176&amp;"|"&amp;G176&amp;"|"&amp;J176</f>
        <v>КСП (КОМПО-СП)|План|Сервис|2|1</v>
      </c>
      <c t="str" r="T176" s="6">
        <f>A176&amp;"|"&amp;C176&amp;"|"&amp;G176</f>
        <v>КСП (КОМПО-СП)|План|2</v>
      </c>
      <c t="str" r="U176" s="6">
        <f>IF(H176="да",A176&amp;"|"&amp;C176&amp;"|"&amp;D176&amp;"|"&amp;J176,"")</f>
        <v/>
      </c>
      <c t="str" r="V176" s="6">
        <f>IF(C176="План",A176&amp;"|"&amp;J176,"")</f>
        <v>КСП (КОМПО-СП)|1</v>
      </c>
    </row>
    <row r="177">
      <c r="A177" s="3" t="inlineStr">
        <is>
          <t>КСП (КОМПО-СП)</t>
        </is>
      </c>
      <c r="B177" s="3" t="inlineStr">
        <is>
          <t>РФ</t>
        </is>
      </c>
      <c r="C177" s="3" t="inlineStr">
        <is>
          <t>План</t>
        </is>
      </c>
      <c r="D177" s="3" t="inlineStr">
        <is>
          <t>Сервис</t>
        </is>
      </c>
      <c r="E177" s="3" t="inlineStr">
        <is>
          <t>План и бонусы</t>
        </is>
      </c>
      <c r="F177" s="3" t="inlineStr">
        <is>
          <t>Выручка 2025</t>
        </is>
      </c>
      <c r="G177" s="4" t="n">
        <v>2</v>
      </c>
      <c r="H177" s="4" t="n"/>
      <c r="I177" s="3" t="n"/>
      <c r="J177" s="4" t="n">
        <v>2</v>
      </c>
      <c r="K177" s="4" t="n"/>
      <c r="L177" s="4" t="n"/>
      <c r="M177" s="5" t="n">
        <v>246890</v>
      </c>
      <c r="N177" s="4" t="inlineStr">
        <is>
          <t>EUR</t>
        </is>
      </c>
      <c r="O177" s="3" t="inlineStr">
        <is>
          <t>КСП</t>
        </is>
      </c>
      <c r="P177" s="3" t="inlineStr">
        <is>
          <t>E5</t>
        </is>
      </c>
      <c t="str" r="Q177" s="6">
        <f>A177&amp;"|"&amp;C177&amp;"|"&amp;D177&amp;"|"&amp;G177</f>
        <v>КСП (КОМПО-СП)|План|Сервис|2</v>
      </c>
      <c t="str" r="R177" s="6">
        <f>A177&amp;"|"&amp;C177&amp;"|"&amp;D177&amp;"|"&amp;J177</f>
        <v>КСП (КОМПО-СП)|План|Сервис|2</v>
      </c>
      <c t="str" r="S177" s="6">
        <f>A177&amp;"|"&amp;C177&amp;"|"&amp;D177&amp;"|"&amp;G177&amp;"|"&amp;J177</f>
        <v>КСП (КОМПО-СП)|План|Сервис|2|2</v>
      </c>
      <c t="str" r="T177" s="6">
        <f>A177&amp;"|"&amp;C177&amp;"|"&amp;G177</f>
        <v>КСП (КОМПО-СП)|План|2</v>
      </c>
      <c t="str" r="U177" s="6">
        <f>IF(H177="да",A177&amp;"|"&amp;C177&amp;"|"&amp;D177&amp;"|"&amp;J177,"")</f>
        <v/>
      </c>
      <c t="str" r="V177" s="6">
        <f>IF(C177="План",A177&amp;"|"&amp;J177,"")</f>
        <v>КСП (КОМПО-СП)|2</v>
      </c>
    </row>
    <row r="178">
      <c r="A178" s="3" t="inlineStr">
        <is>
          <t>КСП (КОМПО-СП)</t>
        </is>
      </c>
      <c r="B178" s="3" t="inlineStr">
        <is>
          <t>РФ</t>
        </is>
      </c>
      <c r="C178" s="3" t="inlineStr">
        <is>
          <t>План</t>
        </is>
      </c>
      <c r="D178" s="3" t="inlineStr">
        <is>
          <t>Сервис</t>
        </is>
      </c>
      <c r="E178" s="3" t="inlineStr">
        <is>
          <t>План и бонусы</t>
        </is>
      </c>
      <c r="F178" s="3" t="inlineStr">
        <is>
          <t>План 2026</t>
        </is>
      </c>
      <c r="G178" s="4" t="n">
        <v>2</v>
      </c>
      <c r="H178" s="4" t="n"/>
      <c r="I178" s="3" t="n"/>
      <c r="J178" s="4" t="n">
        <v>3</v>
      </c>
      <c r="K178" s="4" t="n"/>
      <c r="L178" s="4" t="n"/>
      <c r="M178" s="5" t="n">
        <v>305000</v>
      </c>
      <c r="N178" s="4" t="inlineStr">
        <is>
          <t>EUR</t>
        </is>
      </c>
      <c r="O178" s="3" t="inlineStr">
        <is>
          <t>КСП</t>
        </is>
      </c>
      <c r="P178" s="3" t="inlineStr">
        <is>
          <t>F5</t>
        </is>
      </c>
      <c t="str" r="Q178" s="6">
        <f>A178&amp;"|"&amp;C178&amp;"|"&amp;D178&amp;"|"&amp;G178</f>
        <v>КСП (КОМПО-СП)|План|Сервис|2</v>
      </c>
      <c t="str" r="R178" s="6">
        <f>A178&amp;"|"&amp;C178&amp;"|"&amp;D178&amp;"|"&amp;J178</f>
        <v>КСП (КОМПО-СП)|План|Сервис|3</v>
      </c>
      <c t="str" r="S178" s="6">
        <f>A178&amp;"|"&amp;C178&amp;"|"&amp;D178&amp;"|"&amp;G178&amp;"|"&amp;J178</f>
        <v>КСП (КОМПО-СП)|План|Сервис|2|3</v>
      </c>
      <c t="str" r="T178" s="6">
        <f>A178&amp;"|"&amp;C178&amp;"|"&amp;G178</f>
        <v>КСП (КОМПО-СП)|План|2</v>
      </c>
      <c t="str" r="U178" s="6">
        <f>IF(H178="да",A178&amp;"|"&amp;C178&amp;"|"&amp;D178&amp;"|"&amp;J178,"")</f>
        <v/>
      </c>
      <c t="str" r="V178" s="6">
        <f>IF(C178="План",A178&amp;"|"&amp;J178,"")</f>
        <v>КСП (КОМПО-СП)|3</v>
      </c>
    </row>
    <row r="179">
      <c r="A179" s="3" t="inlineStr">
        <is>
          <t>КСП (КОМПО-СП)</t>
        </is>
      </c>
      <c r="B179" s="3" t="inlineStr">
        <is>
          <t>РФ</t>
        </is>
      </c>
      <c r="C179" s="3" t="inlineStr">
        <is>
          <t>План</t>
        </is>
      </c>
      <c r="D179" s="3" t="inlineStr">
        <is>
          <t>Сервис</t>
        </is>
      </c>
      <c r="E179" s="3" t="inlineStr">
        <is>
          <t>План и бонусы</t>
        </is>
      </c>
      <c r="F179" s="3" t="inlineStr">
        <is>
          <t>Размер бонуса по итогам 2026 г</t>
        </is>
      </c>
      <c r="G179" s="4" t="n">
        <v>2</v>
      </c>
      <c r="H179" s="4" t="n"/>
      <c r="I179" s="3" t="n"/>
      <c r="J179" s="4" t="n">
        <v>5</v>
      </c>
      <c r="K179" s="4" t="n"/>
      <c r="L179" s="4" t="n"/>
      <c r="M179" s="7" t="n">
        <v>0.01</v>
      </c>
      <c r="N179" s="4" t="inlineStr">
        <is>
          <t>%</t>
        </is>
      </c>
      <c r="O179" s="3" t="inlineStr">
        <is>
          <t>КСП</t>
        </is>
      </c>
      <c r="P179" s="3" t="inlineStr">
        <is>
          <t>H5</t>
        </is>
      </c>
      <c t="str" r="Q179" s="6">
        <f>A179&amp;"|"&amp;C179&amp;"|"&amp;D179&amp;"|"&amp;G179</f>
        <v>КСП (КОМПО-СП)|План|Сервис|2</v>
      </c>
      <c t="str" r="R179" s="6">
        <f>A179&amp;"|"&amp;C179&amp;"|"&amp;D179&amp;"|"&amp;J179</f>
        <v>КСП (КОМПО-СП)|План|Сервис|5</v>
      </c>
      <c t="str" r="S179" s="6">
        <f>A179&amp;"|"&amp;C179&amp;"|"&amp;D179&amp;"|"&amp;G179&amp;"|"&amp;J179</f>
        <v>КСП (КОМПО-СП)|План|Сервис|2|5</v>
      </c>
      <c t="str" r="T179" s="6">
        <f>A179&amp;"|"&amp;C179&amp;"|"&amp;G179</f>
        <v>КСП (КОМПО-СП)|План|2</v>
      </c>
      <c t="str" r="U179" s="6">
        <f>IF(H179="да",A179&amp;"|"&amp;C179&amp;"|"&amp;D179&amp;"|"&amp;J179,"")</f>
        <v/>
      </c>
      <c t="str" r="V179" s="6">
        <f>IF(C179="План",A179&amp;"|"&amp;J179,"")</f>
        <v>КСП (КОМПО-СП)|5</v>
      </c>
    </row>
    <row r="180">
      <c r="A180" s="3" t="inlineStr">
        <is>
          <t>КСП (КОМПО-СП)</t>
        </is>
      </c>
      <c r="B180" s="3" t="inlineStr">
        <is>
          <t>РФ</t>
        </is>
      </c>
      <c r="C180" s="3" t="inlineStr">
        <is>
          <t>План</t>
        </is>
      </c>
      <c r="D180" s="3" t="inlineStr">
        <is>
          <t>Сервис</t>
        </is>
      </c>
      <c r="E180" s="3" t="inlineStr">
        <is>
          <t>План и бонусы</t>
        </is>
      </c>
      <c r="F180" s="3" t="inlineStr">
        <is>
          <t>Скидка в 1 кв. 2026 ф.г.*</t>
        </is>
      </c>
      <c r="G180" s="4" t="n">
        <v>2</v>
      </c>
      <c r="H180" s="4" t="n"/>
      <c r="I180" s="3" t="n"/>
      <c r="J180" s="4" t="n">
        <v>6</v>
      </c>
      <c r="K180" s="4" t="n"/>
      <c r="L180" s="4" t="n"/>
      <c r="M180" s="8" t="n">
        <v>0.23</v>
      </c>
      <c r="N180" s="4" t="inlineStr">
        <is>
          <t>%</t>
        </is>
      </c>
      <c r="O180" s="3" t="inlineStr">
        <is>
          <t>КСП</t>
        </is>
      </c>
      <c r="P180" s="3" t="inlineStr">
        <is>
          <t>I5</t>
        </is>
      </c>
      <c t="str" r="Q180" s="6">
        <f>A180&amp;"|"&amp;C180&amp;"|"&amp;D180&amp;"|"&amp;G180</f>
        <v>КСП (КОМПО-СП)|План|Сервис|2</v>
      </c>
      <c t="str" r="R180" s="6">
        <f>A180&amp;"|"&amp;C180&amp;"|"&amp;D180&amp;"|"&amp;J180</f>
        <v>КСП (КОМПО-СП)|План|Сервис|6</v>
      </c>
      <c t="str" r="S180" s="6">
        <f>A180&amp;"|"&amp;C180&amp;"|"&amp;D180&amp;"|"&amp;G180&amp;"|"&amp;J180</f>
        <v>КСП (КОМПО-СП)|План|Сервис|2|6</v>
      </c>
      <c t="str" r="T180" s="6">
        <f>A180&amp;"|"&amp;C180&amp;"|"&amp;G180</f>
        <v>КСП (КОМПО-СП)|План|2</v>
      </c>
      <c t="str" r="U180" s="6">
        <f>IF(H180="да",A180&amp;"|"&amp;C180&amp;"|"&amp;D180&amp;"|"&amp;J180,"")</f>
        <v/>
      </c>
      <c t="str" r="V180" s="6">
        <f>IF(C180="План",A180&amp;"|"&amp;J180,"")</f>
        <v>КСП (КОМПО-СП)|6</v>
      </c>
    </row>
    <row r="181">
      <c r="A181" s="3" t="inlineStr">
        <is>
          <t>КСП (КОМПО-СП)</t>
        </is>
      </c>
      <c r="B181" s="3" t="inlineStr">
        <is>
          <t>РФ</t>
        </is>
      </c>
      <c r="C181" s="3" t="inlineStr">
        <is>
          <t>План</t>
        </is>
      </c>
      <c r="D181" s="3" t="inlineStr">
        <is>
          <t>Оборудование</t>
        </is>
      </c>
      <c r="E181" s="3" t="inlineStr">
        <is>
          <t>План и бонусы</t>
        </is>
      </c>
      <c r="F181" s="3" t="inlineStr">
        <is>
          <t>Выручка 2024</t>
        </is>
      </c>
      <c r="G181" s="4" t="n">
        <v>3</v>
      </c>
      <c r="H181" s="4" t="n"/>
      <c r="I181" s="3" t="n"/>
      <c r="J181" s="4" t="n">
        <v>1</v>
      </c>
      <c r="K181" s="4" t="n"/>
      <c r="L181" s="4" t="n"/>
      <c r="M181" s="5" t="n">
        <v>717996</v>
      </c>
      <c r="N181" s="4" t="inlineStr">
        <is>
          <t>EUR</t>
        </is>
      </c>
      <c r="O181" s="3" t="inlineStr">
        <is>
          <t>КСП</t>
        </is>
      </c>
      <c r="P181" s="3" t="inlineStr">
        <is>
          <t>D6</t>
        </is>
      </c>
      <c t="str" r="Q181" s="6">
        <f>A181&amp;"|"&amp;C181&amp;"|"&amp;D181&amp;"|"&amp;G181</f>
        <v>КСП (КОМПО-СП)|План|Оборудование|3</v>
      </c>
      <c t="str" r="R181" s="6">
        <f>A181&amp;"|"&amp;C181&amp;"|"&amp;D181&amp;"|"&amp;J181</f>
        <v>КСП (КОМПО-СП)|План|Оборудование|1</v>
      </c>
      <c t="str" r="S181" s="6">
        <f>A181&amp;"|"&amp;C181&amp;"|"&amp;D181&amp;"|"&amp;G181&amp;"|"&amp;J181</f>
        <v>КСП (КОМПО-СП)|План|Оборудование|3|1</v>
      </c>
      <c t="str" r="T181" s="6">
        <f>A181&amp;"|"&amp;C181&amp;"|"&amp;G181</f>
        <v>КСП (КОМПО-СП)|План|3</v>
      </c>
      <c t="str" r="U181" s="6">
        <f>IF(H181="да",A181&amp;"|"&amp;C181&amp;"|"&amp;D181&amp;"|"&amp;J181,"")</f>
        <v/>
      </c>
      <c t="str" r="V181" s="6">
        <f>IF(C181="План",A181&amp;"|"&amp;J181,"")</f>
        <v>КСП (КОМПО-СП)|1</v>
      </c>
    </row>
    <row r="182">
      <c r="A182" s="3" t="inlineStr">
        <is>
          <t>КСП (КОМПО-СП)</t>
        </is>
      </c>
      <c r="B182" s="3" t="inlineStr">
        <is>
          <t>РФ</t>
        </is>
      </c>
      <c r="C182" s="3" t="inlineStr">
        <is>
          <t>План</t>
        </is>
      </c>
      <c r="D182" s="3" t="inlineStr">
        <is>
          <t>Оборудование</t>
        </is>
      </c>
      <c r="E182" s="3" t="inlineStr">
        <is>
          <t>План и бонусы</t>
        </is>
      </c>
      <c r="F182" s="3" t="inlineStr">
        <is>
          <t>Выручка 2025</t>
        </is>
      </c>
      <c r="G182" s="4" t="n">
        <v>3</v>
      </c>
      <c r="H182" s="4" t="n"/>
      <c r="I182" s="3" t="n"/>
      <c r="J182" s="4" t="n">
        <v>2</v>
      </c>
      <c r="K182" s="4" t="n"/>
      <c r="L182" s="4" t="n"/>
      <c r="M182" s="5" t="n">
        <v>974706</v>
      </c>
      <c r="N182" s="4" t="inlineStr">
        <is>
          <t>EUR</t>
        </is>
      </c>
      <c r="O182" s="3" t="inlineStr">
        <is>
          <t>КСП</t>
        </is>
      </c>
      <c r="P182" s="3" t="inlineStr">
        <is>
          <t>E6</t>
        </is>
      </c>
      <c t="str" r="Q182" s="6">
        <f>A182&amp;"|"&amp;C182&amp;"|"&amp;D182&amp;"|"&amp;G182</f>
        <v>КСП (КОМПО-СП)|План|Оборудование|3</v>
      </c>
      <c t="str" r="R182" s="6">
        <f>A182&amp;"|"&amp;C182&amp;"|"&amp;D182&amp;"|"&amp;J182</f>
        <v>КСП (КОМПО-СП)|План|Оборудование|2</v>
      </c>
      <c t="str" r="S182" s="6">
        <f>A182&amp;"|"&amp;C182&amp;"|"&amp;D182&amp;"|"&amp;G182&amp;"|"&amp;J182</f>
        <v>КСП (КОМПО-СП)|План|Оборудование|3|2</v>
      </c>
      <c t="str" r="T182" s="6">
        <f>A182&amp;"|"&amp;C182&amp;"|"&amp;G182</f>
        <v>КСП (КОМПО-СП)|План|3</v>
      </c>
      <c t="str" r="U182" s="6">
        <f>IF(H182="да",A182&amp;"|"&amp;C182&amp;"|"&amp;D182&amp;"|"&amp;J182,"")</f>
        <v/>
      </c>
      <c t="str" r="V182" s="6">
        <f>IF(C182="План",A182&amp;"|"&amp;J182,"")</f>
        <v>КСП (КОМПО-СП)|2</v>
      </c>
    </row>
    <row r="183">
      <c r="A183" s="3" t="inlineStr">
        <is>
          <t>КСП (КОМПО-СП)</t>
        </is>
      </c>
      <c r="B183" s="3" t="inlineStr">
        <is>
          <t>РФ</t>
        </is>
      </c>
      <c r="C183" s="3" t="inlineStr">
        <is>
          <t>План</t>
        </is>
      </c>
      <c r="D183" s="3" t="inlineStr">
        <is>
          <t>Оборудование</t>
        </is>
      </c>
      <c r="E183" s="3" t="inlineStr">
        <is>
          <t>План и бонусы</t>
        </is>
      </c>
      <c r="F183" s="3" t="inlineStr">
        <is>
          <t>План 2026</t>
        </is>
      </c>
      <c r="G183" s="4" t="n">
        <v>3</v>
      </c>
      <c r="H183" s="4" t="n"/>
      <c r="I183" s="3" t="n"/>
      <c r="J183" s="4" t="n">
        <v>3</v>
      </c>
      <c r="K183" s="4" t="n"/>
      <c r="L183" s="4" t="n"/>
      <c r="M183" s="5" t="n">
        <v>999000</v>
      </c>
      <c r="N183" s="4" t="inlineStr">
        <is>
          <t>EUR</t>
        </is>
      </c>
      <c r="O183" s="3" t="inlineStr">
        <is>
          <t>КСП</t>
        </is>
      </c>
      <c r="P183" s="3" t="inlineStr">
        <is>
          <t>F6</t>
        </is>
      </c>
      <c t="str" r="Q183" s="6">
        <f>A183&amp;"|"&amp;C183&amp;"|"&amp;D183&amp;"|"&amp;G183</f>
        <v>КСП (КОМПО-СП)|План|Оборудование|3</v>
      </c>
      <c t="str" r="R183" s="6">
        <f>A183&amp;"|"&amp;C183&amp;"|"&amp;D183&amp;"|"&amp;J183</f>
        <v>КСП (КОМПО-СП)|План|Оборудование|3</v>
      </c>
      <c t="str" r="S183" s="6">
        <f>A183&amp;"|"&amp;C183&amp;"|"&amp;D183&amp;"|"&amp;G183&amp;"|"&amp;J183</f>
        <v>КСП (КОМПО-СП)|План|Оборудование|3|3</v>
      </c>
      <c t="str" r="T183" s="6">
        <f>A183&amp;"|"&amp;C183&amp;"|"&amp;G183</f>
        <v>КСП (КОМПО-СП)|План|3</v>
      </c>
      <c t="str" r="U183" s="6">
        <f>IF(H183="да",A183&amp;"|"&amp;C183&amp;"|"&amp;D183&amp;"|"&amp;J183,"")</f>
        <v/>
      </c>
      <c t="str" r="V183" s="6">
        <f>IF(C183="План",A183&amp;"|"&amp;J183,"")</f>
        <v>КСП (КОМПО-СП)|3</v>
      </c>
    </row>
    <row r="184">
      <c r="A184" s="3" t="inlineStr">
        <is>
          <t>КСП (КОМПО-СП)</t>
        </is>
      </c>
      <c r="B184" s="3" t="inlineStr">
        <is>
          <t>РФ</t>
        </is>
      </c>
      <c r="C184" s="3" t="inlineStr">
        <is>
          <t>План</t>
        </is>
      </c>
      <c r="D184" s="3" t="inlineStr">
        <is>
          <t>Оборудование</t>
        </is>
      </c>
      <c r="E184" s="3" t="inlineStr">
        <is>
          <t>План и бонусы</t>
        </is>
      </c>
      <c r="F184" s="3" t="inlineStr">
        <is>
          <t>Размер бонуса по итогам 2026 г</t>
        </is>
      </c>
      <c r="G184" s="4" t="n">
        <v>3</v>
      </c>
      <c r="H184" s="4" t="n"/>
      <c r="I184" s="3" t="n"/>
      <c r="J184" s="4" t="n">
        <v>5</v>
      </c>
      <c r="K184" s="4" t="n"/>
      <c r="L184" s="4" t="n"/>
      <c r="M184" s="7" t="n">
        <v>0.015</v>
      </c>
      <c r="N184" s="4" t="inlineStr">
        <is>
          <t>%</t>
        </is>
      </c>
      <c r="O184" s="3" t="inlineStr">
        <is>
          <t>КСП</t>
        </is>
      </c>
      <c r="P184" s="3" t="inlineStr">
        <is>
          <t>H6</t>
        </is>
      </c>
      <c t="str" r="Q184" s="6">
        <f>A184&amp;"|"&amp;C184&amp;"|"&amp;D184&amp;"|"&amp;G184</f>
        <v>КСП (КОМПО-СП)|План|Оборудование|3</v>
      </c>
      <c t="str" r="R184" s="6">
        <f>A184&amp;"|"&amp;C184&amp;"|"&amp;D184&amp;"|"&amp;J184</f>
        <v>КСП (КОМПО-СП)|План|Оборудование|5</v>
      </c>
      <c t="str" r="S184" s="6">
        <f>A184&amp;"|"&amp;C184&amp;"|"&amp;D184&amp;"|"&amp;G184&amp;"|"&amp;J184</f>
        <v>КСП (КОМПО-СП)|План|Оборудование|3|5</v>
      </c>
      <c t="str" r="T184" s="6">
        <f>A184&amp;"|"&amp;C184&amp;"|"&amp;G184</f>
        <v>КСП (КОМПО-СП)|План|3</v>
      </c>
      <c t="str" r="U184" s="6">
        <f>IF(H184="да",A184&amp;"|"&amp;C184&amp;"|"&amp;D184&amp;"|"&amp;J184,"")</f>
        <v/>
      </c>
      <c t="str" r="V184" s="6">
        <f>IF(C184="План",A184&amp;"|"&amp;J184,"")</f>
        <v>КСП (КОМПО-СП)|5</v>
      </c>
    </row>
    <row r="185">
      <c r="A185" s="3" t="inlineStr">
        <is>
          <t>КСП (КОМПО-СП)</t>
        </is>
      </c>
      <c r="B185" s="3" t="inlineStr">
        <is>
          <t>РФ</t>
        </is>
      </c>
      <c r="C185" s="3" t="inlineStr">
        <is>
          <t>План</t>
        </is>
      </c>
      <c r="D185" s="3" t="inlineStr">
        <is>
          <t>Оборудование</t>
        </is>
      </c>
      <c r="E185" s="3" t="inlineStr">
        <is>
          <t>План и бонусы</t>
        </is>
      </c>
      <c r="F185" s="3" t="inlineStr">
        <is>
          <t>Скидка в 1 кв. 2026 ф.г.*</t>
        </is>
      </c>
      <c r="G185" s="4" t="n">
        <v>3</v>
      </c>
      <c r="H185" s="4" t="n"/>
      <c r="I185" s="3" t="n"/>
      <c r="J185" s="4" t="n">
        <v>6</v>
      </c>
      <c r="K185" s="4" t="n"/>
      <c r="L185" s="4" t="n"/>
      <c r="M185" s="8" t="n">
        <v>0.17</v>
      </c>
      <c r="N185" s="4" t="inlineStr">
        <is>
          <t>%</t>
        </is>
      </c>
      <c r="O185" s="3" t="inlineStr">
        <is>
          <t>КСП</t>
        </is>
      </c>
      <c r="P185" s="3" t="inlineStr">
        <is>
          <t>I6</t>
        </is>
      </c>
      <c t="str" r="Q185" s="6">
        <f>A185&amp;"|"&amp;C185&amp;"|"&amp;D185&amp;"|"&amp;G185</f>
        <v>КСП (КОМПО-СП)|План|Оборудование|3</v>
      </c>
      <c t="str" r="R185" s="6">
        <f>A185&amp;"|"&amp;C185&amp;"|"&amp;D185&amp;"|"&amp;J185</f>
        <v>КСП (КОМПО-СП)|План|Оборудование|6</v>
      </c>
      <c t="str" r="S185" s="6">
        <f>A185&amp;"|"&amp;C185&amp;"|"&amp;D185&amp;"|"&amp;G185&amp;"|"&amp;J185</f>
        <v>КСП (КОМПО-СП)|План|Оборудование|3|6</v>
      </c>
      <c t="str" r="T185" s="6">
        <f>A185&amp;"|"&amp;C185&amp;"|"&amp;G185</f>
        <v>КСП (КОМПО-СП)|План|3</v>
      </c>
      <c t="str" r="U185" s="6">
        <f>IF(H185="да",A185&amp;"|"&amp;C185&amp;"|"&amp;D185&amp;"|"&amp;J185,"")</f>
        <v/>
      </c>
      <c t="str" r="V185" s="6">
        <f>IF(C185="План",A185&amp;"|"&amp;J185,"")</f>
        <v>КСП (КОМПО-СП)|6</v>
      </c>
    </row>
    <row r="186">
      <c r="A186" s="3" t="inlineStr">
        <is>
          <t>КСП (КОМПО-СП)</t>
        </is>
      </c>
      <c r="B186" s="3" t="inlineStr">
        <is>
          <t>РФ</t>
        </is>
      </c>
      <c r="C186" s="3" t="inlineStr">
        <is>
          <t>План</t>
        </is>
      </c>
      <c r="D186" s="3" t="inlineStr">
        <is>
          <t>Расходные материалы</t>
        </is>
      </c>
      <c r="E186" s="3" t="inlineStr">
        <is>
          <t>План и бонусы</t>
        </is>
      </c>
      <c r="F186" s="3" t="inlineStr">
        <is>
          <t>Выручка 2024</t>
        </is>
      </c>
      <c r="G186" s="4" t="n">
        <v>4</v>
      </c>
      <c r="H186" s="4" t="n"/>
      <c r="I186" s="3" t="n"/>
      <c r="J186" s="4" t="n">
        <v>1</v>
      </c>
      <c r="K186" s="4" t="n"/>
      <c r="L186" s="4" t="n"/>
      <c r="M186" s="5" t="n">
        <v>612749</v>
      </c>
      <c r="N186" s="4" t="inlineStr">
        <is>
          <t>EUR</t>
        </is>
      </c>
      <c r="O186" s="3" t="inlineStr">
        <is>
          <t>КСП</t>
        </is>
      </c>
      <c r="P186" s="3" t="inlineStr">
        <is>
          <t>D7</t>
        </is>
      </c>
      <c t="str" r="Q186" s="6">
        <f>A186&amp;"|"&amp;C186&amp;"|"&amp;D186&amp;"|"&amp;G186</f>
        <v>КСП (КОМПО-СП)|План|Расходные материалы|4</v>
      </c>
      <c t="str" r="R186" s="6">
        <f>A186&amp;"|"&amp;C186&amp;"|"&amp;D186&amp;"|"&amp;J186</f>
        <v>КСП (КОМПО-СП)|План|Расходные материалы|1</v>
      </c>
      <c t="str" r="S186" s="6">
        <f>A186&amp;"|"&amp;C186&amp;"|"&amp;D186&amp;"|"&amp;G186&amp;"|"&amp;J186</f>
        <v>КСП (КОМПО-СП)|План|Расходные материалы|4|1</v>
      </c>
      <c t="str" r="T186" s="6">
        <f>A186&amp;"|"&amp;C186&amp;"|"&amp;G186</f>
        <v>КСП (КОМПО-СП)|План|4</v>
      </c>
      <c t="str" r="U186" s="6">
        <f>IF(H186="да",A186&amp;"|"&amp;C186&amp;"|"&amp;D186&amp;"|"&amp;J186,"")</f>
        <v/>
      </c>
      <c t="str" r="V186" s="6">
        <f>IF(C186="План",A186&amp;"|"&amp;J186,"")</f>
        <v>КСП (КОМПО-СП)|1</v>
      </c>
    </row>
    <row r="187">
      <c r="A187" s="3" t="inlineStr">
        <is>
          <t>КСП (КОМПО-СП)</t>
        </is>
      </c>
      <c r="B187" s="3" t="inlineStr">
        <is>
          <t>РФ</t>
        </is>
      </c>
      <c r="C187" s="3" t="inlineStr">
        <is>
          <t>План</t>
        </is>
      </c>
      <c r="D187" s="3" t="inlineStr">
        <is>
          <t>Расходные материалы</t>
        </is>
      </c>
      <c r="E187" s="3" t="inlineStr">
        <is>
          <t>План и бонусы</t>
        </is>
      </c>
      <c r="F187" s="3" t="inlineStr">
        <is>
          <t>Выручка 2025</t>
        </is>
      </c>
      <c r="G187" s="4" t="n">
        <v>4</v>
      </c>
      <c r="H187" s="4" t="n"/>
      <c r="I187" s="3" t="n"/>
      <c r="J187" s="4" t="n">
        <v>2</v>
      </c>
      <c r="K187" s="4" t="n"/>
      <c r="L187" s="4" t="n"/>
      <c r="M187" s="5" t="n">
        <v>726603</v>
      </c>
      <c r="N187" s="4" t="inlineStr">
        <is>
          <t>EUR</t>
        </is>
      </c>
      <c r="O187" s="3" t="inlineStr">
        <is>
          <t>КСП</t>
        </is>
      </c>
      <c r="P187" s="3" t="inlineStr">
        <is>
          <t>E7</t>
        </is>
      </c>
      <c t="str" r="Q187" s="6">
        <f>A187&amp;"|"&amp;C187&amp;"|"&amp;D187&amp;"|"&amp;G187</f>
        <v>КСП (КОМПО-СП)|План|Расходные материалы|4</v>
      </c>
      <c t="str" r="R187" s="6">
        <f>A187&amp;"|"&amp;C187&amp;"|"&amp;D187&amp;"|"&amp;J187</f>
        <v>КСП (КОМПО-СП)|План|Расходные материалы|2</v>
      </c>
      <c t="str" r="S187" s="6">
        <f>A187&amp;"|"&amp;C187&amp;"|"&amp;D187&amp;"|"&amp;G187&amp;"|"&amp;J187</f>
        <v>КСП (КОМПО-СП)|План|Расходные материалы|4|2</v>
      </c>
      <c t="str" r="T187" s="6">
        <f>A187&amp;"|"&amp;C187&amp;"|"&amp;G187</f>
        <v>КСП (КОМПО-СП)|План|4</v>
      </c>
      <c t="str" r="U187" s="6">
        <f>IF(H187="да",A187&amp;"|"&amp;C187&amp;"|"&amp;D187&amp;"|"&amp;J187,"")</f>
        <v/>
      </c>
      <c t="str" r="V187" s="6">
        <f>IF(C187="План",A187&amp;"|"&amp;J187,"")</f>
        <v>КСП (КОМПО-СП)|2</v>
      </c>
    </row>
    <row r="188">
      <c r="A188" s="3" t="inlineStr">
        <is>
          <t>КСП (КОМПО-СП)</t>
        </is>
      </c>
      <c r="B188" s="3" t="inlineStr">
        <is>
          <t>РФ</t>
        </is>
      </c>
      <c r="C188" s="3" t="inlineStr">
        <is>
          <t>План</t>
        </is>
      </c>
      <c r="D188" s="3" t="inlineStr">
        <is>
          <t>Расходные материалы</t>
        </is>
      </c>
      <c r="E188" s="3" t="inlineStr">
        <is>
          <t>План и бонусы</t>
        </is>
      </c>
      <c r="F188" s="3" t="inlineStr">
        <is>
          <t>План 2026</t>
        </is>
      </c>
      <c r="G188" s="4" t="n">
        <v>4</v>
      </c>
      <c r="H188" s="4" t="n"/>
      <c r="I188" s="3" t="n"/>
      <c r="J188" s="4" t="n">
        <v>3</v>
      </c>
      <c r="K188" s="4" t="n"/>
      <c r="L188" s="4" t="n"/>
      <c r="M188" s="5" t="n">
        <v>800000</v>
      </c>
      <c r="N188" s="4" t="inlineStr">
        <is>
          <t>EUR</t>
        </is>
      </c>
      <c r="O188" s="3" t="inlineStr">
        <is>
          <t>КСП</t>
        </is>
      </c>
      <c r="P188" s="3" t="inlineStr">
        <is>
          <t>F7</t>
        </is>
      </c>
      <c t="str" r="Q188" s="6">
        <f>A188&amp;"|"&amp;C188&amp;"|"&amp;D188&amp;"|"&amp;G188</f>
        <v>КСП (КОМПО-СП)|План|Расходные материалы|4</v>
      </c>
      <c t="str" r="R188" s="6">
        <f>A188&amp;"|"&amp;C188&amp;"|"&amp;D188&amp;"|"&amp;J188</f>
        <v>КСП (КОМПО-СП)|План|Расходные материалы|3</v>
      </c>
      <c t="str" r="S188" s="6">
        <f>A188&amp;"|"&amp;C188&amp;"|"&amp;D188&amp;"|"&amp;G188&amp;"|"&amp;J188</f>
        <v>КСП (КОМПО-СП)|План|Расходные материалы|4|3</v>
      </c>
      <c t="str" r="T188" s="6">
        <f>A188&amp;"|"&amp;C188&amp;"|"&amp;G188</f>
        <v>КСП (КОМПО-СП)|План|4</v>
      </c>
      <c t="str" r="U188" s="6">
        <f>IF(H188="да",A188&amp;"|"&amp;C188&amp;"|"&amp;D188&amp;"|"&amp;J188,"")</f>
        <v/>
      </c>
      <c t="str" r="V188" s="6">
        <f>IF(C188="План",A188&amp;"|"&amp;J188,"")</f>
        <v>КСП (КОМПО-СП)|3</v>
      </c>
    </row>
    <row r="189">
      <c r="A189" s="3" t="inlineStr">
        <is>
          <t>КСП (КОМПО-СП)</t>
        </is>
      </c>
      <c r="B189" s="3" t="inlineStr">
        <is>
          <t>РФ</t>
        </is>
      </c>
      <c r="C189" s="3" t="inlineStr">
        <is>
          <t>План</t>
        </is>
      </c>
      <c r="D189" s="3" t="inlineStr">
        <is>
          <t>Расходные материалы</t>
        </is>
      </c>
      <c r="E189" s="3" t="inlineStr">
        <is>
          <t>План и бонусы</t>
        </is>
      </c>
      <c r="F189" s="3" t="inlineStr">
        <is>
          <t>Размер бонуса по итогам 2026 г</t>
        </is>
      </c>
      <c r="G189" s="4" t="n">
        <v>4</v>
      </c>
      <c r="H189" s="4" t="n"/>
      <c r="I189" s="3" t="n"/>
      <c r="J189" s="4" t="n">
        <v>5</v>
      </c>
      <c r="K189" s="4" t="n"/>
      <c r="L189" s="4" t="n"/>
      <c r="M189" s="7" t="n">
        <v>0.005</v>
      </c>
      <c r="N189" s="4" t="inlineStr">
        <is>
          <t>%</t>
        </is>
      </c>
      <c r="O189" s="3" t="inlineStr">
        <is>
          <t>КСП</t>
        </is>
      </c>
      <c r="P189" s="3" t="inlineStr">
        <is>
          <t>H7</t>
        </is>
      </c>
      <c t="str" r="Q189" s="6">
        <f>A189&amp;"|"&amp;C189&amp;"|"&amp;D189&amp;"|"&amp;G189</f>
        <v>КСП (КОМПО-СП)|План|Расходные материалы|4</v>
      </c>
      <c t="str" r="R189" s="6">
        <f>A189&amp;"|"&amp;C189&amp;"|"&amp;D189&amp;"|"&amp;J189</f>
        <v>КСП (КОМПО-СП)|План|Расходные материалы|5</v>
      </c>
      <c t="str" r="S189" s="6">
        <f>A189&amp;"|"&amp;C189&amp;"|"&amp;D189&amp;"|"&amp;G189&amp;"|"&amp;J189</f>
        <v>КСП (КОМПО-СП)|План|Расходные материалы|4|5</v>
      </c>
      <c t="str" r="T189" s="6">
        <f>A189&amp;"|"&amp;C189&amp;"|"&amp;G189</f>
        <v>КСП (КОМПО-СП)|План|4</v>
      </c>
      <c t="str" r="U189" s="6">
        <f>IF(H189="да",A189&amp;"|"&amp;C189&amp;"|"&amp;D189&amp;"|"&amp;J189,"")</f>
        <v/>
      </c>
      <c t="str" r="V189" s="6">
        <f>IF(C189="План",A189&amp;"|"&amp;J189,"")</f>
        <v>КСП (КОМПО-СП)|5</v>
      </c>
    </row>
    <row r="190">
      <c r="A190" s="3" t="inlineStr">
        <is>
          <t>КСП (КОМПО-СП)</t>
        </is>
      </c>
      <c r="B190" s="3" t="inlineStr">
        <is>
          <t>РФ</t>
        </is>
      </c>
      <c r="C190" s="3" t="inlineStr">
        <is>
          <t>План</t>
        </is>
      </c>
      <c r="D190" s="3" t="inlineStr">
        <is>
          <t>Расходные материалы</t>
        </is>
      </c>
      <c r="E190" s="3" t="inlineStr">
        <is>
          <t>План и бонусы</t>
        </is>
      </c>
      <c r="F190" s="3" t="inlineStr">
        <is>
          <t>Скидка в 1 кв. 2026 ф.г.*</t>
        </is>
      </c>
      <c r="G190" s="4" t="n">
        <v>4</v>
      </c>
      <c r="H190" s="4" t="n"/>
      <c r="I190" s="3" t="n"/>
      <c r="J190" s="4" t="n">
        <v>6</v>
      </c>
      <c r="K190" s="4" t="n"/>
      <c r="L190" s="4" t="n"/>
      <c r="M190" s="8" t="n">
        <v>0.03</v>
      </c>
      <c r="N190" s="4" t="inlineStr">
        <is>
          <t>%</t>
        </is>
      </c>
      <c r="O190" s="3" t="inlineStr">
        <is>
          <t>КСП</t>
        </is>
      </c>
      <c r="P190" s="3" t="inlineStr">
        <is>
          <t>I7</t>
        </is>
      </c>
      <c t="str" r="Q190" s="6">
        <f>A190&amp;"|"&amp;C190&amp;"|"&amp;D190&amp;"|"&amp;G190</f>
        <v>КСП (КОМПО-СП)|План|Расходные материалы|4</v>
      </c>
      <c t="str" r="R190" s="6">
        <f>A190&amp;"|"&amp;C190&amp;"|"&amp;D190&amp;"|"&amp;J190</f>
        <v>КСП (КОМПО-СП)|План|Расходные материалы|6</v>
      </c>
      <c t="str" r="S190" s="6">
        <f>A190&amp;"|"&amp;C190&amp;"|"&amp;D190&amp;"|"&amp;G190&amp;"|"&amp;J190</f>
        <v>КСП (КОМПО-СП)|План|Расходные материалы|4|6</v>
      </c>
      <c t="str" r="T190" s="6">
        <f>A190&amp;"|"&amp;C190&amp;"|"&amp;G190</f>
        <v>КСП (КОМПО-СП)|План|4</v>
      </c>
      <c t="str" r="U190" s="6">
        <f>IF(H190="да",A190&amp;"|"&amp;C190&amp;"|"&amp;D190&amp;"|"&amp;J190,"")</f>
        <v/>
      </c>
      <c t="str" r="V190" s="6">
        <f>IF(C190="План",A190&amp;"|"&amp;J190,"")</f>
        <v>КСП (КОМПО-СП)|6</v>
      </c>
    </row>
    <row r="191">
      <c r="A191" s="3" t="inlineStr">
        <is>
          <t>КСП (КОМПО-СП)</t>
        </is>
      </c>
      <c r="B191" s="3" t="inlineStr">
        <is>
          <t>РФ</t>
        </is>
      </c>
      <c r="C191" s="3" t="inlineStr">
        <is>
          <t>Шкала</t>
        </is>
      </c>
      <c r="D191" s="3" t="inlineStr">
        <is>
          <t>Оборудование</t>
        </is>
      </c>
      <c r="E191" s="3" t="inlineStr">
        <is>
          <t>Оборудование — за квартал</t>
        </is>
      </c>
      <c r="F191" s="3" t="inlineStr">
        <is>
          <t>1 Базовое вознаграждение за Дилерский договор</t>
        </is>
      </c>
      <c r="G191" s="4" t="n">
        <v>1</v>
      </c>
      <c r="H191" s="4" t="n"/>
      <c r="I191" s="3" t="inlineStr">
        <is>
          <t>до 75</t>
        </is>
      </c>
      <c r="J191" s="4" t="n">
        <v>1</v>
      </c>
      <c r="K191" s="4" t="n"/>
      <c r="L191" s="4" t="n"/>
      <c r="M191" s="8" t="n">
        <v>0.06</v>
      </c>
      <c r="N191" s="4" t="inlineStr">
        <is>
          <t>%</t>
        </is>
      </c>
      <c r="O191" s="3" t="inlineStr">
        <is>
          <t>КСП</t>
        </is>
      </c>
      <c r="P191" s="3" t="inlineStr">
        <is>
          <t>E13</t>
        </is>
      </c>
      <c t="str" r="Q191" s="6">
        <f>A191&amp;"|"&amp;C191&amp;"|"&amp;D191&amp;"|"&amp;G191</f>
        <v>КСП (КОМПО-СП)|Шкала|Оборудование|1</v>
      </c>
      <c t="str" r="R191" s="6">
        <f>A191&amp;"|"&amp;C191&amp;"|"&amp;D191&amp;"|"&amp;J191</f>
        <v>КСП (КОМПО-СП)|Шкала|Оборудование|1</v>
      </c>
      <c t="str" r="S191" s="6">
        <f>A191&amp;"|"&amp;C191&amp;"|"&amp;D191&amp;"|"&amp;G191&amp;"|"&amp;J191</f>
        <v>КСП (КОМПО-СП)|Шкала|Оборудование|1|1</v>
      </c>
      <c t="str" r="T191" s="6">
        <f>A191&amp;"|"&amp;C191&amp;"|"&amp;G191</f>
        <v>КСП (КОМПО-СП)|Шкала|1</v>
      </c>
      <c t="str" r="U191" s="6">
        <f>IF(H191="да",A191&amp;"|"&amp;C191&amp;"|"&amp;D191&amp;"|"&amp;J191,"")</f>
        <v/>
      </c>
      <c t="str" r="V191" s="6">
        <f>IF(C191="План",A191&amp;"|"&amp;J191,"")</f>
        <v/>
      </c>
    </row>
    <row r="192">
      <c r="A192" s="3" t="inlineStr">
        <is>
          <t>КСП (КОМПО-СП)</t>
        </is>
      </c>
      <c r="B192" s="3" t="inlineStr">
        <is>
          <t>РФ</t>
        </is>
      </c>
      <c r="C192" s="3" t="inlineStr">
        <is>
          <t>Шкала</t>
        </is>
      </c>
      <c r="D192" s="3" t="inlineStr">
        <is>
          <t>Оборудование</t>
        </is>
      </c>
      <c r="E192" s="3" t="inlineStr">
        <is>
          <t>Оборудование — за квартал</t>
        </is>
      </c>
      <c r="F192" s="3" t="inlineStr">
        <is>
          <t>1 Базовое вознаграждение за Дилерский договор</t>
        </is>
      </c>
      <c r="G192" s="4" t="n">
        <v>1</v>
      </c>
      <c r="H192" s="4" t="n"/>
      <c r="I192" s="3" t="inlineStr">
        <is>
          <t>75-114</t>
        </is>
      </c>
      <c r="J192" s="4" t="n">
        <v>2</v>
      </c>
      <c r="K192" s="4" t="n"/>
      <c r="L192" s="4" t="n"/>
      <c r="M192" s="8" t="n">
        <v>0.06</v>
      </c>
      <c r="N192" s="4" t="inlineStr">
        <is>
          <t>%</t>
        </is>
      </c>
      <c r="O192" s="3" t="inlineStr">
        <is>
          <t>КСП</t>
        </is>
      </c>
      <c r="P192" s="3" t="inlineStr">
        <is>
          <t>F13</t>
        </is>
      </c>
      <c t="str" r="Q192" s="6">
        <f>A192&amp;"|"&amp;C192&amp;"|"&amp;D192&amp;"|"&amp;G192</f>
        <v>КСП (КОМПО-СП)|Шкала|Оборудование|1</v>
      </c>
      <c t="str" r="R192" s="6">
        <f>A192&amp;"|"&amp;C192&amp;"|"&amp;D192&amp;"|"&amp;J192</f>
        <v>КСП (КОМПО-СП)|Шкала|Оборудование|2</v>
      </c>
      <c t="str" r="S192" s="6">
        <f>A192&amp;"|"&amp;C192&amp;"|"&amp;D192&amp;"|"&amp;G192&amp;"|"&amp;J192</f>
        <v>КСП (КОМПО-СП)|Шкала|Оборудование|1|2</v>
      </c>
      <c t="str" r="T192" s="6">
        <f>A192&amp;"|"&amp;C192&amp;"|"&amp;G192</f>
        <v>КСП (КОМПО-СП)|Шкала|1</v>
      </c>
      <c t="str" r="U192" s="6">
        <f>IF(H192="да",A192&amp;"|"&amp;C192&amp;"|"&amp;D192&amp;"|"&amp;J192,"")</f>
        <v/>
      </c>
      <c t="str" r="V192" s="6">
        <f>IF(C192="План",A192&amp;"|"&amp;J192,"")</f>
        <v/>
      </c>
    </row>
    <row r="193">
      <c r="A193" s="3" t="inlineStr">
        <is>
          <t>КСП (КОМПО-СП)</t>
        </is>
      </c>
      <c r="B193" s="3" t="inlineStr">
        <is>
          <t>РФ</t>
        </is>
      </c>
      <c r="C193" s="3" t="inlineStr">
        <is>
          <t>Шкала</t>
        </is>
      </c>
      <c r="D193" s="3" t="inlineStr">
        <is>
          <t>Оборудование</t>
        </is>
      </c>
      <c r="E193" s="3" t="inlineStr">
        <is>
          <t>Оборудование — за квартал</t>
        </is>
      </c>
      <c r="F193" s="3" t="inlineStr">
        <is>
          <t>1 Базовое вознаграждение за Дилерский договор</t>
        </is>
      </c>
      <c r="G193" s="4" t="n">
        <v>1</v>
      </c>
      <c r="H193" s="4" t="n"/>
      <c r="I193" s="3" t="inlineStr">
        <is>
          <t>115-149</t>
        </is>
      </c>
      <c r="J193" s="4" t="n">
        <v>3</v>
      </c>
      <c r="K193" s="4" t="n"/>
      <c r="L193" s="4" t="n"/>
      <c r="M193" s="8" t="n">
        <v>0.06</v>
      </c>
      <c r="N193" s="4" t="inlineStr">
        <is>
          <t>%</t>
        </is>
      </c>
      <c r="O193" s="3" t="inlineStr">
        <is>
          <t>КСП</t>
        </is>
      </c>
      <c r="P193" s="3" t="inlineStr">
        <is>
          <t>G13</t>
        </is>
      </c>
      <c t="str" r="Q193" s="6">
        <f>A193&amp;"|"&amp;C193&amp;"|"&amp;D193&amp;"|"&amp;G193</f>
        <v>КСП (КОМПО-СП)|Шкала|Оборудование|1</v>
      </c>
      <c t="str" r="R193" s="6">
        <f>A193&amp;"|"&amp;C193&amp;"|"&amp;D193&amp;"|"&amp;J193</f>
        <v>КСП (КОМПО-СП)|Шкала|Оборудование|3</v>
      </c>
      <c t="str" r="S193" s="6">
        <f>A193&amp;"|"&amp;C193&amp;"|"&amp;D193&amp;"|"&amp;G193&amp;"|"&amp;J193</f>
        <v>КСП (КОМПО-СП)|Шкала|Оборудование|1|3</v>
      </c>
      <c t="str" r="T193" s="6">
        <f>A193&amp;"|"&amp;C193&amp;"|"&amp;G193</f>
        <v>КСП (КОМПО-СП)|Шкала|1</v>
      </c>
      <c t="str" r="U193" s="6">
        <f>IF(H193="да",A193&amp;"|"&amp;C193&amp;"|"&amp;D193&amp;"|"&amp;J193,"")</f>
        <v/>
      </c>
      <c t="str" r="V193" s="6">
        <f>IF(C193="План",A193&amp;"|"&amp;J193,"")</f>
        <v/>
      </c>
    </row>
    <row r="194">
      <c r="A194" s="3" t="inlineStr">
        <is>
          <t>КСП (КОМПО-СП)</t>
        </is>
      </c>
      <c r="B194" s="3" t="inlineStr">
        <is>
          <t>РФ</t>
        </is>
      </c>
      <c r="C194" s="3" t="inlineStr">
        <is>
          <t>Шкала</t>
        </is>
      </c>
      <c r="D194" s="3" t="inlineStr">
        <is>
          <t>Оборудование</t>
        </is>
      </c>
      <c r="E194" s="3" t="inlineStr">
        <is>
          <t>Оборудование — за квартал</t>
        </is>
      </c>
      <c r="F194" s="3" t="inlineStr">
        <is>
          <t>1 Базовое вознаграждение за Дилерский договор</t>
        </is>
      </c>
      <c r="G194" s="4" t="n">
        <v>1</v>
      </c>
      <c r="H194" s="4" t="n"/>
      <c r="I194" s="3" t="inlineStr">
        <is>
          <t>150-189</t>
        </is>
      </c>
      <c r="J194" s="4" t="n">
        <v>4</v>
      </c>
      <c r="K194" s="4" t="n"/>
      <c r="L194" s="4" t="n"/>
      <c r="M194" s="8" t="n">
        <v>0.06</v>
      </c>
      <c r="N194" s="4" t="inlineStr">
        <is>
          <t>%</t>
        </is>
      </c>
      <c r="O194" s="3" t="inlineStr">
        <is>
          <t>КСП</t>
        </is>
      </c>
      <c r="P194" s="3" t="inlineStr">
        <is>
          <t>H13</t>
        </is>
      </c>
      <c t="str" r="Q194" s="6">
        <f>A194&amp;"|"&amp;C194&amp;"|"&amp;D194&amp;"|"&amp;G194</f>
        <v>КСП (КОМПО-СП)|Шкала|Оборудование|1</v>
      </c>
      <c t="str" r="R194" s="6">
        <f>A194&amp;"|"&amp;C194&amp;"|"&amp;D194&amp;"|"&amp;J194</f>
        <v>КСП (КОМПО-СП)|Шкала|Оборудование|4</v>
      </c>
      <c t="str" r="S194" s="6">
        <f>A194&amp;"|"&amp;C194&amp;"|"&amp;D194&amp;"|"&amp;G194&amp;"|"&amp;J194</f>
        <v>КСП (КОМПО-СП)|Шкала|Оборудование|1|4</v>
      </c>
      <c t="str" r="T194" s="6">
        <f>A194&amp;"|"&amp;C194&amp;"|"&amp;G194</f>
        <v>КСП (КОМПО-СП)|Шкала|1</v>
      </c>
      <c t="str" r="U194" s="6">
        <f>IF(H194="да",A194&amp;"|"&amp;C194&amp;"|"&amp;D194&amp;"|"&amp;J194,"")</f>
        <v/>
      </c>
      <c t="str" r="V194" s="6">
        <f>IF(C194="План",A194&amp;"|"&amp;J194,"")</f>
        <v/>
      </c>
    </row>
    <row r="195">
      <c r="A195" s="3" t="inlineStr">
        <is>
          <t>КСП (КОМПО-СП)</t>
        </is>
      </c>
      <c r="B195" s="3" t="inlineStr">
        <is>
          <t>РФ</t>
        </is>
      </c>
      <c r="C195" s="3" t="inlineStr">
        <is>
          <t>Шкала</t>
        </is>
      </c>
      <c r="D195" s="3" t="inlineStr">
        <is>
          <t>Оборудование</t>
        </is>
      </c>
      <c r="E195" s="3" t="inlineStr">
        <is>
          <t>Оборудование — за квартал</t>
        </is>
      </c>
      <c r="F195" s="3" t="inlineStr">
        <is>
          <t>1 Базовое вознаграждение за Дилерский договор</t>
        </is>
      </c>
      <c r="G195" s="4" t="n">
        <v>1</v>
      </c>
      <c r="H195" s="4" t="n"/>
      <c r="I195" s="3" t="inlineStr">
        <is>
          <t>190-224</t>
        </is>
      </c>
      <c r="J195" s="4" t="n">
        <v>5</v>
      </c>
      <c r="K195" s="4" t="n"/>
      <c r="L195" s="4" t="n"/>
      <c r="M195" s="8" t="n">
        <v>0.06</v>
      </c>
      <c r="N195" s="4" t="inlineStr">
        <is>
          <t>%</t>
        </is>
      </c>
      <c r="O195" s="3" t="inlineStr">
        <is>
          <t>КСП</t>
        </is>
      </c>
      <c r="P195" s="3" t="inlineStr">
        <is>
          <t>I13</t>
        </is>
      </c>
      <c t="str" r="Q195" s="6">
        <f>A195&amp;"|"&amp;C195&amp;"|"&amp;D195&amp;"|"&amp;G195</f>
        <v>КСП (КОМПО-СП)|Шкала|Оборудование|1</v>
      </c>
      <c t="str" r="R195" s="6">
        <f>A195&amp;"|"&amp;C195&amp;"|"&amp;D195&amp;"|"&amp;J195</f>
        <v>КСП (КОМПО-СП)|Шкала|Оборудование|5</v>
      </c>
      <c t="str" r="S195" s="6">
        <f>A195&amp;"|"&amp;C195&amp;"|"&amp;D195&amp;"|"&amp;G195&amp;"|"&amp;J195</f>
        <v>КСП (КОМПО-СП)|Шкала|Оборудование|1|5</v>
      </c>
      <c t="str" r="T195" s="6">
        <f>A195&amp;"|"&amp;C195&amp;"|"&amp;G195</f>
        <v>КСП (КОМПО-СП)|Шкала|1</v>
      </c>
      <c t="str" r="U195" s="6">
        <f>IF(H195="да",A195&amp;"|"&amp;C195&amp;"|"&amp;D195&amp;"|"&amp;J195,"")</f>
        <v/>
      </c>
      <c t="str" r="V195" s="6">
        <f>IF(C195="План",A195&amp;"|"&amp;J195,"")</f>
        <v/>
      </c>
    </row>
    <row r="196">
      <c r="A196" s="3" t="inlineStr">
        <is>
          <t>КСП (КОМПО-СП)</t>
        </is>
      </c>
      <c r="B196" s="3" t="inlineStr">
        <is>
          <t>РФ</t>
        </is>
      </c>
      <c r="C196" s="3" t="inlineStr">
        <is>
          <t>Шкала</t>
        </is>
      </c>
      <c r="D196" s="3" t="inlineStr">
        <is>
          <t>Оборудование</t>
        </is>
      </c>
      <c r="E196" s="3" t="inlineStr">
        <is>
          <t>Оборудование — за квартал</t>
        </is>
      </c>
      <c r="F196" s="3" t="inlineStr">
        <is>
          <t>1 Базовое вознаграждение за Дилерский договор</t>
        </is>
      </c>
      <c r="G196" s="4" t="n">
        <v>1</v>
      </c>
      <c r="H196" s="4" t="n"/>
      <c r="I196" s="3" t="inlineStr">
        <is>
          <t>225 и более</t>
        </is>
      </c>
      <c r="J196" s="4" t="n">
        <v>6</v>
      </c>
      <c r="K196" s="4" t="n"/>
      <c r="L196" s="4" t="n"/>
      <c r="M196" s="8" t="n">
        <v>0.06</v>
      </c>
      <c r="N196" s="4" t="inlineStr">
        <is>
          <t>%</t>
        </is>
      </c>
      <c r="O196" s="3" t="inlineStr">
        <is>
          <t>КСП</t>
        </is>
      </c>
      <c r="P196" s="3" t="inlineStr">
        <is>
          <t>J13</t>
        </is>
      </c>
      <c t="str" r="Q196" s="6">
        <f>A196&amp;"|"&amp;C196&amp;"|"&amp;D196&amp;"|"&amp;G196</f>
        <v>КСП (КОМПО-СП)|Шкала|Оборудование|1</v>
      </c>
      <c t="str" r="R196" s="6">
        <f>A196&amp;"|"&amp;C196&amp;"|"&amp;D196&amp;"|"&amp;J196</f>
        <v>КСП (КОМПО-СП)|Шкала|Оборудование|6</v>
      </c>
      <c t="str" r="S196" s="6">
        <f>A196&amp;"|"&amp;C196&amp;"|"&amp;D196&amp;"|"&amp;G196&amp;"|"&amp;J196</f>
        <v>КСП (КОМПО-СП)|Шкала|Оборудование|1|6</v>
      </c>
      <c t="str" r="T196" s="6">
        <f>A196&amp;"|"&amp;C196&amp;"|"&amp;G196</f>
        <v>КСП (КОМПО-СП)|Шкала|1</v>
      </c>
      <c t="str" r="U196" s="6">
        <f>IF(H196="да",A196&amp;"|"&amp;C196&amp;"|"&amp;D196&amp;"|"&amp;J196,"")</f>
        <v/>
      </c>
      <c t="str" r="V196" s="6">
        <f>IF(C196="План",A196&amp;"|"&amp;J196,"")</f>
        <v/>
      </c>
    </row>
    <row r="197">
      <c r="A197" s="3" t="inlineStr">
        <is>
          <t>КСП (КОМПО-СП)</t>
        </is>
      </c>
      <c r="B197" s="3" t="inlineStr">
        <is>
          <t>РФ</t>
        </is>
      </c>
      <c r="C197" s="3" t="inlineStr">
        <is>
          <t>Шкала</t>
        </is>
      </c>
      <c r="D197" s="3" t="inlineStr">
        <is>
          <t>Оборудование</t>
        </is>
      </c>
      <c r="E197" s="3" t="inlineStr">
        <is>
          <t>Оборудование — за квартал</t>
        </is>
      </c>
      <c r="F197" s="3" t="inlineStr">
        <is>
          <t>2.1.1. Сервисный центр</t>
        </is>
      </c>
      <c r="G197" s="4" t="n">
        <v>2</v>
      </c>
      <c r="H197" s="4" t="n"/>
      <c r="I197" s="3" t="inlineStr">
        <is>
          <t>до 75</t>
        </is>
      </c>
      <c r="J197" s="4" t="n">
        <v>1</v>
      </c>
      <c r="K197" s="4" t="n"/>
      <c r="L197" s="4" t="n"/>
      <c r="M197" s="8" t="n">
        <v>0.06</v>
      </c>
      <c r="N197" s="4" t="inlineStr">
        <is>
          <t>%</t>
        </is>
      </c>
      <c r="O197" s="3" t="inlineStr">
        <is>
          <t>КСП</t>
        </is>
      </c>
      <c r="P197" s="3" t="inlineStr">
        <is>
          <t>E14</t>
        </is>
      </c>
      <c t="str" r="Q197" s="6">
        <f>A197&amp;"|"&amp;C197&amp;"|"&amp;D197&amp;"|"&amp;G197</f>
        <v>КСП (КОМПО-СП)|Шкала|Оборудование|2</v>
      </c>
      <c t="str" r="R197" s="6">
        <f>A197&amp;"|"&amp;C197&amp;"|"&amp;D197&amp;"|"&amp;J197</f>
        <v>КСП (КОМПО-СП)|Шкала|Оборудование|1</v>
      </c>
      <c t="str" r="S197" s="6">
        <f>A197&amp;"|"&amp;C197&amp;"|"&amp;D197&amp;"|"&amp;G197&amp;"|"&amp;J197</f>
        <v>КСП (КОМПО-СП)|Шкала|Оборудование|2|1</v>
      </c>
      <c t="str" r="T197" s="6">
        <f>A197&amp;"|"&amp;C197&amp;"|"&amp;G197</f>
        <v>КСП (КОМПО-СП)|Шкала|2</v>
      </c>
      <c t="str" r="U197" s="6">
        <f>IF(H197="да",A197&amp;"|"&amp;C197&amp;"|"&amp;D197&amp;"|"&amp;J197,"")</f>
        <v/>
      </c>
      <c t="str" r="V197" s="6">
        <f>IF(C197="План",A197&amp;"|"&amp;J197,"")</f>
        <v/>
      </c>
    </row>
    <row r="198">
      <c r="A198" s="3" t="inlineStr">
        <is>
          <t>КСП (КОМПО-СП)</t>
        </is>
      </c>
      <c r="B198" s="3" t="inlineStr">
        <is>
          <t>РФ</t>
        </is>
      </c>
      <c r="C198" s="3" t="inlineStr">
        <is>
          <t>Шкала</t>
        </is>
      </c>
      <c r="D198" s="3" t="inlineStr">
        <is>
          <t>Оборудование</t>
        </is>
      </c>
      <c r="E198" s="3" t="inlineStr">
        <is>
          <t>Оборудование — за квартал</t>
        </is>
      </c>
      <c r="F198" s="3" t="inlineStr">
        <is>
          <t>2.1.1. Сервисный центр</t>
        </is>
      </c>
      <c r="G198" s="4" t="n">
        <v>2</v>
      </c>
      <c r="H198" s="4" t="n"/>
      <c r="I198" s="3" t="inlineStr">
        <is>
          <t>75-114</t>
        </is>
      </c>
      <c r="J198" s="4" t="n">
        <v>2</v>
      </c>
      <c r="K198" s="4" t="n"/>
      <c r="L198" s="4" t="n"/>
      <c r="M198" s="8" t="n">
        <v>0.06</v>
      </c>
      <c r="N198" s="4" t="inlineStr">
        <is>
          <t>%</t>
        </is>
      </c>
      <c r="O198" s="3" t="inlineStr">
        <is>
          <t>КСП</t>
        </is>
      </c>
      <c r="P198" s="3" t="inlineStr">
        <is>
          <t>F14</t>
        </is>
      </c>
      <c t="str" r="Q198" s="6">
        <f>A198&amp;"|"&amp;C198&amp;"|"&amp;D198&amp;"|"&amp;G198</f>
        <v>КСП (КОМПО-СП)|Шкала|Оборудование|2</v>
      </c>
      <c t="str" r="R198" s="6">
        <f>A198&amp;"|"&amp;C198&amp;"|"&amp;D198&amp;"|"&amp;J198</f>
        <v>КСП (КОМПО-СП)|Шкала|Оборудование|2</v>
      </c>
      <c t="str" r="S198" s="6">
        <f>A198&amp;"|"&amp;C198&amp;"|"&amp;D198&amp;"|"&amp;G198&amp;"|"&amp;J198</f>
        <v>КСП (КОМПО-СП)|Шкала|Оборудование|2|2</v>
      </c>
      <c t="str" r="T198" s="6">
        <f>A198&amp;"|"&amp;C198&amp;"|"&amp;G198</f>
        <v>КСП (КОМПО-СП)|Шкала|2</v>
      </c>
      <c t="str" r="U198" s="6">
        <f>IF(H198="да",A198&amp;"|"&amp;C198&amp;"|"&amp;D198&amp;"|"&amp;J198,"")</f>
        <v/>
      </c>
      <c t="str" r="V198" s="6">
        <f>IF(C198="План",A198&amp;"|"&amp;J198,"")</f>
        <v/>
      </c>
    </row>
    <row r="199">
      <c r="A199" s="3" t="inlineStr">
        <is>
          <t>КСП (КОМПО-СП)</t>
        </is>
      </c>
      <c r="B199" s="3" t="inlineStr">
        <is>
          <t>РФ</t>
        </is>
      </c>
      <c r="C199" s="3" t="inlineStr">
        <is>
          <t>Шкала</t>
        </is>
      </c>
      <c r="D199" s="3" t="inlineStr">
        <is>
          <t>Оборудование</t>
        </is>
      </c>
      <c r="E199" s="3" t="inlineStr">
        <is>
          <t>Оборудование — за квартал</t>
        </is>
      </c>
      <c r="F199" s="3" t="inlineStr">
        <is>
          <t>2.1.1. Сервисный центр</t>
        </is>
      </c>
      <c r="G199" s="4" t="n">
        <v>2</v>
      </c>
      <c r="H199" s="4" t="n"/>
      <c r="I199" s="3" t="inlineStr">
        <is>
          <t>115-149</t>
        </is>
      </c>
      <c r="J199" s="4" t="n">
        <v>3</v>
      </c>
      <c r="K199" s="4" t="n"/>
      <c r="L199" s="4" t="n"/>
      <c r="M199" s="8" t="n">
        <v>0.06</v>
      </c>
      <c r="N199" s="4" t="inlineStr">
        <is>
          <t>%</t>
        </is>
      </c>
      <c r="O199" s="3" t="inlineStr">
        <is>
          <t>КСП</t>
        </is>
      </c>
      <c r="P199" s="3" t="inlineStr">
        <is>
          <t>G14</t>
        </is>
      </c>
      <c t="str" r="Q199" s="6">
        <f>A199&amp;"|"&amp;C199&amp;"|"&amp;D199&amp;"|"&amp;G199</f>
        <v>КСП (КОМПО-СП)|Шкала|Оборудование|2</v>
      </c>
      <c t="str" r="R199" s="6">
        <f>A199&amp;"|"&amp;C199&amp;"|"&amp;D199&amp;"|"&amp;J199</f>
        <v>КСП (КОМПО-СП)|Шкала|Оборудование|3</v>
      </c>
      <c t="str" r="S199" s="6">
        <f>A199&amp;"|"&amp;C199&amp;"|"&amp;D199&amp;"|"&amp;G199&amp;"|"&amp;J199</f>
        <v>КСП (КОМПО-СП)|Шкала|Оборудование|2|3</v>
      </c>
      <c t="str" r="T199" s="6">
        <f>A199&amp;"|"&amp;C199&amp;"|"&amp;G199</f>
        <v>КСП (КОМПО-СП)|Шкала|2</v>
      </c>
      <c t="str" r="U199" s="6">
        <f>IF(H199="да",A199&amp;"|"&amp;C199&amp;"|"&amp;D199&amp;"|"&amp;J199,"")</f>
        <v/>
      </c>
      <c t="str" r="V199" s="6">
        <f>IF(C199="План",A199&amp;"|"&amp;J199,"")</f>
        <v/>
      </c>
    </row>
    <row r="200">
      <c r="A200" s="3" t="inlineStr">
        <is>
          <t>КСП (КОМПО-СП)</t>
        </is>
      </c>
      <c r="B200" s="3" t="inlineStr">
        <is>
          <t>РФ</t>
        </is>
      </c>
      <c r="C200" s="3" t="inlineStr">
        <is>
          <t>Шкала</t>
        </is>
      </c>
      <c r="D200" s="3" t="inlineStr">
        <is>
          <t>Оборудование</t>
        </is>
      </c>
      <c r="E200" s="3" t="inlineStr">
        <is>
          <t>Оборудование — за квартал</t>
        </is>
      </c>
      <c r="F200" s="3" t="inlineStr">
        <is>
          <t>2.1.1. Сервисный центр</t>
        </is>
      </c>
      <c r="G200" s="4" t="n">
        <v>2</v>
      </c>
      <c r="H200" s="4" t="n"/>
      <c r="I200" s="3" t="inlineStr">
        <is>
          <t>150-189</t>
        </is>
      </c>
      <c r="J200" s="4" t="n">
        <v>4</v>
      </c>
      <c r="K200" s="4" t="n"/>
      <c r="L200" s="4" t="n"/>
      <c r="M200" s="8" t="n">
        <v>0.06</v>
      </c>
      <c r="N200" s="4" t="inlineStr">
        <is>
          <t>%</t>
        </is>
      </c>
      <c r="O200" s="3" t="inlineStr">
        <is>
          <t>КСП</t>
        </is>
      </c>
      <c r="P200" s="3" t="inlineStr">
        <is>
          <t>H14</t>
        </is>
      </c>
      <c t="str" r="Q200" s="6">
        <f>A200&amp;"|"&amp;C200&amp;"|"&amp;D200&amp;"|"&amp;G200</f>
        <v>КСП (КОМПО-СП)|Шкала|Оборудование|2</v>
      </c>
      <c t="str" r="R200" s="6">
        <f>A200&amp;"|"&amp;C200&amp;"|"&amp;D200&amp;"|"&amp;J200</f>
        <v>КСП (КОМПО-СП)|Шкала|Оборудование|4</v>
      </c>
      <c t="str" r="S200" s="6">
        <f>A200&amp;"|"&amp;C200&amp;"|"&amp;D200&amp;"|"&amp;G200&amp;"|"&amp;J200</f>
        <v>КСП (КОМПО-СП)|Шкала|Оборудование|2|4</v>
      </c>
      <c t="str" r="T200" s="6">
        <f>A200&amp;"|"&amp;C200&amp;"|"&amp;G200</f>
        <v>КСП (КОМПО-СП)|Шкала|2</v>
      </c>
      <c t="str" r="U200" s="6">
        <f>IF(H200="да",A200&amp;"|"&amp;C200&amp;"|"&amp;D200&amp;"|"&amp;J200,"")</f>
        <v/>
      </c>
      <c t="str" r="V200" s="6">
        <f>IF(C200="План",A200&amp;"|"&amp;J200,"")</f>
        <v/>
      </c>
    </row>
    <row r="201">
      <c r="A201" s="3" t="inlineStr">
        <is>
          <t>КСП (КОМПО-СП)</t>
        </is>
      </c>
      <c r="B201" s="3" t="inlineStr">
        <is>
          <t>РФ</t>
        </is>
      </c>
      <c r="C201" s="3" t="inlineStr">
        <is>
          <t>Шкала</t>
        </is>
      </c>
      <c r="D201" s="3" t="inlineStr">
        <is>
          <t>Оборудование</t>
        </is>
      </c>
      <c r="E201" s="3" t="inlineStr">
        <is>
          <t>Оборудование — за квартал</t>
        </is>
      </c>
      <c r="F201" s="3" t="inlineStr">
        <is>
          <t>2.1.1. Сервисный центр</t>
        </is>
      </c>
      <c r="G201" s="4" t="n">
        <v>2</v>
      </c>
      <c r="H201" s="4" t="n"/>
      <c r="I201" s="3" t="inlineStr">
        <is>
          <t>190-224</t>
        </is>
      </c>
      <c r="J201" s="4" t="n">
        <v>5</v>
      </c>
      <c r="K201" s="4" t="n"/>
      <c r="L201" s="4" t="n"/>
      <c r="M201" s="8" t="n">
        <v>0.06</v>
      </c>
      <c r="N201" s="4" t="inlineStr">
        <is>
          <t>%</t>
        </is>
      </c>
      <c r="O201" s="3" t="inlineStr">
        <is>
          <t>КСП</t>
        </is>
      </c>
      <c r="P201" s="3" t="inlineStr">
        <is>
          <t>I14</t>
        </is>
      </c>
      <c t="str" r="Q201" s="6">
        <f>A201&amp;"|"&amp;C201&amp;"|"&amp;D201&amp;"|"&amp;G201</f>
        <v>КСП (КОМПО-СП)|Шкала|Оборудование|2</v>
      </c>
      <c t="str" r="R201" s="6">
        <f>A201&amp;"|"&amp;C201&amp;"|"&amp;D201&amp;"|"&amp;J201</f>
        <v>КСП (КОМПО-СП)|Шкала|Оборудование|5</v>
      </c>
      <c t="str" r="S201" s="6">
        <f>A201&amp;"|"&amp;C201&amp;"|"&amp;D201&amp;"|"&amp;G201&amp;"|"&amp;J201</f>
        <v>КСП (КОМПО-СП)|Шкала|Оборудование|2|5</v>
      </c>
      <c t="str" r="T201" s="6">
        <f>A201&amp;"|"&amp;C201&amp;"|"&amp;G201</f>
        <v>КСП (КОМПО-СП)|Шкала|2</v>
      </c>
      <c t="str" r="U201" s="6">
        <f>IF(H201="да",A201&amp;"|"&amp;C201&amp;"|"&amp;D201&amp;"|"&amp;J201,"")</f>
        <v/>
      </c>
      <c t="str" r="V201" s="6">
        <f>IF(C201="План",A201&amp;"|"&amp;J201,"")</f>
        <v/>
      </c>
    </row>
    <row r="202">
      <c r="A202" s="3" t="inlineStr">
        <is>
          <t>КСП (КОМПО-СП)</t>
        </is>
      </c>
      <c r="B202" s="3" t="inlineStr">
        <is>
          <t>РФ</t>
        </is>
      </c>
      <c r="C202" s="3" t="inlineStr">
        <is>
          <t>Шкала</t>
        </is>
      </c>
      <c r="D202" s="3" t="inlineStr">
        <is>
          <t>Оборудование</t>
        </is>
      </c>
      <c r="E202" s="3" t="inlineStr">
        <is>
          <t>Оборудование — за квартал</t>
        </is>
      </c>
      <c r="F202" s="3" t="inlineStr">
        <is>
          <t>2.1.1. Сервисный центр</t>
        </is>
      </c>
      <c r="G202" s="4" t="n">
        <v>2</v>
      </c>
      <c r="H202" s="4" t="n"/>
      <c r="I202" s="3" t="inlineStr">
        <is>
          <t>225 и более</t>
        </is>
      </c>
      <c r="J202" s="4" t="n">
        <v>6</v>
      </c>
      <c r="K202" s="4" t="n"/>
      <c r="L202" s="4" t="n"/>
      <c r="M202" s="8" t="n">
        <v>0.06</v>
      </c>
      <c r="N202" s="4" t="inlineStr">
        <is>
          <t>%</t>
        </is>
      </c>
      <c r="O202" s="3" t="inlineStr">
        <is>
          <t>КСП</t>
        </is>
      </c>
      <c r="P202" s="3" t="inlineStr">
        <is>
          <t>J14</t>
        </is>
      </c>
      <c t="str" r="Q202" s="6">
        <f>A202&amp;"|"&amp;C202&amp;"|"&amp;D202&amp;"|"&amp;G202</f>
        <v>КСП (КОМПО-СП)|Шкала|Оборудование|2</v>
      </c>
      <c t="str" r="R202" s="6">
        <f>A202&amp;"|"&amp;C202&amp;"|"&amp;D202&amp;"|"&amp;J202</f>
        <v>КСП (КОМПО-СП)|Шкала|Оборудование|6</v>
      </c>
      <c t="str" r="S202" s="6">
        <f>A202&amp;"|"&amp;C202&amp;"|"&amp;D202&amp;"|"&amp;G202&amp;"|"&amp;J202</f>
        <v>КСП (КОМПО-СП)|Шкала|Оборудование|2|6</v>
      </c>
      <c t="str" r="T202" s="6">
        <f>A202&amp;"|"&amp;C202&amp;"|"&amp;G202</f>
        <v>КСП (КОМПО-СП)|Шкала|2</v>
      </c>
      <c t="str" r="U202" s="6">
        <f>IF(H202="да",A202&amp;"|"&amp;C202&amp;"|"&amp;D202&amp;"|"&amp;J202,"")</f>
        <v/>
      </c>
      <c t="str" r="V202" s="6">
        <f>IF(C202="План",A202&amp;"|"&amp;J202,"")</f>
        <v/>
      </c>
    </row>
    <row r="203">
      <c r="A203" s="3" t="inlineStr">
        <is>
          <t>КСП (КОМПО-СП)</t>
        </is>
      </c>
      <c r="B203" s="3" t="inlineStr">
        <is>
          <t>РФ</t>
        </is>
      </c>
      <c r="C203" s="3" t="inlineStr">
        <is>
          <t>Шкала</t>
        </is>
      </c>
      <c r="D203" s="3" t="inlineStr">
        <is>
          <t>Оборудование</t>
        </is>
      </c>
      <c r="E203" s="3" t="inlineStr">
        <is>
          <t>Оборудование — за квартал</t>
        </is>
      </c>
      <c r="F203" s="3" t="inlineStr">
        <is>
          <t>2.1.2. Сервисный центр - гарантийное обслуживание</t>
        </is>
      </c>
      <c r="G203" s="4" t="n">
        <v>3</v>
      </c>
      <c r="H203" s="4" t="n"/>
      <c r="I203" s="3" t="inlineStr">
        <is>
          <t>до 75</t>
        </is>
      </c>
      <c r="J203" s="4" t="n">
        <v>1</v>
      </c>
      <c r="K203" s="4" t="n"/>
      <c r="L203" s="4" t="n"/>
      <c r="M203" s="8" t="n">
        <v>0.01</v>
      </c>
      <c r="N203" s="4" t="inlineStr">
        <is>
          <t>%</t>
        </is>
      </c>
      <c r="O203" s="3" t="inlineStr">
        <is>
          <t>КСП</t>
        </is>
      </c>
      <c r="P203" s="3" t="inlineStr">
        <is>
          <t>E15</t>
        </is>
      </c>
      <c t="str" r="Q203" s="6">
        <f>A203&amp;"|"&amp;C203&amp;"|"&amp;D203&amp;"|"&amp;G203</f>
        <v>КСП (КОМПО-СП)|Шкала|Оборудование|3</v>
      </c>
      <c t="str" r="R203" s="6">
        <f>A203&amp;"|"&amp;C203&amp;"|"&amp;D203&amp;"|"&amp;J203</f>
        <v>КСП (КОМПО-СП)|Шкала|Оборудование|1</v>
      </c>
      <c t="str" r="S203" s="6">
        <f>A203&amp;"|"&amp;C203&amp;"|"&amp;D203&amp;"|"&amp;G203&amp;"|"&amp;J203</f>
        <v>КСП (КОМПО-СП)|Шкала|Оборудование|3|1</v>
      </c>
      <c t="str" r="T203" s="6">
        <f>A203&amp;"|"&amp;C203&amp;"|"&amp;G203</f>
        <v>КСП (КОМПО-СП)|Шкала|3</v>
      </c>
      <c t="str" r="U203" s="6">
        <f>IF(H203="да",A203&amp;"|"&amp;C203&amp;"|"&amp;D203&amp;"|"&amp;J203,"")</f>
        <v/>
      </c>
      <c t="str" r="V203" s="6">
        <f>IF(C203="План",A203&amp;"|"&amp;J203,"")</f>
        <v/>
      </c>
    </row>
    <row r="204">
      <c r="A204" s="3" t="inlineStr">
        <is>
          <t>КСП (КОМПО-СП)</t>
        </is>
      </c>
      <c r="B204" s="3" t="inlineStr">
        <is>
          <t>РФ</t>
        </is>
      </c>
      <c r="C204" s="3" t="inlineStr">
        <is>
          <t>Шкала</t>
        </is>
      </c>
      <c r="D204" s="3" t="inlineStr">
        <is>
          <t>Оборудование</t>
        </is>
      </c>
      <c r="E204" s="3" t="inlineStr">
        <is>
          <t>Оборудование — за квартал</t>
        </is>
      </c>
      <c r="F204" s="3" t="inlineStr">
        <is>
          <t>2.1.2. Сервисный центр - гарантийное обслуживание</t>
        </is>
      </c>
      <c r="G204" s="4" t="n">
        <v>3</v>
      </c>
      <c r="H204" s="4" t="n"/>
      <c r="I204" s="3" t="inlineStr">
        <is>
          <t>75-114</t>
        </is>
      </c>
      <c r="J204" s="4" t="n">
        <v>2</v>
      </c>
      <c r="K204" s="4" t="n"/>
      <c r="L204" s="4" t="n"/>
      <c r="M204" s="8" t="n">
        <v>0.01</v>
      </c>
      <c r="N204" s="4" t="inlineStr">
        <is>
          <t>%</t>
        </is>
      </c>
      <c r="O204" s="3" t="inlineStr">
        <is>
          <t>КСП</t>
        </is>
      </c>
      <c r="P204" s="3" t="inlineStr">
        <is>
          <t>F15</t>
        </is>
      </c>
      <c t="str" r="Q204" s="6">
        <f>A204&amp;"|"&amp;C204&amp;"|"&amp;D204&amp;"|"&amp;G204</f>
        <v>КСП (КОМПО-СП)|Шкала|Оборудование|3</v>
      </c>
      <c t="str" r="R204" s="6">
        <f>A204&amp;"|"&amp;C204&amp;"|"&amp;D204&amp;"|"&amp;J204</f>
        <v>КСП (КОМПО-СП)|Шкала|Оборудование|2</v>
      </c>
      <c t="str" r="S204" s="6">
        <f>A204&amp;"|"&amp;C204&amp;"|"&amp;D204&amp;"|"&amp;G204&amp;"|"&amp;J204</f>
        <v>КСП (КОМПО-СП)|Шкала|Оборудование|3|2</v>
      </c>
      <c t="str" r="T204" s="6">
        <f>A204&amp;"|"&amp;C204&amp;"|"&amp;G204</f>
        <v>КСП (КОМПО-СП)|Шкала|3</v>
      </c>
      <c t="str" r="U204" s="6">
        <f>IF(H204="да",A204&amp;"|"&amp;C204&amp;"|"&amp;D204&amp;"|"&amp;J204,"")</f>
        <v/>
      </c>
      <c t="str" r="V204" s="6">
        <f>IF(C204="План",A204&amp;"|"&amp;J204,"")</f>
        <v/>
      </c>
    </row>
    <row r="205">
      <c r="A205" s="3" t="inlineStr">
        <is>
          <t>КСП (КОМПО-СП)</t>
        </is>
      </c>
      <c r="B205" s="3" t="inlineStr">
        <is>
          <t>РФ</t>
        </is>
      </c>
      <c r="C205" s="3" t="inlineStr">
        <is>
          <t>Шкала</t>
        </is>
      </c>
      <c r="D205" s="3" t="inlineStr">
        <is>
          <t>Оборудование</t>
        </is>
      </c>
      <c r="E205" s="3" t="inlineStr">
        <is>
          <t>Оборудование — за квартал</t>
        </is>
      </c>
      <c r="F205" s="3" t="inlineStr">
        <is>
          <t>2.1.2. Сервисный центр - гарантийное обслуживание</t>
        </is>
      </c>
      <c r="G205" s="4" t="n">
        <v>3</v>
      </c>
      <c r="H205" s="4" t="n"/>
      <c r="I205" s="3" t="inlineStr">
        <is>
          <t>115-149</t>
        </is>
      </c>
      <c r="J205" s="4" t="n">
        <v>3</v>
      </c>
      <c r="K205" s="4" t="n"/>
      <c r="L205" s="4" t="n"/>
      <c r="M205" s="8" t="n">
        <v>0.01</v>
      </c>
      <c r="N205" s="4" t="inlineStr">
        <is>
          <t>%</t>
        </is>
      </c>
      <c r="O205" s="3" t="inlineStr">
        <is>
          <t>КСП</t>
        </is>
      </c>
      <c r="P205" s="3" t="inlineStr">
        <is>
          <t>G15</t>
        </is>
      </c>
      <c t="str" r="Q205" s="6">
        <f>A205&amp;"|"&amp;C205&amp;"|"&amp;D205&amp;"|"&amp;G205</f>
        <v>КСП (КОМПО-СП)|Шкала|Оборудование|3</v>
      </c>
      <c t="str" r="R205" s="6">
        <f>A205&amp;"|"&amp;C205&amp;"|"&amp;D205&amp;"|"&amp;J205</f>
        <v>КСП (КОМПО-СП)|Шкала|Оборудование|3</v>
      </c>
      <c t="str" r="S205" s="6">
        <f>A205&amp;"|"&amp;C205&amp;"|"&amp;D205&amp;"|"&amp;G205&amp;"|"&amp;J205</f>
        <v>КСП (КОМПО-СП)|Шкала|Оборудование|3|3</v>
      </c>
      <c t="str" r="T205" s="6">
        <f>A205&amp;"|"&amp;C205&amp;"|"&amp;G205</f>
        <v>КСП (КОМПО-СП)|Шкала|3</v>
      </c>
      <c t="str" r="U205" s="6">
        <f>IF(H205="да",A205&amp;"|"&amp;C205&amp;"|"&amp;D205&amp;"|"&amp;J205,"")</f>
        <v/>
      </c>
      <c t="str" r="V205" s="6">
        <f>IF(C205="План",A205&amp;"|"&amp;J205,"")</f>
        <v/>
      </c>
    </row>
    <row r="206">
      <c r="A206" s="3" t="inlineStr">
        <is>
          <t>КСП (КОМПО-СП)</t>
        </is>
      </c>
      <c r="B206" s="3" t="inlineStr">
        <is>
          <t>РФ</t>
        </is>
      </c>
      <c r="C206" s="3" t="inlineStr">
        <is>
          <t>Шкала</t>
        </is>
      </c>
      <c r="D206" s="3" t="inlineStr">
        <is>
          <t>Оборудование</t>
        </is>
      </c>
      <c r="E206" s="3" t="inlineStr">
        <is>
          <t>Оборудование — за квартал</t>
        </is>
      </c>
      <c r="F206" s="3" t="inlineStr">
        <is>
          <t>2.1.2. Сервисный центр - гарантийное обслуживание</t>
        </is>
      </c>
      <c r="G206" s="4" t="n">
        <v>3</v>
      </c>
      <c r="H206" s="4" t="n"/>
      <c r="I206" s="3" t="inlineStr">
        <is>
          <t>150-189</t>
        </is>
      </c>
      <c r="J206" s="4" t="n">
        <v>4</v>
      </c>
      <c r="K206" s="4" t="n"/>
      <c r="L206" s="4" t="n"/>
      <c r="M206" s="8" t="n">
        <v>0.01</v>
      </c>
      <c r="N206" s="4" t="inlineStr">
        <is>
          <t>%</t>
        </is>
      </c>
      <c r="O206" s="3" t="inlineStr">
        <is>
          <t>КСП</t>
        </is>
      </c>
      <c r="P206" s="3" t="inlineStr">
        <is>
          <t>H15</t>
        </is>
      </c>
      <c t="str" r="Q206" s="6">
        <f>A206&amp;"|"&amp;C206&amp;"|"&amp;D206&amp;"|"&amp;G206</f>
        <v>КСП (КОМПО-СП)|Шкала|Оборудование|3</v>
      </c>
      <c t="str" r="R206" s="6">
        <f>A206&amp;"|"&amp;C206&amp;"|"&amp;D206&amp;"|"&amp;J206</f>
        <v>КСП (КОМПО-СП)|Шкала|Оборудование|4</v>
      </c>
      <c t="str" r="S206" s="6">
        <f>A206&amp;"|"&amp;C206&amp;"|"&amp;D206&amp;"|"&amp;G206&amp;"|"&amp;J206</f>
        <v>КСП (КОМПО-СП)|Шкала|Оборудование|3|4</v>
      </c>
      <c t="str" r="T206" s="6">
        <f>A206&amp;"|"&amp;C206&amp;"|"&amp;G206</f>
        <v>КСП (КОМПО-СП)|Шкала|3</v>
      </c>
      <c t="str" r="U206" s="6">
        <f>IF(H206="да",A206&amp;"|"&amp;C206&amp;"|"&amp;D206&amp;"|"&amp;J206,"")</f>
        <v/>
      </c>
      <c t="str" r="V206" s="6">
        <f>IF(C206="План",A206&amp;"|"&amp;J206,"")</f>
        <v/>
      </c>
    </row>
    <row r="207">
      <c r="A207" s="3" t="inlineStr">
        <is>
          <t>КСП (КОМПО-СП)</t>
        </is>
      </c>
      <c r="B207" s="3" t="inlineStr">
        <is>
          <t>РФ</t>
        </is>
      </c>
      <c r="C207" s="3" t="inlineStr">
        <is>
          <t>Шкала</t>
        </is>
      </c>
      <c r="D207" s="3" t="inlineStr">
        <is>
          <t>Оборудование</t>
        </is>
      </c>
      <c r="E207" s="3" t="inlineStr">
        <is>
          <t>Оборудование — за квартал</t>
        </is>
      </c>
      <c r="F207" s="3" t="inlineStr">
        <is>
          <t>2.1.2. Сервисный центр - гарантийное обслуживание</t>
        </is>
      </c>
      <c r="G207" s="4" t="n">
        <v>3</v>
      </c>
      <c r="H207" s="4" t="n"/>
      <c r="I207" s="3" t="inlineStr">
        <is>
          <t>190-224</t>
        </is>
      </c>
      <c r="J207" s="4" t="n">
        <v>5</v>
      </c>
      <c r="K207" s="4" t="n"/>
      <c r="L207" s="4" t="n"/>
      <c r="M207" s="8" t="n">
        <v>0.01</v>
      </c>
      <c r="N207" s="4" t="inlineStr">
        <is>
          <t>%</t>
        </is>
      </c>
      <c r="O207" s="3" t="inlineStr">
        <is>
          <t>КСП</t>
        </is>
      </c>
      <c r="P207" s="3" t="inlineStr">
        <is>
          <t>I15</t>
        </is>
      </c>
      <c t="str" r="Q207" s="6">
        <f>A207&amp;"|"&amp;C207&amp;"|"&amp;D207&amp;"|"&amp;G207</f>
        <v>КСП (КОМПО-СП)|Шкала|Оборудование|3</v>
      </c>
      <c t="str" r="R207" s="6">
        <f>A207&amp;"|"&amp;C207&amp;"|"&amp;D207&amp;"|"&amp;J207</f>
        <v>КСП (КОМПО-СП)|Шкала|Оборудование|5</v>
      </c>
      <c t="str" r="S207" s="6">
        <f>A207&amp;"|"&amp;C207&amp;"|"&amp;D207&amp;"|"&amp;G207&amp;"|"&amp;J207</f>
        <v>КСП (КОМПО-СП)|Шкала|Оборудование|3|5</v>
      </c>
      <c t="str" r="T207" s="6">
        <f>A207&amp;"|"&amp;C207&amp;"|"&amp;G207</f>
        <v>КСП (КОМПО-СП)|Шкала|3</v>
      </c>
      <c t="str" r="U207" s="6">
        <f>IF(H207="да",A207&amp;"|"&amp;C207&amp;"|"&amp;D207&amp;"|"&amp;J207,"")</f>
        <v/>
      </c>
      <c t="str" r="V207" s="6">
        <f>IF(C207="План",A207&amp;"|"&amp;J207,"")</f>
        <v/>
      </c>
    </row>
    <row r="208">
      <c r="A208" s="3" t="inlineStr">
        <is>
          <t>КСП (КОМПО-СП)</t>
        </is>
      </c>
      <c r="B208" s="3" t="inlineStr">
        <is>
          <t>РФ</t>
        </is>
      </c>
      <c r="C208" s="3" t="inlineStr">
        <is>
          <t>Шкала</t>
        </is>
      </c>
      <c r="D208" s="3" t="inlineStr">
        <is>
          <t>Оборудование</t>
        </is>
      </c>
      <c r="E208" s="3" t="inlineStr">
        <is>
          <t>Оборудование — за квартал</t>
        </is>
      </c>
      <c r="F208" s="3" t="inlineStr">
        <is>
          <t>2.1.2. Сервисный центр - гарантийное обслуживание</t>
        </is>
      </c>
      <c r="G208" s="4" t="n">
        <v>3</v>
      </c>
      <c r="H208" s="4" t="n"/>
      <c r="I208" s="3" t="inlineStr">
        <is>
          <t>225 и более</t>
        </is>
      </c>
      <c r="J208" s="4" t="n">
        <v>6</v>
      </c>
      <c r="K208" s="4" t="n"/>
      <c r="L208" s="4" t="n"/>
      <c r="M208" s="8" t="n">
        <v>0.01</v>
      </c>
      <c r="N208" s="4" t="inlineStr">
        <is>
          <t>%</t>
        </is>
      </c>
      <c r="O208" s="3" t="inlineStr">
        <is>
          <t>КСП</t>
        </is>
      </c>
      <c r="P208" s="3" t="inlineStr">
        <is>
          <t>J15</t>
        </is>
      </c>
      <c t="str" r="Q208" s="6">
        <f>A208&amp;"|"&amp;C208&amp;"|"&amp;D208&amp;"|"&amp;G208</f>
        <v>КСП (КОМПО-СП)|Шкала|Оборудование|3</v>
      </c>
      <c t="str" r="R208" s="6">
        <f>A208&amp;"|"&amp;C208&amp;"|"&amp;D208&amp;"|"&amp;J208</f>
        <v>КСП (КОМПО-СП)|Шкала|Оборудование|6</v>
      </c>
      <c t="str" r="S208" s="6">
        <f>A208&amp;"|"&amp;C208&amp;"|"&amp;D208&amp;"|"&amp;G208&amp;"|"&amp;J208</f>
        <v>КСП (КОМПО-СП)|Шкала|Оборудование|3|6</v>
      </c>
      <c t="str" r="T208" s="6">
        <f>A208&amp;"|"&amp;C208&amp;"|"&amp;G208</f>
        <v>КСП (КОМПО-СП)|Шкала|3</v>
      </c>
      <c t="str" r="U208" s="6">
        <f>IF(H208="да",A208&amp;"|"&amp;C208&amp;"|"&amp;D208&amp;"|"&amp;J208,"")</f>
        <v/>
      </c>
      <c t="str" r="V208" s="6">
        <f>IF(C208="План",A208&amp;"|"&amp;J208,"")</f>
        <v/>
      </c>
    </row>
    <row r="209">
      <c r="A209" s="3" t="inlineStr">
        <is>
          <t>КСП (КОМПО-СП)</t>
        </is>
      </c>
      <c r="B209" s="3" t="inlineStr">
        <is>
          <t>РФ</t>
        </is>
      </c>
      <c r="C209" s="3" t="inlineStr">
        <is>
          <t>Шкала</t>
        </is>
      </c>
      <c r="D209" s="3" t="inlineStr">
        <is>
          <t>Оборудование</t>
        </is>
      </c>
      <c r="E209" s="3" t="inlineStr">
        <is>
          <t>Оборудование — за квартал</t>
        </is>
      </c>
      <c r="F209" s="3" t="inlineStr">
        <is>
          <t>2.3 Наличие минимальных складских остатков по оборудованию</t>
        </is>
      </c>
      <c r="G209" s="4" t="n">
        <v>4</v>
      </c>
      <c r="H209" s="4" t="n"/>
      <c r="I209" s="3" t="inlineStr">
        <is>
          <t>до 75</t>
        </is>
      </c>
      <c r="J209" s="4" t="n">
        <v>1</v>
      </c>
      <c r="K209" s="4" t="n"/>
      <c r="L209" s="4" t="n"/>
      <c r="M209" s="8" t="n">
        <v>0.01</v>
      </c>
      <c r="N209" s="4" t="inlineStr">
        <is>
          <t>%</t>
        </is>
      </c>
      <c r="O209" s="3" t="inlineStr">
        <is>
          <t>КСП</t>
        </is>
      </c>
      <c r="P209" s="3" t="inlineStr">
        <is>
          <t>E16</t>
        </is>
      </c>
      <c t="str" r="Q209" s="6">
        <f>A209&amp;"|"&amp;C209&amp;"|"&amp;D209&amp;"|"&amp;G209</f>
        <v>КСП (КОМПО-СП)|Шкала|Оборудование|4</v>
      </c>
      <c t="str" r="R209" s="6">
        <f>A209&amp;"|"&amp;C209&amp;"|"&amp;D209&amp;"|"&amp;J209</f>
        <v>КСП (КОМПО-СП)|Шкала|Оборудование|1</v>
      </c>
      <c t="str" r="S209" s="6">
        <f>A209&amp;"|"&amp;C209&amp;"|"&amp;D209&amp;"|"&amp;G209&amp;"|"&amp;J209</f>
        <v>КСП (КОМПО-СП)|Шкала|Оборудование|4|1</v>
      </c>
      <c t="str" r="T209" s="6">
        <f>A209&amp;"|"&amp;C209&amp;"|"&amp;G209</f>
        <v>КСП (КОМПО-СП)|Шкала|4</v>
      </c>
      <c t="str" r="U209" s="6">
        <f>IF(H209="да",A209&amp;"|"&amp;C209&amp;"|"&amp;D209&amp;"|"&amp;J209,"")</f>
        <v/>
      </c>
      <c t="str" r="V209" s="6">
        <f>IF(C209="План",A209&amp;"|"&amp;J209,"")</f>
        <v/>
      </c>
    </row>
    <row r="210">
      <c r="A210" s="3" t="inlineStr">
        <is>
          <t>КСП (КОМПО-СП)</t>
        </is>
      </c>
      <c r="B210" s="3" t="inlineStr">
        <is>
          <t>РФ</t>
        </is>
      </c>
      <c r="C210" s="3" t="inlineStr">
        <is>
          <t>Шкала</t>
        </is>
      </c>
      <c r="D210" s="3" t="inlineStr">
        <is>
          <t>Оборудование</t>
        </is>
      </c>
      <c r="E210" s="3" t="inlineStr">
        <is>
          <t>Оборудование — за квартал</t>
        </is>
      </c>
      <c r="F210" s="3" t="inlineStr">
        <is>
          <t>2.3 Наличие минимальных складских остатков по оборудованию</t>
        </is>
      </c>
      <c r="G210" s="4" t="n">
        <v>4</v>
      </c>
      <c r="H210" s="4" t="n"/>
      <c r="I210" s="3" t="inlineStr">
        <is>
          <t>75-114</t>
        </is>
      </c>
      <c r="J210" s="4" t="n">
        <v>2</v>
      </c>
      <c r="K210" s="4" t="n"/>
      <c r="L210" s="4" t="n"/>
      <c r="M210" s="8" t="n">
        <v>0.01</v>
      </c>
      <c r="N210" s="4" t="inlineStr">
        <is>
          <t>%</t>
        </is>
      </c>
      <c r="O210" s="3" t="inlineStr">
        <is>
          <t>КСП</t>
        </is>
      </c>
      <c r="P210" s="3" t="inlineStr">
        <is>
          <t>F16</t>
        </is>
      </c>
      <c t="str" r="Q210" s="6">
        <f>A210&amp;"|"&amp;C210&amp;"|"&amp;D210&amp;"|"&amp;G210</f>
        <v>КСП (КОМПО-СП)|Шкала|Оборудование|4</v>
      </c>
      <c t="str" r="R210" s="6">
        <f>A210&amp;"|"&amp;C210&amp;"|"&amp;D210&amp;"|"&amp;J210</f>
        <v>КСП (КОМПО-СП)|Шкала|Оборудование|2</v>
      </c>
      <c t="str" r="S210" s="6">
        <f>A210&amp;"|"&amp;C210&amp;"|"&amp;D210&amp;"|"&amp;G210&amp;"|"&amp;J210</f>
        <v>КСП (КОМПО-СП)|Шкала|Оборудование|4|2</v>
      </c>
      <c t="str" r="T210" s="6">
        <f>A210&amp;"|"&amp;C210&amp;"|"&amp;G210</f>
        <v>КСП (КОМПО-СП)|Шкала|4</v>
      </c>
      <c t="str" r="U210" s="6">
        <f>IF(H210="да",A210&amp;"|"&amp;C210&amp;"|"&amp;D210&amp;"|"&amp;J210,"")</f>
        <v/>
      </c>
      <c t="str" r="V210" s="6">
        <f>IF(C210="План",A210&amp;"|"&amp;J210,"")</f>
        <v/>
      </c>
    </row>
    <row r="211">
      <c r="A211" s="3" t="inlineStr">
        <is>
          <t>КСП (КОМПО-СП)</t>
        </is>
      </c>
      <c r="B211" s="3" t="inlineStr">
        <is>
          <t>РФ</t>
        </is>
      </c>
      <c r="C211" s="3" t="inlineStr">
        <is>
          <t>Шкала</t>
        </is>
      </c>
      <c r="D211" s="3" t="inlineStr">
        <is>
          <t>Оборудование</t>
        </is>
      </c>
      <c r="E211" s="3" t="inlineStr">
        <is>
          <t>Оборудование — за квартал</t>
        </is>
      </c>
      <c r="F211" s="3" t="inlineStr">
        <is>
          <t>2.3 Наличие минимальных складских остатков по оборудованию</t>
        </is>
      </c>
      <c r="G211" s="4" t="n">
        <v>4</v>
      </c>
      <c r="H211" s="4" t="n"/>
      <c r="I211" s="3" t="inlineStr">
        <is>
          <t>115-149</t>
        </is>
      </c>
      <c r="J211" s="4" t="n">
        <v>3</v>
      </c>
      <c r="K211" s="4" t="n"/>
      <c r="L211" s="4" t="n"/>
      <c r="M211" s="8" t="n">
        <v>0.01</v>
      </c>
      <c r="N211" s="4" t="inlineStr">
        <is>
          <t>%</t>
        </is>
      </c>
      <c r="O211" s="3" t="inlineStr">
        <is>
          <t>КСП</t>
        </is>
      </c>
      <c r="P211" s="3" t="inlineStr">
        <is>
          <t>G16</t>
        </is>
      </c>
      <c t="str" r="Q211" s="6">
        <f>A211&amp;"|"&amp;C211&amp;"|"&amp;D211&amp;"|"&amp;G211</f>
        <v>КСП (КОМПО-СП)|Шкала|Оборудование|4</v>
      </c>
      <c t="str" r="R211" s="6">
        <f>A211&amp;"|"&amp;C211&amp;"|"&amp;D211&amp;"|"&amp;J211</f>
        <v>КСП (КОМПО-СП)|Шкала|Оборудование|3</v>
      </c>
      <c t="str" r="S211" s="6">
        <f>A211&amp;"|"&amp;C211&amp;"|"&amp;D211&amp;"|"&amp;G211&amp;"|"&amp;J211</f>
        <v>КСП (КОМПО-СП)|Шкала|Оборудование|4|3</v>
      </c>
      <c t="str" r="T211" s="6">
        <f>A211&amp;"|"&amp;C211&amp;"|"&amp;G211</f>
        <v>КСП (КОМПО-СП)|Шкала|4</v>
      </c>
      <c t="str" r="U211" s="6">
        <f>IF(H211="да",A211&amp;"|"&amp;C211&amp;"|"&amp;D211&amp;"|"&amp;J211,"")</f>
        <v/>
      </c>
      <c t="str" r="V211" s="6">
        <f>IF(C211="План",A211&amp;"|"&amp;J211,"")</f>
        <v/>
      </c>
    </row>
    <row r="212">
      <c r="A212" s="3" t="inlineStr">
        <is>
          <t>КСП (КОМПО-СП)</t>
        </is>
      </c>
      <c r="B212" s="3" t="inlineStr">
        <is>
          <t>РФ</t>
        </is>
      </c>
      <c r="C212" s="3" t="inlineStr">
        <is>
          <t>Шкала</t>
        </is>
      </c>
      <c r="D212" s="3" t="inlineStr">
        <is>
          <t>Оборудование</t>
        </is>
      </c>
      <c r="E212" s="3" t="inlineStr">
        <is>
          <t>Оборудование — за квартал</t>
        </is>
      </c>
      <c r="F212" s="3" t="inlineStr">
        <is>
          <t>2.3 Наличие минимальных складских остатков по оборудованию</t>
        </is>
      </c>
      <c r="G212" s="4" t="n">
        <v>4</v>
      </c>
      <c r="H212" s="4" t="n"/>
      <c r="I212" s="3" t="inlineStr">
        <is>
          <t>150-189</t>
        </is>
      </c>
      <c r="J212" s="4" t="n">
        <v>4</v>
      </c>
      <c r="K212" s="4" t="n"/>
      <c r="L212" s="4" t="n"/>
      <c r="M212" s="8" t="n">
        <v>0.01</v>
      </c>
      <c r="N212" s="4" t="inlineStr">
        <is>
          <t>%</t>
        </is>
      </c>
      <c r="O212" s="3" t="inlineStr">
        <is>
          <t>КСП</t>
        </is>
      </c>
      <c r="P212" s="3" t="inlineStr">
        <is>
          <t>H16</t>
        </is>
      </c>
      <c t="str" r="Q212" s="6">
        <f>A212&amp;"|"&amp;C212&amp;"|"&amp;D212&amp;"|"&amp;G212</f>
        <v>КСП (КОМПО-СП)|Шкала|Оборудование|4</v>
      </c>
      <c t="str" r="R212" s="6">
        <f>A212&amp;"|"&amp;C212&amp;"|"&amp;D212&amp;"|"&amp;J212</f>
        <v>КСП (КОМПО-СП)|Шкала|Оборудование|4</v>
      </c>
      <c t="str" r="S212" s="6">
        <f>A212&amp;"|"&amp;C212&amp;"|"&amp;D212&amp;"|"&amp;G212&amp;"|"&amp;J212</f>
        <v>КСП (КОМПО-СП)|Шкала|Оборудование|4|4</v>
      </c>
      <c t="str" r="T212" s="6">
        <f>A212&amp;"|"&amp;C212&amp;"|"&amp;G212</f>
        <v>КСП (КОМПО-СП)|Шкала|4</v>
      </c>
      <c t="str" r="U212" s="6">
        <f>IF(H212="да",A212&amp;"|"&amp;C212&amp;"|"&amp;D212&amp;"|"&amp;J212,"")</f>
        <v/>
      </c>
      <c t="str" r="V212" s="6">
        <f>IF(C212="План",A212&amp;"|"&amp;J212,"")</f>
        <v/>
      </c>
    </row>
    <row r="213">
      <c r="A213" s="3" t="inlineStr">
        <is>
          <t>КСП (КОМПО-СП)</t>
        </is>
      </c>
      <c r="B213" s="3" t="inlineStr">
        <is>
          <t>РФ</t>
        </is>
      </c>
      <c r="C213" s="3" t="inlineStr">
        <is>
          <t>Шкала</t>
        </is>
      </c>
      <c r="D213" s="3" t="inlineStr">
        <is>
          <t>Оборудование</t>
        </is>
      </c>
      <c r="E213" s="3" t="inlineStr">
        <is>
          <t>Оборудование — за квартал</t>
        </is>
      </c>
      <c r="F213" s="3" t="inlineStr">
        <is>
          <t>2.3 Наличие минимальных складских остатков по оборудованию</t>
        </is>
      </c>
      <c r="G213" s="4" t="n">
        <v>4</v>
      </c>
      <c r="H213" s="4" t="n"/>
      <c r="I213" s="3" t="inlineStr">
        <is>
          <t>190-224</t>
        </is>
      </c>
      <c r="J213" s="4" t="n">
        <v>5</v>
      </c>
      <c r="K213" s="4" t="n"/>
      <c r="L213" s="4" t="n"/>
      <c r="M213" s="8" t="n">
        <v>0.01</v>
      </c>
      <c r="N213" s="4" t="inlineStr">
        <is>
          <t>%</t>
        </is>
      </c>
      <c r="O213" s="3" t="inlineStr">
        <is>
          <t>КСП</t>
        </is>
      </c>
      <c r="P213" s="3" t="inlineStr">
        <is>
          <t>I16</t>
        </is>
      </c>
      <c t="str" r="Q213" s="6">
        <f>A213&amp;"|"&amp;C213&amp;"|"&amp;D213&amp;"|"&amp;G213</f>
        <v>КСП (КОМПО-СП)|Шкала|Оборудование|4</v>
      </c>
      <c t="str" r="R213" s="6">
        <f>A213&amp;"|"&amp;C213&amp;"|"&amp;D213&amp;"|"&amp;J213</f>
        <v>КСП (КОМПО-СП)|Шкала|Оборудование|5</v>
      </c>
      <c t="str" r="S213" s="6">
        <f>A213&amp;"|"&amp;C213&amp;"|"&amp;D213&amp;"|"&amp;G213&amp;"|"&amp;J213</f>
        <v>КСП (КОМПО-СП)|Шкала|Оборудование|4|5</v>
      </c>
      <c t="str" r="T213" s="6">
        <f>A213&amp;"|"&amp;C213&amp;"|"&amp;G213</f>
        <v>КСП (КОМПО-СП)|Шкала|4</v>
      </c>
      <c t="str" r="U213" s="6">
        <f>IF(H213="да",A213&amp;"|"&amp;C213&amp;"|"&amp;D213&amp;"|"&amp;J213,"")</f>
        <v/>
      </c>
      <c t="str" r="V213" s="6">
        <f>IF(C213="План",A213&amp;"|"&amp;J213,"")</f>
        <v/>
      </c>
    </row>
    <row r="214">
      <c r="A214" s="3" t="inlineStr">
        <is>
          <t>КСП (КОМПО-СП)</t>
        </is>
      </c>
      <c r="B214" s="3" t="inlineStr">
        <is>
          <t>РФ</t>
        </is>
      </c>
      <c r="C214" s="3" t="inlineStr">
        <is>
          <t>Шкала</t>
        </is>
      </c>
      <c r="D214" s="3" t="inlineStr">
        <is>
          <t>Оборудование</t>
        </is>
      </c>
      <c r="E214" s="3" t="inlineStr">
        <is>
          <t>Оборудование — за квартал</t>
        </is>
      </c>
      <c r="F214" s="3" t="inlineStr">
        <is>
          <t>2.3 Наличие минимальных складских остатков по оборудованию</t>
        </is>
      </c>
      <c r="G214" s="4" t="n">
        <v>4</v>
      </c>
      <c r="H214" s="4" t="n"/>
      <c r="I214" s="3" t="inlineStr">
        <is>
          <t>225 и более</t>
        </is>
      </c>
      <c r="J214" s="4" t="n">
        <v>6</v>
      </c>
      <c r="K214" s="4" t="n"/>
      <c r="L214" s="4" t="n"/>
      <c r="M214" s="8" t="n">
        <v>0.01</v>
      </c>
      <c r="N214" s="4" t="inlineStr">
        <is>
          <t>%</t>
        </is>
      </c>
      <c r="O214" s="3" t="inlineStr">
        <is>
          <t>КСП</t>
        </is>
      </c>
      <c r="P214" s="3" t="inlineStr">
        <is>
          <t>J16</t>
        </is>
      </c>
      <c t="str" r="Q214" s="6">
        <f>A214&amp;"|"&amp;C214&amp;"|"&amp;D214&amp;"|"&amp;G214</f>
        <v>КСП (КОМПО-СП)|Шкала|Оборудование|4</v>
      </c>
      <c t="str" r="R214" s="6">
        <f>A214&amp;"|"&amp;C214&amp;"|"&amp;D214&amp;"|"&amp;J214</f>
        <v>КСП (КОМПО-СП)|Шкала|Оборудование|6</v>
      </c>
      <c t="str" r="S214" s="6">
        <f>A214&amp;"|"&amp;C214&amp;"|"&amp;D214&amp;"|"&amp;G214&amp;"|"&amp;J214</f>
        <v>КСП (КОМПО-СП)|Шкала|Оборудование|4|6</v>
      </c>
      <c t="str" r="T214" s="6">
        <f>A214&amp;"|"&amp;C214&amp;"|"&amp;G214</f>
        <v>КСП (КОМПО-СП)|Шкала|4</v>
      </c>
      <c t="str" r="U214" s="6">
        <f>IF(H214="да",A214&amp;"|"&amp;C214&amp;"|"&amp;D214&amp;"|"&amp;J214,"")</f>
        <v/>
      </c>
      <c t="str" r="V214" s="6">
        <f>IF(C214="План",A214&amp;"|"&amp;J214,"")</f>
        <v/>
      </c>
    </row>
    <row r="215">
      <c r="A215" s="3" t="inlineStr">
        <is>
          <t>КСП (КОМПО-СП)</t>
        </is>
      </c>
      <c r="B215" s="3" t="inlineStr">
        <is>
          <t>РФ</t>
        </is>
      </c>
      <c r="C215" s="3" t="inlineStr">
        <is>
          <t>Шкала</t>
        </is>
      </c>
      <c r="D215" s="3" t="inlineStr">
        <is>
          <t>Оборудование</t>
        </is>
      </c>
      <c r="E215" s="3" t="inlineStr">
        <is>
          <t>Оборудование — за квартал</t>
        </is>
      </c>
      <c r="F215" s="3" t="inlineStr">
        <is>
          <t>3 Объем закупок МП</t>
        </is>
      </c>
      <c r="G215" s="4" t="n">
        <v>5</v>
      </c>
      <c r="H215" s="4" t="n"/>
      <c r="I215" s="3" t="inlineStr">
        <is>
          <t>до 75</t>
        </is>
      </c>
      <c r="J215" s="4" t="n">
        <v>1</v>
      </c>
      <c r="K215" s="4" t="n"/>
      <c r="L215" s="4" t="n"/>
      <c r="M215" s="8" t="n">
        <v>0</v>
      </c>
      <c r="N215" s="4" t="inlineStr">
        <is>
          <t>%</t>
        </is>
      </c>
      <c r="O215" s="3" t="inlineStr">
        <is>
          <t>КСП</t>
        </is>
      </c>
      <c r="P215" s="3" t="inlineStr">
        <is>
          <t>E17</t>
        </is>
      </c>
      <c t="str" r="Q215" s="6">
        <f>A215&amp;"|"&amp;C215&amp;"|"&amp;D215&amp;"|"&amp;G215</f>
        <v>КСП (КОМПО-СП)|Шкала|Оборудование|5</v>
      </c>
      <c t="str" r="R215" s="6">
        <f>A215&amp;"|"&amp;C215&amp;"|"&amp;D215&amp;"|"&amp;J215</f>
        <v>КСП (КОМПО-СП)|Шкала|Оборудование|1</v>
      </c>
      <c t="str" r="S215" s="6">
        <f>A215&amp;"|"&amp;C215&amp;"|"&amp;D215&amp;"|"&amp;G215&amp;"|"&amp;J215</f>
        <v>КСП (КОМПО-СП)|Шкала|Оборудование|5|1</v>
      </c>
      <c t="str" r="T215" s="6">
        <f>A215&amp;"|"&amp;C215&amp;"|"&amp;G215</f>
        <v>КСП (КОМПО-СП)|Шкала|5</v>
      </c>
      <c t="str" r="U215" s="6">
        <f>IF(H215="да",A215&amp;"|"&amp;C215&amp;"|"&amp;D215&amp;"|"&amp;J215,"")</f>
        <v/>
      </c>
      <c t="str" r="V215" s="6">
        <f>IF(C215="План",A215&amp;"|"&amp;J215,"")</f>
        <v/>
      </c>
    </row>
    <row r="216">
      <c r="A216" s="3" t="inlineStr">
        <is>
          <t>КСП (КОМПО-СП)</t>
        </is>
      </c>
      <c r="B216" s="3" t="inlineStr">
        <is>
          <t>РФ</t>
        </is>
      </c>
      <c r="C216" s="3" t="inlineStr">
        <is>
          <t>Шкала</t>
        </is>
      </c>
      <c r="D216" s="3" t="inlineStr">
        <is>
          <t>Оборудование</t>
        </is>
      </c>
      <c r="E216" s="3" t="inlineStr">
        <is>
          <t>Оборудование — за квартал</t>
        </is>
      </c>
      <c r="F216" s="3" t="inlineStr">
        <is>
          <t>3 Объем закупок МП</t>
        </is>
      </c>
      <c r="G216" s="4" t="n">
        <v>5</v>
      </c>
      <c r="H216" s="4" t="n"/>
      <c r="I216" s="3" t="inlineStr">
        <is>
          <t>75-114</t>
        </is>
      </c>
      <c r="J216" s="4" t="n">
        <v>2</v>
      </c>
      <c r="K216" s="4" t="n"/>
      <c r="L216" s="4" t="n"/>
      <c r="M216" s="8" t="n">
        <v>0.01</v>
      </c>
      <c r="N216" s="4" t="inlineStr">
        <is>
          <t>%</t>
        </is>
      </c>
      <c r="O216" s="3" t="inlineStr">
        <is>
          <t>КСП</t>
        </is>
      </c>
      <c r="P216" s="3" t="inlineStr">
        <is>
          <t>F17</t>
        </is>
      </c>
      <c t="str" r="Q216" s="6">
        <f>A216&amp;"|"&amp;C216&amp;"|"&amp;D216&amp;"|"&amp;G216</f>
        <v>КСП (КОМПО-СП)|Шкала|Оборудование|5</v>
      </c>
      <c t="str" r="R216" s="6">
        <f>A216&amp;"|"&amp;C216&amp;"|"&amp;D216&amp;"|"&amp;J216</f>
        <v>КСП (КОМПО-СП)|Шкала|Оборудование|2</v>
      </c>
      <c t="str" r="S216" s="6">
        <f>A216&amp;"|"&amp;C216&amp;"|"&amp;D216&amp;"|"&amp;G216&amp;"|"&amp;J216</f>
        <v>КСП (КОМПО-СП)|Шкала|Оборудование|5|2</v>
      </c>
      <c t="str" r="T216" s="6">
        <f>A216&amp;"|"&amp;C216&amp;"|"&amp;G216</f>
        <v>КСП (КОМПО-СП)|Шкала|5</v>
      </c>
      <c t="str" r="U216" s="6">
        <f>IF(H216="да",A216&amp;"|"&amp;C216&amp;"|"&amp;D216&amp;"|"&amp;J216,"")</f>
        <v/>
      </c>
      <c t="str" r="V216" s="6">
        <f>IF(C216="План",A216&amp;"|"&amp;J216,"")</f>
        <v/>
      </c>
    </row>
    <row r="217">
      <c r="A217" s="3" t="inlineStr">
        <is>
          <t>КСП (КОМПО-СП)</t>
        </is>
      </c>
      <c r="B217" s="3" t="inlineStr">
        <is>
          <t>РФ</t>
        </is>
      </c>
      <c r="C217" s="3" t="inlineStr">
        <is>
          <t>Шкала</t>
        </is>
      </c>
      <c r="D217" s="3" t="inlineStr">
        <is>
          <t>Оборудование</t>
        </is>
      </c>
      <c r="E217" s="3" t="inlineStr">
        <is>
          <t>Оборудование — за квартал</t>
        </is>
      </c>
      <c r="F217" s="3" t="inlineStr">
        <is>
          <t>3 Объем закупок МП</t>
        </is>
      </c>
      <c r="G217" s="4" t="n">
        <v>5</v>
      </c>
      <c r="H217" s="4" t="n"/>
      <c r="I217" s="3" t="inlineStr">
        <is>
          <t>115-149</t>
        </is>
      </c>
      <c r="J217" s="4" t="n">
        <v>3</v>
      </c>
      <c r="K217" s="4" t="n"/>
      <c r="L217" s="4" t="n"/>
      <c r="M217" s="8" t="n">
        <v>0.02</v>
      </c>
      <c r="N217" s="4" t="inlineStr">
        <is>
          <t>%</t>
        </is>
      </c>
      <c r="O217" s="3" t="inlineStr">
        <is>
          <t>КСП</t>
        </is>
      </c>
      <c r="P217" s="3" t="inlineStr">
        <is>
          <t>G17</t>
        </is>
      </c>
      <c t="str" r="Q217" s="6">
        <f>A217&amp;"|"&amp;C217&amp;"|"&amp;D217&amp;"|"&amp;G217</f>
        <v>КСП (КОМПО-СП)|Шкала|Оборудование|5</v>
      </c>
      <c t="str" r="R217" s="6">
        <f>A217&amp;"|"&amp;C217&amp;"|"&amp;D217&amp;"|"&amp;J217</f>
        <v>КСП (КОМПО-СП)|Шкала|Оборудование|3</v>
      </c>
      <c t="str" r="S217" s="6">
        <f>A217&amp;"|"&amp;C217&amp;"|"&amp;D217&amp;"|"&amp;G217&amp;"|"&amp;J217</f>
        <v>КСП (КОМПО-СП)|Шкала|Оборудование|5|3</v>
      </c>
      <c t="str" r="T217" s="6">
        <f>A217&amp;"|"&amp;C217&amp;"|"&amp;G217</f>
        <v>КСП (КОМПО-СП)|Шкала|5</v>
      </c>
      <c t="str" r="U217" s="6">
        <f>IF(H217="да",A217&amp;"|"&amp;C217&amp;"|"&amp;D217&amp;"|"&amp;J217,"")</f>
        <v/>
      </c>
      <c t="str" r="V217" s="6">
        <f>IF(C217="План",A217&amp;"|"&amp;J217,"")</f>
        <v/>
      </c>
    </row>
    <row r="218">
      <c r="A218" s="3" t="inlineStr">
        <is>
          <t>КСП (КОМПО-СП)</t>
        </is>
      </c>
      <c r="B218" s="3" t="inlineStr">
        <is>
          <t>РФ</t>
        </is>
      </c>
      <c r="C218" s="3" t="inlineStr">
        <is>
          <t>Шкала</t>
        </is>
      </c>
      <c r="D218" s="3" t="inlineStr">
        <is>
          <t>Оборудование</t>
        </is>
      </c>
      <c r="E218" s="3" t="inlineStr">
        <is>
          <t>Оборудование — за квартал</t>
        </is>
      </c>
      <c r="F218" s="3" t="inlineStr">
        <is>
          <t>3 Объем закупок МП</t>
        </is>
      </c>
      <c r="G218" s="4" t="n">
        <v>5</v>
      </c>
      <c r="H218" s="4" t="n"/>
      <c r="I218" s="3" t="inlineStr">
        <is>
          <t>150-189</t>
        </is>
      </c>
      <c r="J218" s="4" t="n">
        <v>4</v>
      </c>
      <c r="K218" s="4" t="n"/>
      <c r="L218" s="4" t="n"/>
      <c r="M218" s="8" t="n">
        <v>0.03</v>
      </c>
      <c r="N218" s="4" t="inlineStr">
        <is>
          <t>%</t>
        </is>
      </c>
      <c r="O218" s="3" t="inlineStr">
        <is>
          <t>КСП</t>
        </is>
      </c>
      <c r="P218" s="3" t="inlineStr">
        <is>
          <t>H17</t>
        </is>
      </c>
      <c t="str" r="Q218" s="6">
        <f>A218&amp;"|"&amp;C218&amp;"|"&amp;D218&amp;"|"&amp;G218</f>
        <v>КСП (КОМПО-СП)|Шкала|Оборудование|5</v>
      </c>
      <c t="str" r="R218" s="6">
        <f>A218&amp;"|"&amp;C218&amp;"|"&amp;D218&amp;"|"&amp;J218</f>
        <v>КСП (КОМПО-СП)|Шкала|Оборудование|4</v>
      </c>
      <c t="str" r="S218" s="6">
        <f>A218&amp;"|"&amp;C218&amp;"|"&amp;D218&amp;"|"&amp;G218&amp;"|"&amp;J218</f>
        <v>КСП (КОМПО-СП)|Шкала|Оборудование|5|4</v>
      </c>
      <c t="str" r="T218" s="6">
        <f>A218&amp;"|"&amp;C218&amp;"|"&amp;G218</f>
        <v>КСП (КОМПО-СП)|Шкала|5</v>
      </c>
      <c t="str" r="U218" s="6">
        <f>IF(H218="да",A218&amp;"|"&amp;C218&amp;"|"&amp;D218&amp;"|"&amp;J218,"")</f>
        <v/>
      </c>
      <c t="str" r="V218" s="6">
        <f>IF(C218="План",A218&amp;"|"&amp;J218,"")</f>
        <v/>
      </c>
    </row>
    <row r="219">
      <c r="A219" s="3" t="inlineStr">
        <is>
          <t>КСП (КОМПО-СП)</t>
        </is>
      </c>
      <c r="B219" s="3" t="inlineStr">
        <is>
          <t>РФ</t>
        </is>
      </c>
      <c r="C219" s="3" t="inlineStr">
        <is>
          <t>Шкала</t>
        </is>
      </c>
      <c r="D219" s="3" t="inlineStr">
        <is>
          <t>Оборудование</t>
        </is>
      </c>
      <c r="E219" s="3" t="inlineStr">
        <is>
          <t>Оборудование — за квартал</t>
        </is>
      </c>
      <c r="F219" s="3" t="inlineStr">
        <is>
          <t>3 Объем закупок МП</t>
        </is>
      </c>
      <c r="G219" s="4" t="n">
        <v>5</v>
      </c>
      <c r="H219" s="4" t="n"/>
      <c r="I219" s="3" t="inlineStr">
        <is>
          <t>190-224</t>
        </is>
      </c>
      <c r="J219" s="4" t="n">
        <v>5</v>
      </c>
      <c r="K219" s="4" t="n"/>
      <c r="L219" s="4" t="n"/>
      <c r="M219" s="8" t="n">
        <v>0.04</v>
      </c>
      <c r="N219" s="4" t="inlineStr">
        <is>
          <t>%</t>
        </is>
      </c>
      <c r="O219" s="3" t="inlineStr">
        <is>
          <t>КСП</t>
        </is>
      </c>
      <c r="P219" s="3" t="inlineStr">
        <is>
          <t>I17</t>
        </is>
      </c>
      <c t="str" r="Q219" s="6">
        <f>A219&amp;"|"&amp;C219&amp;"|"&amp;D219&amp;"|"&amp;G219</f>
        <v>КСП (КОМПО-СП)|Шкала|Оборудование|5</v>
      </c>
      <c t="str" r="R219" s="6">
        <f>A219&amp;"|"&amp;C219&amp;"|"&amp;D219&amp;"|"&amp;J219</f>
        <v>КСП (КОМПО-СП)|Шкала|Оборудование|5</v>
      </c>
      <c t="str" r="S219" s="6">
        <f>A219&amp;"|"&amp;C219&amp;"|"&amp;D219&amp;"|"&amp;G219&amp;"|"&amp;J219</f>
        <v>КСП (КОМПО-СП)|Шкала|Оборудование|5|5</v>
      </c>
      <c t="str" r="T219" s="6">
        <f>A219&amp;"|"&amp;C219&amp;"|"&amp;G219</f>
        <v>КСП (КОМПО-СП)|Шкала|5</v>
      </c>
      <c t="str" r="U219" s="6">
        <f>IF(H219="да",A219&amp;"|"&amp;C219&amp;"|"&amp;D219&amp;"|"&amp;J219,"")</f>
        <v/>
      </c>
      <c t="str" r="V219" s="6">
        <f>IF(C219="План",A219&amp;"|"&amp;J219,"")</f>
        <v/>
      </c>
    </row>
    <row r="220">
      <c r="A220" s="3" t="inlineStr">
        <is>
          <t>КСП (КОМПО-СП)</t>
        </is>
      </c>
      <c r="B220" s="3" t="inlineStr">
        <is>
          <t>РФ</t>
        </is>
      </c>
      <c r="C220" s="3" t="inlineStr">
        <is>
          <t>Шкала</t>
        </is>
      </c>
      <c r="D220" s="3" t="inlineStr">
        <is>
          <t>Оборудование</t>
        </is>
      </c>
      <c r="E220" s="3" t="inlineStr">
        <is>
          <t>Оборудование — за квартал</t>
        </is>
      </c>
      <c r="F220" s="3" t="inlineStr">
        <is>
          <t>3 Объем закупок МП</t>
        </is>
      </c>
      <c r="G220" s="4" t="n">
        <v>5</v>
      </c>
      <c r="H220" s="4" t="n"/>
      <c r="I220" s="3" t="inlineStr">
        <is>
          <t>225 и более</t>
        </is>
      </c>
      <c r="J220" s="4" t="n">
        <v>6</v>
      </c>
      <c r="K220" s="4" t="n"/>
      <c r="L220" s="4" t="n"/>
      <c r="M220" s="8" t="n">
        <v>0.05</v>
      </c>
      <c r="N220" s="4" t="inlineStr">
        <is>
          <t>%</t>
        </is>
      </c>
      <c r="O220" s="3" t="inlineStr">
        <is>
          <t>КСП</t>
        </is>
      </c>
      <c r="P220" s="3" t="inlineStr">
        <is>
          <t>J17</t>
        </is>
      </c>
      <c t="str" r="Q220" s="6">
        <f>A220&amp;"|"&amp;C220&amp;"|"&amp;D220&amp;"|"&amp;G220</f>
        <v>КСП (КОМПО-СП)|Шкала|Оборудование|5</v>
      </c>
      <c t="str" r="R220" s="6">
        <f>A220&amp;"|"&amp;C220&amp;"|"&amp;D220&amp;"|"&amp;J220</f>
        <v>КСП (КОМПО-СП)|Шкала|Оборудование|6</v>
      </c>
      <c t="str" r="S220" s="6">
        <f>A220&amp;"|"&amp;C220&amp;"|"&amp;D220&amp;"|"&amp;G220&amp;"|"&amp;J220</f>
        <v>КСП (КОМПО-СП)|Шкала|Оборудование|5|6</v>
      </c>
      <c t="str" r="T220" s="6">
        <f>A220&amp;"|"&amp;C220&amp;"|"&amp;G220</f>
        <v>КСП (КОМПО-СП)|Шкала|5</v>
      </c>
      <c t="str" r="U220" s="6">
        <f>IF(H220="да",A220&amp;"|"&amp;C220&amp;"|"&amp;D220&amp;"|"&amp;J220,"")</f>
        <v/>
      </c>
      <c t="str" r="V220" s="6">
        <f>IF(C220="План",A220&amp;"|"&amp;J220,"")</f>
        <v/>
      </c>
    </row>
    <row r="221">
      <c r="A221" s="3" t="inlineStr">
        <is>
          <t>КСП (КОМПО-СП)</t>
        </is>
      </c>
      <c r="B221" s="3" t="inlineStr">
        <is>
          <t>РФ</t>
        </is>
      </c>
      <c r="C221" s="3" t="inlineStr">
        <is>
          <t>Шкала</t>
        </is>
      </c>
      <c r="D221" s="3" t="inlineStr">
        <is>
          <t>Оборудование</t>
        </is>
      </c>
      <c r="E221" s="3" t="inlineStr">
        <is>
          <t>Оборудование — за квартал</t>
        </is>
      </c>
      <c r="F221" s="3" t="inlineStr">
        <is>
          <t>ИТОГО по МП:</t>
        </is>
      </c>
      <c r="G221" s="4" t="n">
        <v>6</v>
      </c>
      <c r="H221" s="4" t="inlineStr">
        <is>
          <t>да</t>
        </is>
      </c>
      <c r="I221" s="3" t="inlineStr">
        <is>
          <t>до 75</t>
        </is>
      </c>
      <c r="J221" s="4" t="n">
        <v>1</v>
      </c>
      <c r="K221" s="4" t="n"/>
      <c r="L221" s="4" t="n"/>
      <c r="M221" s="8" t="n">
        <v>0.14</v>
      </c>
      <c r="N221" s="4" t="inlineStr">
        <is>
          <t>%</t>
        </is>
      </c>
      <c r="O221" s="3" t="inlineStr">
        <is>
          <t>КСП</t>
        </is>
      </c>
      <c r="P221" s="3" t="inlineStr">
        <is>
          <t>E18</t>
        </is>
      </c>
      <c t="str" r="Q221" s="6">
        <f>A221&amp;"|"&amp;C221&amp;"|"&amp;D221&amp;"|"&amp;G221</f>
        <v>КСП (КОМПО-СП)|Шкала|Оборудование|6</v>
      </c>
      <c t="str" r="R221" s="6">
        <f>A221&amp;"|"&amp;C221&amp;"|"&amp;D221&amp;"|"&amp;J221</f>
        <v>КСП (КОМПО-СП)|Шкала|Оборудование|1</v>
      </c>
      <c t="str" r="S221" s="6">
        <f>A221&amp;"|"&amp;C221&amp;"|"&amp;D221&amp;"|"&amp;G221&amp;"|"&amp;J221</f>
        <v>КСП (КОМПО-СП)|Шкала|Оборудование|6|1</v>
      </c>
      <c t="str" r="T221" s="6">
        <f>A221&amp;"|"&amp;C221&amp;"|"&amp;G221</f>
        <v>КСП (КОМПО-СП)|Шкала|6</v>
      </c>
      <c t="str" r="U221" s="6">
        <f>IF(H221="да",A221&amp;"|"&amp;C221&amp;"|"&amp;D221&amp;"|"&amp;J221,"")</f>
        <v>КСП (КОМПО-СП)|Шкала|Оборудование|1</v>
      </c>
      <c t="str" r="V221" s="6">
        <f>IF(C221="План",A221&amp;"|"&amp;J221,"")</f>
        <v/>
      </c>
    </row>
    <row r="222">
      <c r="A222" s="3" t="inlineStr">
        <is>
          <t>КСП (КОМПО-СП)</t>
        </is>
      </c>
      <c r="B222" s="3" t="inlineStr">
        <is>
          <t>РФ</t>
        </is>
      </c>
      <c r="C222" s="3" t="inlineStr">
        <is>
          <t>Шкала</t>
        </is>
      </c>
      <c r="D222" s="3" t="inlineStr">
        <is>
          <t>Оборудование</t>
        </is>
      </c>
      <c r="E222" s="3" t="inlineStr">
        <is>
          <t>Оборудование — за квартал</t>
        </is>
      </c>
      <c r="F222" s="3" t="inlineStr">
        <is>
          <t>ИТОГО по МП:</t>
        </is>
      </c>
      <c r="G222" s="4" t="n">
        <v>6</v>
      </c>
      <c r="H222" s="4" t="inlineStr">
        <is>
          <t>да</t>
        </is>
      </c>
      <c r="I222" s="3" t="inlineStr">
        <is>
          <t>75-114</t>
        </is>
      </c>
      <c r="J222" s="4" t="n">
        <v>2</v>
      </c>
      <c r="K222" s="4" t="n"/>
      <c r="L222" s="4" t="n"/>
      <c r="M222" s="8" t="n">
        <v>0.15</v>
      </c>
      <c r="N222" s="4" t="inlineStr">
        <is>
          <t>%</t>
        </is>
      </c>
      <c r="O222" s="3" t="inlineStr">
        <is>
          <t>КСП</t>
        </is>
      </c>
      <c r="P222" s="3" t="inlineStr">
        <is>
          <t>F18</t>
        </is>
      </c>
      <c t="str" r="Q222" s="6">
        <f>A222&amp;"|"&amp;C222&amp;"|"&amp;D222&amp;"|"&amp;G222</f>
        <v>КСП (КОМПО-СП)|Шкала|Оборудование|6</v>
      </c>
      <c t="str" r="R222" s="6">
        <f>A222&amp;"|"&amp;C222&amp;"|"&amp;D222&amp;"|"&amp;J222</f>
        <v>КСП (КОМПО-СП)|Шкала|Оборудование|2</v>
      </c>
      <c t="str" r="S222" s="6">
        <f>A222&amp;"|"&amp;C222&amp;"|"&amp;D222&amp;"|"&amp;G222&amp;"|"&amp;J222</f>
        <v>КСП (КОМПО-СП)|Шкала|Оборудование|6|2</v>
      </c>
      <c t="str" r="T222" s="6">
        <f>A222&amp;"|"&amp;C222&amp;"|"&amp;G222</f>
        <v>КСП (КОМПО-СП)|Шкала|6</v>
      </c>
      <c t="str" r="U222" s="6">
        <f>IF(H222="да",A222&amp;"|"&amp;C222&amp;"|"&amp;D222&amp;"|"&amp;J222,"")</f>
        <v>КСП (КОМПО-СП)|Шкала|Оборудование|2</v>
      </c>
      <c t="str" r="V222" s="6">
        <f>IF(C222="План",A222&amp;"|"&amp;J222,"")</f>
        <v/>
      </c>
    </row>
    <row r="223">
      <c r="A223" s="3" t="inlineStr">
        <is>
          <t>КСП (КОМПО-СП)</t>
        </is>
      </c>
      <c r="B223" s="3" t="inlineStr">
        <is>
          <t>РФ</t>
        </is>
      </c>
      <c r="C223" s="3" t="inlineStr">
        <is>
          <t>Шкала</t>
        </is>
      </c>
      <c r="D223" s="3" t="inlineStr">
        <is>
          <t>Оборудование</t>
        </is>
      </c>
      <c r="E223" s="3" t="inlineStr">
        <is>
          <t>Оборудование — за квартал</t>
        </is>
      </c>
      <c r="F223" s="3" t="inlineStr">
        <is>
          <t>ИТОГО по МП:</t>
        </is>
      </c>
      <c r="G223" s="4" t="n">
        <v>6</v>
      </c>
      <c r="H223" s="4" t="inlineStr">
        <is>
          <t>да</t>
        </is>
      </c>
      <c r="I223" s="3" t="inlineStr">
        <is>
          <t>115-149</t>
        </is>
      </c>
      <c r="J223" s="4" t="n">
        <v>3</v>
      </c>
      <c r="K223" s="4" t="n"/>
      <c r="L223" s="4" t="n"/>
      <c r="M223" s="8" t="n">
        <v>0.16</v>
      </c>
      <c r="N223" s="4" t="inlineStr">
        <is>
          <t>%</t>
        </is>
      </c>
      <c r="O223" s="3" t="inlineStr">
        <is>
          <t>КСП</t>
        </is>
      </c>
      <c r="P223" s="3" t="inlineStr">
        <is>
          <t>G18</t>
        </is>
      </c>
      <c t="str" r="Q223" s="6">
        <f>A223&amp;"|"&amp;C223&amp;"|"&amp;D223&amp;"|"&amp;G223</f>
        <v>КСП (КОМПО-СП)|Шкала|Оборудование|6</v>
      </c>
      <c t="str" r="R223" s="6">
        <f>A223&amp;"|"&amp;C223&amp;"|"&amp;D223&amp;"|"&amp;J223</f>
        <v>КСП (КОМПО-СП)|Шкала|Оборудование|3</v>
      </c>
      <c t="str" r="S223" s="6">
        <f>A223&amp;"|"&amp;C223&amp;"|"&amp;D223&amp;"|"&amp;G223&amp;"|"&amp;J223</f>
        <v>КСП (КОМПО-СП)|Шкала|Оборудование|6|3</v>
      </c>
      <c t="str" r="T223" s="6">
        <f>A223&amp;"|"&amp;C223&amp;"|"&amp;G223</f>
        <v>КСП (КОМПО-СП)|Шкала|6</v>
      </c>
      <c t="str" r="U223" s="6">
        <f>IF(H223="да",A223&amp;"|"&amp;C223&amp;"|"&amp;D223&amp;"|"&amp;J223,"")</f>
        <v>КСП (КОМПО-СП)|Шкала|Оборудование|3</v>
      </c>
      <c t="str" r="V223" s="6">
        <f>IF(C223="План",A223&amp;"|"&amp;J223,"")</f>
        <v/>
      </c>
    </row>
    <row r="224">
      <c r="A224" s="3" t="inlineStr">
        <is>
          <t>КСП (КОМПО-СП)</t>
        </is>
      </c>
      <c r="B224" s="3" t="inlineStr">
        <is>
          <t>РФ</t>
        </is>
      </c>
      <c r="C224" s="3" t="inlineStr">
        <is>
          <t>Шкала</t>
        </is>
      </c>
      <c r="D224" s="3" t="inlineStr">
        <is>
          <t>Оборудование</t>
        </is>
      </c>
      <c r="E224" s="3" t="inlineStr">
        <is>
          <t>Оборудование — за квартал</t>
        </is>
      </c>
      <c r="F224" s="3" t="inlineStr">
        <is>
          <t>ИТОГО по МП:</t>
        </is>
      </c>
      <c r="G224" s="4" t="n">
        <v>6</v>
      </c>
      <c r="H224" s="4" t="inlineStr">
        <is>
          <t>да</t>
        </is>
      </c>
      <c r="I224" s="3" t="inlineStr">
        <is>
          <t>150-189</t>
        </is>
      </c>
      <c r="J224" s="4" t="n">
        <v>4</v>
      </c>
      <c r="K224" s="4" t="n"/>
      <c r="L224" s="4" t="n"/>
      <c r="M224" s="8" t="n">
        <v>0.17</v>
      </c>
      <c r="N224" s="4" t="inlineStr">
        <is>
          <t>%</t>
        </is>
      </c>
      <c r="O224" s="3" t="inlineStr">
        <is>
          <t>КСП</t>
        </is>
      </c>
      <c r="P224" s="3" t="inlineStr">
        <is>
          <t>H18</t>
        </is>
      </c>
      <c t="str" r="Q224" s="6">
        <f>A224&amp;"|"&amp;C224&amp;"|"&amp;D224&amp;"|"&amp;G224</f>
        <v>КСП (КОМПО-СП)|Шкала|Оборудование|6</v>
      </c>
      <c t="str" r="R224" s="6">
        <f>A224&amp;"|"&amp;C224&amp;"|"&amp;D224&amp;"|"&amp;J224</f>
        <v>КСП (КОМПО-СП)|Шкала|Оборудование|4</v>
      </c>
      <c t="str" r="S224" s="6">
        <f>A224&amp;"|"&amp;C224&amp;"|"&amp;D224&amp;"|"&amp;G224&amp;"|"&amp;J224</f>
        <v>КСП (КОМПО-СП)|Шкала|Оборудование|6|4</v>
      </c>
      <c t="str" r="T224" s="6">
        <f>A224&amp;"|"&amp;C224&amp;"|"&amp;G224</f>
        <v>КСП (КОМПО-СП)|Шкала|6</v>
      </c>
      <c t="str" r="U224" s="6">
        <f>IF(H224="да",A224&amp;"|"&amp;C224&amp;"|"&amp;D224&amp;"|"&amp;J224,"")</f>
        <v>КСП (КОМПО-СП)|Шкала|Оборудование|4</v>
      </c>
      <c t="str" r="V224" s="6">
        <f>IF(C224="План",A224&amp;"|"&amp;J224,"")</f>
        <v/>
      </c>
    </row>
    <row r="225">
      <c r="A225" s="3" t="inlineStr">
        <is>
          <t>КСП (КОМПО-СП)</t>
        </is>
      </c>
      <c r="B225" s="3" t="inlineStr">
        <is>
          <t>РФ</t>
        </is>
      </c>
      <c r="C225" s="3" t="inlineStr">
        <is>
          <t>Шкала</t>
        </is>
      </c>
      <c r="D225" s="3" t="inlineStr">
        <is>
          <t>Оборудование</t>
        </is>
      </c>
      <c r="E225" s="3" t="inlineStr">
        <is>
          <t>Оборудование — за квартал</t>
        </is>
      </c>
      <c r="F225" s="3" t="inlineStr">
        <is>
          <t>ИТОГО по МП:</t>
        </is>
      </c>
      <c r="G225" s="4" t="n">
        <v>6</v>
      </c>
      <c r="H225" s="4" t="inlineStr">
        <is>
          <t>да</t>
        </is>
      </c>
      <c r="I225" s="3" t="inlineStr">
        <is>
          <t>190-224</t>
        </is>
      </c>
      <c r="J225" s="4" t="n">
        <v>5</v>
      </c>
      <c r="K225" s="4" t="n"/>
      <c r="L225" s="4" t="n"/>
      <c r="M225" s="8" t="n">
        <v>0.18</v>
      </c>
      <c r="N225" s="4" t="inlineStr">
        <is>
          <t>%</t>
        </is>
      </c>
      <c r="O225" s="3" t="inlineStr">
        <is>
          <t>КСП</t>
        </is>
      </c>
      <c r="P225" s="3" t="inlineStr">
        <is>
          <t>I18</t>
        </is>
      </c>
      <c t="str" r="Q225" s="6">
        <f>A225&amp;"|"&amp;C225&amp;"|"&amp;D225&amp;"|"&amp;G225</f>
        <v>КСП (КОМПО-СП)|Шкала|Оборудование|6</v>
      </c>
      <c t="str" r="R225" s="6">
        <f>A225&amp;"|"&amp;C225&amp;"|"&amp;D225&amp;"|"&amp;J225</f>
        <v>КСП (КОМПО-СП)|Шкала|Оборудование|5</v>
      </c>
      <c t="str" r="S225" s="6">
        <f>A225&amp;"|"&amp;C225&amp;"|"&amp;D225&amp;"|"&amp;G225&amp;"|"&amp;J225</f>
        <v>КСП (КОМПО-СП)|Шкала|Оборудование|6|5</v>
      </c>
      <c t="str" r="T225" s="6">
        <f>A225&amp;"|"&amp;C225&amp;"|"&amp;G225</f>
        <v>КСП (КОМПО-СП)|Шкала|6</v>
      </c>
      <c t="str" r="U225" s="6">
        <f>IF(H225="да",A225&amp;"|"&amp;C225&amp;"|"&amp;D225&amp;"|"&amp;J225,"")</f>
        <v>КСП (КОМПО-СП)|Шкала|Оборудование|5</v>
      </c>
      <c t="str" r="V225" s="6">
        <f>IF(C225="План",A225&amp;"|"&amp;J225,"")</f>
        <v/>
      </c>
    </row>
    <row r="226">
      <c r="A226" s="3" t="inlineStr">
        <is>
          <t>КСП (КОМПО-СП)</t>
        </is>
      </c>
      <c r="B226" s="3" t="inlineStr">
        <is>
          <t>РФ</t>
        </is>
      </c>
      <c r="C226" s="3" t="inlineStr">
        <is>
          <t>Шкала</t>
        </is>
      </c>
      <c r="D226" s="3" t="inlineStr">
        <is>
          <t>Оборудование</t>
        </is>
      </c>
      <c r="E226" s="3" t="inlineStr">
        <is>
          <t>Оборудование — за квартал</t>
        </is>
      </c>
      <c r="F226" s="3" t="inlineStr">
        <is>
          <t>ИТОГО по МП:</t>
        </is>
      </c>
      <c r="G226" s="4" t="n">
        <v>6</v>
      </c>
      <c r="H226" s="4" t="inlineStr">
        <is>
          <t>да</t>
        </is>
      </c>
      <c r="I226" s="3" t="inlineStr">
        <is>
          <t>225 и более</t>
        </is>
      </c>
      <c r="J226" s="4" t="n">
        <v>6</v>
      </c>
      <c r="K226" s="4" t="n"/>
      <c r="L226" s="4" t="n"/>
      <c r="M226" s="8" t="n">
        <v>0.19</v>
      </c>
      <c r="N226" s="4" t="inlineStr">
        <is>
          <t>%</t>
        </is>
      </c>
      <c r="O226" s="3" t="inlineStr">
        <is>
          <t>КСП</t>
        </is>
      </c>
      <c r="P226" s="3" t="inlineStr">
        <is>
          <t>J18</t>
        </is>
      </c>
      <c t="str" r="Q226" s="6">
        <f>A226&amp;"|"&amp;C226&amp;"|"&amp;D226&amp;"|"&amp;G226</f>
        <v>КСП (КОМПО-СП)|Шкала|Оборудование|6</v>
      </c>
      <c t="str" r="R226" s="6">
        <f>A226&amp;"|"&amp;C226&amp;"|"&amp;D226&amp;"|"&amp;J226</f>
        <v>КСП (КОМПО-СП)|Шкала|Оборудование|6</v>
      </c>
      <c t="str" r="S226" s="6">
        <f>A226&amp;"|"&amp;C226&amp;"|"&amp;D226&amp;"|"&amp;G226&amp;"|"&amp;J226</f>
        <v>КСП (КОМПО-СП)|Шкала|Оборудование|6|6</v>
      </c>
      <c t="str" r="T226" s="6">
        <f>A226&amp;"|"&amp;C226&amp;"|"&amp;G226</f>
        <v>КСП (КОМПО-СП)|Шкала|6</v>
      </c>
      <c t="str" r="U226" s="6">
        <f>IF(H226="да",A226&amp;"|"&amp;C226&amp;"|"&amp;D226&amp;"|"&amp;J226,"")</f>
        <v>КСП (КОМПО-СП)|Шкала|Оборудование|6</v>
      </c>
      <c t="str" r="V226" s="6">
        <f>IF(C226="План",A226&amp;"|"&amp;J226,"")</f>
        <v/>
      </c>
    </row>
    <row r="227">
      <c r="A227" s="3" t="inlineStr">
        <is>
          <t>КСП (КОМПО-СП)</t>
        </is>
      </c>
      <c r="B227" s="3" t="inlineStr">
        <is>
          <t>РФ</t>
        </is>
      </c>
      <c r="C227" s="3" t="inlineStr">
        <is>
          <t>Шкала</t>
        </is>
      </c>
      <c r="D227" s="3" t="inlineStr">
        <is>
          <t>Оборудование</t>
        </is>
      </c>
      <c r="E227" s="3" t="inlineStr">
        <is>
          <t>Оборудование — за квартал</t>
        </is>
      </c>
      <c r="F227" s="3" t="inlineStr">
        <is>
          <t>Наличие минимальных складских остатков по РМ (синхронизация отчета по остаткам с 1С КОМПО)</t>
        </is>
      </c>
      <c r="G227" s="4" t="n">
        <v>7</v>
      </c>
      <c r="H227" s="4" t="n"/>
      <c r="I227" s="3" t="inlineStr">
        <is>
          <t>до 75</t>
        </is>
      </c>
      <c r="J227" s="4" t="n">
        <v>1</v>
      </c>
      <c r="K227" s="4" t="n"/>
      <c r="L227" s="4" t="n"/>
      <c r="M227" s="8" t="n">
        <v>0.01</v>
      </c>
      <c r="N227" s="4" t="inlineStr">
        <is>
          <t>%</t>
        </is>
      </c>
      <c r="O227" s="3" t="inlineStr">
        <is>
          <t>КСП</t>
        </is>
      </c>
      <c r="P227" s="3" t="inlineStr">
        <is>
          <t>E20</t>
        </is>
      </c>
      <c t="str" r="Q227" s="6">
        <f>A227&amp;"|"&amp;C227&amp;"|"&amp;D227&amp;"|"&amp;G227</f>
        <v>КСП (КОМПО-СП)|Шкала|Оборудование|7</v>
      </c>
      <c t="str" r="R227" s="6">
        <f>A227&amp;"|"&amp;C227&amp;"|"&amp;D227&amp;"|"&amp;J227</f>
        <v>КСП (КОМПО-СП)|Шкала|Оборудование|1</v>
      </c>
      <c t="str" r="S227" s="6">
        <f>A227&amp;"|"&amp;C227&amp;"|"&amp;D227&amp;"|"&amp;G227&amp;"|"&amp;J227</f>
        <v>КСП (КОМПО-СП)|Шкала|Оборудование|7|1</v>
      </c>
      <c t="str" r="T227" s="6">
        <f>A227&amp;"|"&amp;C227&amp;"|"&amp;G227</f>
        <v>КСП (КОМПО-СП)|Шкала|7</v>
      </c>
      <c t="str" r="U227" s="6">
        <f>IF(H227="да",A227&amp;"|"&amp;C227&amp;"|"&amp;D227&amp;"|"&amp;J227,"")</f>
        <v/>
      </c>
      <c t="str" r="V227" s="6">
        <f>IF(C227="План",A227&amp;"|"&amp;J227,"")</f>
        <v/>
      </c>
    </row>
    <row r="228">
      <c r="A228" s="3" t="inlineStr">
        <is>
          <t>КСП (КОМПО-СП)</t>
        </is>
      </c>
      <c r="B228" s="3" t="inlineStr">
        <is>
          <t>РФ</t>
        </is>
      </c>
      <c r="C228" s="3" t="inlineStr">
        <is>
          <t>Шкала</t>
        </is>
      </c>
      <c r="D228" s="3" t="inlineStr">
        <is>
          <t>Оборудование</t>
        </is>
      </c>
      <c r="E228" s="3" t="inlineStr">
        <is>
          <t>Оборудование — за квартал</t>
        </is>
      </c>
      <c r="F228" s="3" t="inlineStr">
        <is>
          <t>Наличие минимальных складских остатков по РМ (синхронизация отчета по остаткам с 1С КОМПО)</t>
        </is>
      </c>
      <c r="G228" s="4" t="n">
        <v>7</v>
      </c>
      <c r="H228" s="4" t="n"/>
      <c r="I228" s="3" t="inlineStr">
        <is>
          <t>75-114</t>
        </is>
      </c>
      <c r="J228" s="4" t="n">
        <v>2</v>
      </c>
      <c r="K228" s="4" t="n"/>
      <c r="L228" s="4" t="n"/>
      <c r="M228" s="8" t="n">
        <v>0.01</v>
      </c>
      <c r="N228" s="4" t="inlineStr">
        <is>
          <t>%</t>
        </is>
      </c>
      <c r="O228" s="3" t="inlineStr">
        <is>
          <t>КСП</t>
        </is>
      </c>
      <c r="P228" s="3" t="inlineStr">
        <is>
          <t>F20</t>
        </is>
      </c>
      <c t="str" r="Q228" s="6">
        <f>A228&amp;"|"&amp;C228&amp;"|"&amp;D228&amp;"|"&amp;G228</f>
        <v>КСП (КОМПО-СП)|Шкала|Оборудование|7</v>
      </c>
      <c t="str" r="R228" s="6">
        <f>A228&amp;"|"&amp;C228&amp;"|"&amp;D228&amp;"|"&amp;J228</f>
        <v>КСП (КОМПО-СП)|Шкала|Оборудование|2</v>
      </c>
      <c t="str" r="S228" s="6">
        <f>A228&amp;"|"&amp;C228&amp;"|"&amp;D228&amp;"|"&amp;G228&amp;"|"&amp;J228</f>
        <v>КСП (КОМПО-СП)|Шкала|Оборудование|7|2</v>
      </c>
      <c t="str" r="T228" s="6">
        <f>A228&amp;"|"&amp;C228&amp;"|"&amp;G228</f>
        <v>КСП (КОМПО-СП)|Шкала|7</v>
      </c>
      <c t="str" r="U228" s="6">
        <f>IF(H228="да",A228&amp;"|"&amp;C228&amp;"|"&amp;D228&amp;"|"&amp;J228,"")</f>
        <v/>
      </c>
      <c t="str" r="V228" s="6">
        <f>IF(C228="План",A228&amp;"|"&amp;J228,"")</f>
        <v/>
      </c>
    </row>
    <row r="229">
      <c r="A229" s="3" t="inlineStr">
        <is>
          <t>КСП (КОМПО-СП)</t>
        </is>
      </c>
      <c r="B229" s="3" t="inlineStr">
        <is>
          <t>РФ</t>
        </is>
      </c>
      <c r="C229" s="3" t="inlineStr">
        <is>
          <t>Шкала</t>
        </is>
      </c>
      <c r="D229" s="3" t="inlineStr">
        <is>
          <t>Оборудование</t>
        </is>
      </c>
      <c r="E229" s="3" t="inlineStr">
        <is>
          <t>Оборудование — за квартал</t>
        </is>
      </c>
      <c r="F229" s="3" t="inlineStr">
        <is>
          <t>Наличие минимальных складских остатков по РМ (синхронизация отчета по остаткам с 1С КОМПО)</t>
        </is>
      </c>
      <c r="G229" s="4" t="n">
        <v>7</v>
      </c>
      <c r="H229" s="4" t="n"/>
      <c r="I229" s="3" t="inlineStr">
        <is>
          <t>115-149</t>
        </is>
      </c>
      <c r="J229" s="4" t="n">
        <v>3</v>
      </c>
      <c r="K229" s="4" t="n"/>
      <c r="L229" s="4" t="n"/>
      <c r="M229" s="8" t="n">
        <v>0.01</v>
      </c>
      <c r="N229" s="4" t="inlineStr">
        <is>
          <t>%</t>
        </is>
      </c>
      <c r="O229" s="3" t="inlineStr">
        <is>
          <t>КСП</t>
        </is>
      </c>
      <c r="P229" s="3" t="inlineStr">
        <is>
          <t>G20</t>
        </is>
      </c>
      <c t="str" r="Q229" s="6">
        <f>A229&amp;"|"&amp;C229&amp;"|"&amp;D229&amp;"|"&amp;G229</f>
        <v>КСП (КОМПО-СП)|Шкала|Оборудование|7</v>
      </c>
      <c t="str" r="R229" s="6">
        <f>A229&amp;"|"&amp;C229&amp;"|"&amp;D229&amp;"|"&amp;J229</f>
        <v>КСП (КОМПО-СП)|Шкала|Оборудование|3</v>
      </c>
      <c t="str" r="S229" s="6">
        <f>A229&amp;"|"&amp;C229&amp;"|"&amp;D229&amp;"|"&amp;G229&amp;"|"&amp;J229</f>
        <v>КСП (КОМПО-СП)|Шкала|Оборудование|7|3</v>
      </c>
      <c t="str" r="T229" s="6">
        <f>A229&amp;"|"&amp;C229&amp;"|"&amp;G229</f>
        <v>КСП (КОМПО-СП)|Шкала|7</v>
      </c>
      <c t="str" r="U229" s="6">
        <f>IF(H229="да",A229&amp;"|"&amp;C229&amp;"|"&amp;D229&amp;"|"&amp;J229,"")</f>
        <v/>
      </c>
      <c t="str" r="V229" s="6">
        <f>IF(C229="План",A229&amp;"|"&amp;J229,"")</f>
        <v/>
      </c>
    </row>
    <row r="230">
      <c r="A230" s="3" t="inlineStr">
        <is>
          <t>КСП (КОМПО-СП)</t>
        </is>
      </c>
      <c r="B230" s="3" t="inlineStr">
        <is>
          <t>РФ</t>
        </is>
      </c>
      <c r="C230" s="3" t="inlineStr">
        <is>
          <t>Шкала</t>
        </is>
      </c>
      <c r="D230" s="3" t="inlineStr">
        <is>
          <t>Оборудование</t>
        </is>
      </c>
      <c r="E230" s="3" t="inlineStr">
        <is>
          <t>Оборудование — за квартал</t>
        </is>
      </c>
      <c r="F230" s="3" t="inlineStr">
        <is>
          <t>Наличие минимальных складских остатков по РМ (синхронизация отчета по остаткам с 1С КОМПО)</t>
        </is>
      </c>
      <c r="G230" s="4" t="n">
        <v>7</v>
      </c>
      <c r="H230" s="4" t="n"/>
      <c r="I230" s="3" t="inlineStr">
        <is>
          <t>150-189</t>
        </is>
      </c>
      <c r="J230" s="4" t="n">
        <v>4</v>
      </c>
      <c r="K230" s="4" t="n"/>
      <c r="L230" s="4" t="n"/>
      <c r="M230" s="8" t="n">
        <v>0.01</v>
      </c>
      <c r="N230" s="4" t="inlineStr">
        <is>
          <t>%</t>
        </is>
      </c>
      <c r="O230" s="3" t="inlineStr">
        <is>
          <t>КСП</t>
        </is>
      </c>
      <c r="P230" s="3" t="inlineStr">
        <is>
          <t>H20</t>
        </is>
      </c>
      <c t="str" r="Q230" s="6">
        <f>A230&amp;"|"&amp;C230&amp;"|"&amp;D230&amp;"|"&amp;G230</f>
        <v>КСП (КОМПО-СП)|Шкала|Оборудование|7</v>
      </c>
      <c t="str" r="R230" s="6">
        <f>A230&amp;"|"&amp;C230&amp;"|"&amp;D230&amp;"|"&amp;J230</f>
        <v>КСП (КОМПО-СП)|Шкала|Оборудование|4</v>
      </c>
      <c t="str" r="S230" s="6">
        <f>A230&amp;"|"&amp;C230&amp;"|"&amp;D230&amp;"|"&amp;G230&amp;"|"&amp;J230</f>
        <v>КСП (КОМПО-СП)|Шкала|Оборудование|7|4</v>
      </c>
      <c t="str" r="T230" s="6">
        <f>A230&amp;"|"&amp;C230&amp;"|"&amp;G230</f>
        <v>КСП (КОМПО-СП)|Шкала|7</v>
      </c>
      <c t="str" r="U230" s="6">
        <f>IF(H230="да",A230&amp;"|"&amp;C230&amp;"|"&amp;D230&amp;"|"&amp;J230,"")</f>
        <v/>
      </c>
      <c t="str" r="V230" s="6">
        <f>IF(C230="План",A230&amp;"|"&amp;J230,"")</f>
        <v/>
      </c>
    </row>
    <row r="231">
      <c r="A231" s="3" t="inlineStr">
        <is>
          <t>КСП (КОМПО-СП)</t>
        </is>
      </c>
      <c r="B231" s="3" t="inlineStr">
        <is>
          <t>РФ</t>
        </is>
      </c>
      <c r="C231" s="3" t="inlineStr">
        <is>
          <t>Шкала</t>
        </is>
      </c>
      <c r="D231" s="3" t="inlineStr">
        <is>
          <t>Оборудование</t>
        </is>
      </c>
      <c r="E231" s="3" t="inlineStr">
        <is>
          <t>Оборудование — за квартал</t>
        </is>
      </c>
      <c r="F231" s="3" t="inlineStr">
        <is>
          <t>Наличие минимальных складских остатков по РМ (синхронизация отчета по остаткам с 1С КОМПО)</t>
        </is>
      </c>
      <c r="G231" s="4" t="n">
        <v>7</v>
      </c>
      <c r="H231" s="4" t="n"/>
      <c r="I231" s="3" t="inlineStr">
        <is>
          <t>190-224</t>
        </is>
      </c>
      <c r="J231" s="4" t="n">
        <v>5</v>
      </c>
      <c r="K231" s="4" t="n"/>
      <c r="L231" s="4" t="n"/>
      <c r="M231" s="8" t="n">
        <v>0.01</v>
      </c>
      <c r="N231" s="4" t="inlineStr">
        <is>
          <t>%</t>
        </is>
      </c>
      <c r="O231" s="3" t="inlineStr">
        <is>
          <t>КСП</t>
        </is>
      </c>
      <c r="P231" s="3" t="inlineStr">
        <is>
          <t>I20</t>
        </is>
      </c>
      <c t="str" r="Q231" s="6">
        <f>A231&amp;"|"&amp;C231&amp;"|"&amp;D231&amp;"|"&amp;G231</f>
        <v>КСП (КОМПО-СП)|Шкала|Оборудование|7</v>
      </c>
      <c t="str" r="R231" s="6">
        <f>A231&amp;"|"&amp;C231&amp;"|"&amp;D231&amp;"|"&amp;J231</f>
        <v>КСП (КОМПО-СП)|Шкала|Оборудование|5</v>
      </c>
      <c t="str" r="S231" s="6">
        <f>A231&amp;"|"&amp;C231&amp;"|"&amp;D231&amp;"|"&amp;G231&amp;"|"&amp;J231</f>
        <v>КСП (КОМПО-СП)|Шкала|Оборудование|7|5</v>
      </c>
      <c t="str" r="T231" s="6">
        <f>A231&amp;"|"&amp;C231&amp;"|"&amp;G231</f>
        <v>КСП (КОМПО-СП)|Шкала|7</v>
      </c>
      <c t="str" r="U231" s="6">
        <f>IF(H231="да",A231&amp;"|"&amp;C231&amp;"|"&amp;D231&amp;"|"&amp;J231,"")</f>
        <v/>
      </c>
      <c t="str" r="V231" s="6">
        <f>IF(C231="План",A231&amp;"|"&amp;J231,"")</f>
        <v/>
      </c>
    </row>
    <row r="232">
      <c r="A232" s="3" t="inlineStr">
        <is>
          <t>КСП (КОМПО-СП)</t>
        </is>
      </c>
      <c r="B232" s="3" t="inlineStr">
        <is>
          <t>РФ</t>
        </is>
      </c>
      <c r="C232" s="3" t="inlineStr">
        <is>
          <t>Шкала</t>
        </is>
      </c>
      <c r="D232" s="3" t="inlineStr">
        <is>
          <t>Оборудование</t>
        </is>
      </c>
      <c r="E232" s="3" t="inlineStr">
        <is>
          <t>Оборудование — за квартал</t>
        </is>
      </c>
      <c r="F232" s="3" t="inlineStr">
        <is>
          <t>Наличие минимальных складских остатков по РМ (синхронизация отчета по остаткам с 1С КОМПО)</t>
        </is>
      </c>
      <c r="G232" s="4" t="n">
        <v>7</v>
      </c>
      <c r="H232" s="4" t="n"/>
      <c r="I232" s="3" t="inlineStr">
        <is>
          <t>225 и более</t>
        </is>
      </c>
      <c r="J232" s="4" t="n">
        <v>6</v>
      </c>
      <c r="K232" s="4" t="n"/>
      <c r="L232" s="4" t="n"/>
      <c r="M232" s="8" t="n">
        <v>0.01</v>
      </c>
      <c r="N232" s="4" t="inlineStr">
        <is>
          <t>%</t>
        </is>
      </c>
      <c r="O232" s="3" t="inlineStr">
        <is>
          <t>КСП</t>
        </is>
      </c>
      <c r="P232" s="3" t="inlineStr">
        <is>
          <t>J20</t>
        </is>
      </c>
      <c t="str" r="Q232" s="6">
        <f>A232&amp;"|"&amp;C232&amp;"|"&amp;D232&amp;"|"&amp;G232</f>
        <v>КСП (КОМПО-СП)|Шкала|Оборудование|7</v>
      </c>
      <c t="str" r="R232" s="6">
        <f>A232&amp;"|"&amp;C232&amp;"|"&amp;D232&amp;"|"&amp;J232</f>
        <v>КСП (КОМПО-СП)|Шкала|Оборудование|6</v>
      </c>
      <c t="str" r="S232" s="6">
        <f>A232&amp;"|"&amp;C232&amp;"|"&amp;D232&amp;"|"&amp;G232&amp;"|"&amp;J232</f>
        <v>КСП (КОМПО-СП)|Шкала|Оборудование|7|6</v>
      </c>
      <c t="str" r="T232" s="6">
        <f>A232&amp;"|"&amp;C232&amp;"|"&amp;G232</f>
        <v>КСП (КОМПО-СП)|Шкала|7</v>
      </c>
      <c t="str" r="U232" s="6">
        <f>IF(H232="да",A232&amp;"|"&amp;C232&amp;"|"&amp;D232&amp;"|"&amp;J232,"")</f>
        <v/>
      </c>
      <c t="str" r="V232" s="6">
        <f>IF(C232="План",A232&amp;"|"&amp;J232,"")</f>
        <v/>
      </c>
    </row>
    <row r="233">
      <c r="A233" s="3" t="inlineStr">
        <is>
          <t>КСП (КОМПО-СП)</t>
        </is>
      </c>
      <c r="B233" s="3" t="inlineStr">
        <is>
          <t>РФ</t>
        </is>
      </c>
      <c r="C233" s="3" t="inlineStr">
        <is>
          <t>Шкала</t>
        </is>
      </c>
      <c r="D233" s="3" t="inlineStr">
        <is>
          <t>Оборудование</t>
        </is>
      </c>
      <c r="E233" s="3" t="inlineStr">
        <is>
          <t>Оборудование — за квартал</t>
        </is>
      </c>
      <c r="F233" s="3" t="inlineStr">
        <is>
          <t>Объем закупок РМ</t>
        </is>
      </c>
      <c r="G233" s="4" t="n">
        <v>8</v>
      </c>
      <c r="H233" s="4" t="n"/>
      <c r="I233" s="3" t="inlineStr">
        <is>
          <t>до 75</t>
        </is>
      </c>
      <c r="J233" s="4" t="n">
        <v>1</v>
      </c>
      <c r="K233" s="4" t="n"/>
      <c r="L233" s="4" t="n"/>
      <c r="M233" s="8" t="n">
        <v>0</v>
      </c>
      <c r="N233" s="4" t="inlineStr">
        <is>
          <t>%</t>
        </is>
      </c>
      <c r="O233" s="3" t="inlineStr">
        <is>
          <t>КСП</t>
        </is>
      </c>
      <c r="P233" s="3" t="inlineStr">
        <is>
          <t>E21</t>
        </is>
      </c>
      <c t="str" r="Q233" s="6">
        <f>A233&amp;"|"&amp;C233&amp;"|"&amp;D233&amp;"|"&amp;G233</f>
        <v>КСП (КОМПО-СП)|Шкала|Оборудование|8</v>
      </c>
      <c t="str" r="R233" s="6">
        <f>A233&amp;"|"&amp;C233&amp;"|"&amp;D233&amp;"|"&amp;J233</f>
        <v>КСП (КОМПО-СП)|Шкала|Оборудование|1</v>
      </c>
      <c t="str" r="S233" s="6">
        <f>A233&amp;"|"&amp;C233&amp;"|"&amp;D233&amp;"|"&amp;G233&amp;"|"&amp;J233</f>
        <v>КСП (КОМПО-СП)|Шкала|Оборудование|8|1</v>
      </c>
      <c t="str" r="T233" s="6">
        <f>A233&amp;"|"&amp;C233&amp;"|"&amp;G233</f>
        <v>КСП (КОМПО-СП)|Шкала|8</v>
      </c>
      <c t="str" r="U233" s="6">
        <f>IF(H233="да",A233&amp;"|"&amp;C233&amp;"|"&amp;D233&amp;"|"&amp;J233,"")</f>
        <v/>
      </c>
      <c t="str" r="V233" s="6">
        <f>IF(C233="План",A233&amp;"|"&amp;J233,"")</f>
        <v/>
      </c>
    </row>
    <row r="234">
      <c r="A234" s="3" t="inlineStr">
        <is>
          <t>КСП (КОМПО-СП)</t>
        </is>
      </c>
      <c r="B234" s="3" t="inlineStr">
        <is>
          <t>РФ</t>
        </is>
      </c>
      <c r="C234" s="3" t="inlineStr">
        <is>
          <t>Шкала</t>
        </is>
      </c>
      <c r="D234" s="3" t="inlineStr">
        <is>
          <t>Оборудование</t>
        </is>
      </c>
      <c r="E234" s="3" t="inlineStr">
        <is>
          <t>Оборудование — за квартал</t>
        </is>
      </c>
      <c r="F234" s="3" t="inlineStr">
        <is>
          <t>Объем закупок РМ</t>
        </is>
      </c>
      <c r="G234" s="4" t="n">
        <v>8</v>
      </c>
      <c r="H234" s="4" t="n"/>
      <c r="I234" s="3" t="inlineStr">
        <is>
          <t>75-114</t>
        </is>
      </c>
      <c r="J234" s="4" t="n">
        <v>2</v>
      </c>
      <c r="K234" s="4" t="n"/>
      <c r="L234" s="4" t="n"/>
      <c r="M234" s="8" t="n">
        <v>0.01</v>
      </c>
      <c r="N234" s="4" t="inlineStr">
        <is>
          <t>%</t>
        </is>
      </c>
      <c r="O234" s="3" t="inlineStr">
        <is>
          <t>КСП</t>
        </is>
      </c>
      <c r="P234" s="3" t="inlineStr">
        <is>
          <t>F21</t>
        </is>
      </c>
      <c t="str" r="Q234" s="6">
        <f>A234&amp;"|"&amp;C234&amp;"|"&amp;D234&amp;"|"&amp;G234</f>
        <v>КСП (КОМПО-СП)|Шкала|Оборудование|8</v>
      </c>
      <c t="str" r="R234" s="6">
        <f>A234&amp;"|"&amp;C234&amp;"|"&amp;D234&amp;"|"&amp;J234</f>
        <v>КСП (КОМПО-СП)|Шкала|Оборудование|2</v>
      </c>
      <c t="str" r="S234" s="6">
        <f>A234&amp;"|"&amp;C234&amp;"|"&amp;D234&amp;"|"&amp;G234&amp;"|"&amp;J234</f>
        <v>КСП (КОМПО-СП)|Шкала|Оборудование|8|2</v>
      </c>
      <c t="str" r="T234" s="6">
        <f>A234&amp;"|"&amp;C234&amp;"|"&amp;G234</f>
        <v>КСП (КОМПО-СП)|Шкала|8</v>
      </c>
      <c t="str" r="U234" s="6">
        <f>IF(H234="да",A234&amp;"|"&amp;C234&amp;"|"&amp;D234&amp;"|"&amp;J234,"")</f>
        <v/>
      </c>
      <c t="str" r="V234" s="6">
        <f>IF(C234="План",A234&amp;"|"&amp;J234,"")</f>
        <v/>
      </c>
    </row>
    <row r="235">
      <c r="A235" s="3" t="inlineStr">
        <is>
          <t>КСП (КОМПО-СП)</t>
        </is>
      </c>
      <c r="B235" s="3" t="inlineStr">
        <is>
          <t>РФ</t>
        </is>
      </c>
      <c r="C235" s="3" t="inlineStr">
        <is>
          <t>Шкала</t>
        </is>
      </c>
      <c r="D235" s="3" t="inlineStr">
        <is>
          <t>Оборудование</t>
        </is>
      </c>
      <c r="E235" s="3" t="inlineStr">
        <is>
          <t>Оборудование — за квартал</t>
        </is>
      </c>
      <c r="F235" s="3" t="inlineStr">
        <is>
          <t>Объем закупок РМ</t>
        </is>
      </c>
      <c r="G235" s="4" t="n">
        <v>8</v>
      </c>
      <c r="H235" s="4" t="n"/>
      <c r="I235" s="3" t="inlineStr">
        <is>
          <t>115-149</t>
        </is>
      </c>
      <c r="J235" s="4" t="n">
        <v>3</v>
      </c>
      <c r="K235" s="4" t="n"/>
      <c r="L235" s="4" t="n"/>
      <c r="M235" s="8" t="n">
        <v>0.02</v>
      </c>
      <c r="N235" s="4" t="inlineStr">
        <is>
          <t>%</t>
        </is>
      </c>
      <c r="O235" s="3" t="inlineStr">
        <is>
          <t>КСП</t>
        </is>
      </c>
      <c r="P235" s="3" t="inlineStr">
        <is>
          <t>G21</t>
        </is>
      </c>
      <c t="str" r="Q235" s="6">
        <f>A235&amp;"|"&amp;C235&amp;"|"&amp;D235&amp;"|"&amp;G235</f>
        <v>КСП (КОМПО-СП)|Шкала|Оборудование|8</v>
      </c>
      <c t="str" r="R235" s="6">
        <f>A235&amp;"|"&amp;C235&amp;"|"&amp;D235&amp;"|"&amp;J235</f>
        <v>КСП (КОМПО-СП)|Шкала|Оборудование|3</v>
      </c>
      <c t="str" r="S235" s="6">
        <f>A235&amp;"|"&amp;C235&amp;"|"&amp;D235&amp;"|"&amp;G235&amp;"|"&amp;J235</f>
        <v>КСП (КОМПО-СП)|Шкала|Оборудование|8|3</v>
      </c>
      <c t="str" r="T235" s="6">
        <f>A235&amp;"|"&amp;C235&amp;"|"&amp;G235</f>
        <v>КСП (КОМПО-СП)|Шкала|8</v>
      </c>
      <c t="str" r="U235" s="6">
        <f>IF(H235="да",A235&amp;"|"&amp;C235&amp;"|"&amp;D235&amp;"|"&amp;J235,"")</f>
        <v/>
      </c>
      <c t="str" r="V235" s="6">
        <f>IF(C235="План",A235&amp;"|"&amp;J235,"")</f>
        <v/>
      </c>
    </row>
    <row r="236">
      <c r="A236" s="3" t="inlineStr">
        <is>
          <t>КСП (КОМПО-СП)</t>
        </is>
      </c>
      <c r="B236" s="3" t="inlineStr">
        <is>
          <t>РФ</t>
        </is>
      </c>
      <c r="C236" s="3" t="inlineStr">
        <is>
          <t>Шкала</t>
        </is>
      </c>
      <c r="D236" s="3" t="inlineStr">
        <is>
          <t>Оборудование</t>
        </is>
      </c>
      <c r="E236" s="3" t="inlineStr">
        <is>
          <t>Оборудование — за квартал</t>
        </is>
      </c>
      <c r="F236" s="3" t="inlineStr">
        <is>
          <t>Объем закупок РМ</t>
        </is>
      </c>
      <c r="G236" s="4" t="n">
        <v>8</v>
      </c>
      <c r="H236" s="4" t="n"/>
      <c r="I236" s="3" t="inlineStr">
        <is>
          <t>150-189</t>
        </is>
      </c>
      <c r="J236" s="4" t="n">
        <v>4</v>
      </c>
      <c r="K236" s="4" t="n"/>
      <c r="L236" s="4" t="n"/>
      <c r="M236" s="8" t="n">
        <v>0.03</v>
      </c>
      <c r="N236" s="4" t="inlineStr">
        <is>
          <t>%</t>
        </is>
      </c>
      <c r="O236" s="3" t="inlineStr">
        <is>
          <t>КСП</t>
        </is>
      </c>
      <c r="P236" s="3" t="inlineStr">
        <is>
          <t>H21</t>
        </is>
      </c>
      <c t="str" r="Q236" s="6">
        <f>A236&amp;"|"&amp;C236&amp;"|"&amp;D236&amp;"|"&amp;G236</f>
        <v>КСП (КОМПО-СП)|Шкала|Оборудование|8</v>
      </c>
      <c t="str" r="R236" s="6">
        <f>A236&amp;"|"&amp;C236&amp;"|"&amp;D236&amp;"|"&amp;J236</f>
        <v>КСП (КОМПО-СП)|Шкала|Оборудование|4</v>
      </c>
      <c t="str" r="S236" s="6">
        <f>A236&amp;"|"&amp;C236&amp;"|"&amp;D236&amp;"|"&amp;G236&amp;"|"&amp;J236</f>
        <v>КСП (КОМПО-СП)|Шкала|Оборудование|8|4</v>
      </c>
      <c t="str" r="T236" s="6">
        <f>A236&amp;"|"&amp;C236&amp;"|"&amp;G236</f>
        <v>КСП (КОМПО-СП)|Шкала|8</v>
      </c>
      <c t="str" r="U236" s="6">
        <f>IF(H236="да",A236&amp;"|"&amp;C236&amp;"|"&amp;D236&amp;"|"&amp;J236,"")</f>
        <v/>
      </c>
      <c t="str" r="V236" s="6">
        <f>IF(C236="План",A236&amp;"|"&amp;J236,"")</f>
        <v/>
      </c>
    </row>
    <row r="237">
      <c r="A237" s="3" t="inlineStr">
        <is>
          <t>КСП (КОМПО-СП)</t>
        </is>
      </c>
      <c r="B237" s="3" t="inlineStr">
        <is>
          <t>РФ</t>
        </is>
      </c>
      <c r="C237" s="3" t="inlineStr">
        <is>
          <t>Шкала</t>
        </is>
      </c>
      <c r="D237" s="3" t="inlineStr">
        <is>
          <t>Оборудование</t>
        </is>
      </c>
      <c r="E237" s="3" t="inlineStr">
        <is>
          <t>Оборудование — за квартал</t>
        </is>
      </c>
      <c r="F237" s="3" t="inlineStr">
        <is>
          <t>Объем закупок РМ</t>
        </is>
      </c>
      <c r="G237" s="4" t="n">
        <v>8</v>
      </c>
      <c r="H237" s="4" t="n"/>
      <c r="I237" s="3" t="inlineStr">
        <is>
          <t>190-224</t>
        </is>
      </c>
      <c r="J237" s="4" t="n">
        <v>5</v>
      </c>
      <c r="K237" s="4" t="n"/>
      <c r="L237" s="4" t="n"/>
      <c r="M237" s="8" t="n">
        <v>0.04</v>
      </c>
      <c r="N237" s="4" t="inlineStr">
        <is>
          <t>%</t>
        </is>
      </c>
      <c r="O237" s="3" t="inlineStr">
        <is>
          <t>КСП</t>
        </is>
      </c>
      <c r="P237" s="3" t="inlineStr">
        <is>
          <t>I21</t>
        </is>
      </c>
      <c t="str" r="Q237" s="6">
        <f>A237&amp;"|"&amp;C237&amp;"|"&amp;D237&amp;"|"&amp;G237</f>
        <v>КСП (КОМПО-СП)|Шкала|Оборудование|8</v>
      </c>
      <c t="str" r="R237" s="6">
        <f>A237&amp;"|"&amp;C237&amp;"|"&amp;D237&amp;"|"&amp;J237</f>
        <v>КСП (КОМПО-СП)|Шкала|Оборудование|5</v>
      </c>
      <c t="str" r="S237" s="6">
        <f>A237&amp;"|"&amp;C237&amp;"|"&amp;D237&amp;"|"&amp;G237&amp;"|"&amp;J237</f>
        <v>КСП (КОМПО-СП)|Шкала|Оборудование|8|5</v>
      </c>
      <c t="str" r="T237" s="6">
        <f>A237&amp;"|"&amp;C237&amp;"|"&amp;G237</f>
        <v>КСП (КОМПО-СП)|Шкала|8</v>
      </c>
      <c t="str" r="U237" s="6">
        <f>IF(H237="да",A237&amp;"|"&amp;C237&amp;"|"&amp;D237&amp;"|"&amp;J237,"")</f>
        <v/>
      </c>
      <c t="str" r="V237" s="6">
        <f>IF(C237="План",A237&amp;"|"&amp;J237,"")</f>
        <v/>
      </c>
    </row>
    <row r="238">
      <c r="A238" s="3" t="inlineStr">
        <is>
          <t>КСП (КОМПО-СП)</t>
        </is>
      </c>
      <c r="B238" s="3" t="inlineStr">
        <is>
          <t>РФ</t>
        </is>
      </c>
      <c r="C238" s="3" t="inlineStr">
        <is>
          <t>Шкала</t>
        </is>
      </c>
      <c r="D238" s="3" t="inlineStr">
        <is>
          <t>Оборудование</t>
        </is>
      </c>
      <c r="E238" s="3" t="inlineStr">
        <is>
          <t>Оборудование — за квартал</t>
        </is>
      </c>
      <c r="F238" s="3" t="inlineStr">
        <is>
          <t>Объем закупок РМ</t>
        </is>
      </c>
      <c r="G238" s="4" t="n">
        <v>8</v>
      </c>
      <c r="H238" s="4" t="n"/>
      <c r="I238" s="3" t="inlineStr">
        <is>
          <t>225 и более</t>
        </is>
      </c>
      <c r="J238" s="4" t="n">
        <v>6</v>
      </c>
      <c r="K238" s="4" t="n"/>
      <c r="L238" s="4" t="n"/>
      <c r="M238" s="8" t="n">
        <v>0.05</v>
      </c>
      <c r="N238" s="4" t="inlineStr">
        <is>
          <t>%</t>
        </is>
      </c>
      <c r="O238" s="3" t="inlineStr">
        <is>
          <t>КСП</t>
        </is>
      </c>
      <c r="P238" s="3" t="inlineStr">
        <is>
          <t>J21</t>
        </is>
      </c>
      <c t="str" r="Q238" s="6">
        <f>A238&amp;"|"&amp;C238&amp;"|"&amp;D238&amp;"|"&amp;G238</f>
        <v>КСП (КОМПО-СП)|Шкала|Оборудование|8</v>
      </c>
      <c t="str" r="R238" s="6">
        <f>A238&amp;"|"&amp;C238&amp;"|"&amp;D238&amp;"|"&amp;J238</f>
        <v>КСП (КОМПО-СП)|Шкала|Оборудование|6</v>
      </c>
      <c t="str" r="S238" s="6">
        <f>A238&amp;"|"&amp;C238&amp;"|"&amp;D238&amp;"|"&amp;G238&amp;"|"&amp;J238</f>
        <v>КСП (КОМПО-СП)|Шкала|Оборудование|8|6</v>
      </c>
      <c t="str" r="T238" s="6">
        <f>A238&amp;"|"&amp;C238&amp;"|"&amp;G238</f>
        <v>КСП (КОМПО-СП)|Шкала|8</v>
      </c>
      <c t="str" r="U238" s="6">
        <f>IF(H238="да",A238&amp;"|"&amp;C238&amp;"|"&amp;D238&amp;"|"&amp;J238,"")</f>
        <v/>
      </c>
      <c t="str" r="V238" s="6">
        <f>IF(C238="План",A238&amp;"|"&amp;J238,"")</f>
        <v/>
      </c>
    </row>
    <row r="239">
      <c r="A239" s="3" t="inlineStr">
        <is>
          <t>КСП (КОМПО-СП)</t>
        </is>
      </c>
      <c r="B239" s="3" t="inlineStr">
        <is>
          <t>РФ</t>
        </is>
      </c>
      <c r="C239" s="3" t="inlineStr">
        <is>
          <t>Шкала</t>
        </is>
      </c>
      <c r="D239" s="3" t="inlineStr">
        <is>
          <t>Расходные материалы</t>
        </is>
      </c>
      <c r="E239" s="3" t="inlineStr">
        <is>
          <t>Расходные материалы — за квартал</t>
        </is>
      </c>
      <c r="F239" s="3" t="inlineStr">
        <is>
          <t>Наличие минимальных складских остатков по РМ (синхронизация отчета по остаткам с 1С КОМПО)</t>
        </is>
      </c>
      <c r="G239" s="4" t="n">
        <v>1</v>
      </c>
      <c r="H239" s="4" t="n"/>
      <c r="I239" s="3" t="inlineStr">
        <is>
          <t>до 75</t>
        </is>
      </c>
      <c r="J239" s="4" t="n">
        <v>1</v>
      </c>
      <c r="K239" s="4" t="n"/>
      <c r="L239" s="4" t="n"/>
      <c r="M239" s="8" t="n">
        <v>0.01</v>
      </c>
      <c r="N239" s="4" t="inlineStr">
        <is>
          <t>%</t>
        </is>
      </c>
      <c r="O239" s="3" t="inlineStr">
        <is>
          <t>КСП</t>
        </is>
      </c>
      <c r="P239" s="3" t="inlineStr">
        <is>
          <t>E20</t>
        </is>
      </c>
      <c t="str" r="Q239" s="6">
        <f>A239&amp;"|"&amp;C239&amp;"|"&amp;D239&amp;"|"&amp;G239</f>
        <v>КСП (КОМПО-СП)|Шкала|Расходные материалы|1</v>
      </c>
      <c t="str" r="R239" s="6">
        <f>A239&amp;"|"&amp;C239&amp;"|"&amp;D239&amp;"|"&amp;J239</f>
        <v>КСП (КОМПО-СП)|Шкала|Расходные материалы|1</v>
      </c>
      <c t="str" r="S239" s="6">
        <f>A239&amp;"|"&amp;C239&amp;"|"&amp;D239&amp;"|"&amp;G239&amp;"|"&amp;J239</f>
        <v>КСП (КОМПО-СП)|Шкала|Расходные материалы|1|1</v>
      </c>
      <c t="str" r="T239" s="6">
        <f>A239&amp;"|"&amp;C239&amp;"|"&amp;G239</f>
        <v>КСП (КОМПО-СП)|Шкала|1</v>
      </c>
      <c t="str" r="U239" s="6">
        <f>IF(H239="да",A239&amp;"|"&amp;C239&amp;"|"&amp;D239&amp;"|"&amp;J239,"")</f>
        <v/>
      </c>
      <c t="str" r="V239" s="6">
        <f>IF(C239="План",A239&amp;"|"&amp;J239,"")</f>
        <v/>
      </c>
    </row>
    <row r="240">
      <c r="A240" s="3" t="inlineStr">
        <is>
          <t>КСП (КОМПО-СП)</t>
        </is>
      </c>
      <c r="B240" s="3" t="inlineStr">
        <is>
          <t>РФ</t>
        </is>
      </c>
      <c r="C240" s="3" t="inlineStr">
        <is>
          <t>Шкала</t>
        </is>
      </c>
      <c r="D240" s="3" t="inlineStr">
        <is>
          <t>Расходные материалы</t>
        </is>
      </c>
      <c r="E240" s="3" t="inlineStr">
        <is>
          <t>Расходные материалы — за квартал</t>
        </is>
      </c>
      <c r="F240" s="3" t="inlineStr">
        <is>
          <t>Наличие минимальных складских остатков по РМ (синхронизация отчета по остаткам с 1С КОМПО)</t>
        </is>
      </c>
      <c r="G240" s="4" t="n">
        <v>1</v>
      </c>
      <c r="H240" s="4" t="n"/>
      <c r="I240" s="3" t="inlineStr">
        <is>
          <t>75-115</t>
        </is>
      </c>
      <c r="J240" s="4" t="n">
        <v>2</v>
      </c>
      <c r="K240" s="4" t="n"/>
      <c r="L240" s="4" t="n"/>
      <c r="M240" s="8" t="n">
        <v>0.01</v>
      </c>
      <c r="N240" s="4" t="inlineStr">
        <is>
          <t>%</t>
        </is>
      </c>
      <c r="O240" s="3" t="inlineStr">
        <is>
          <t>КСП</t>
        </is>
      </c>
      <c r="P240" s="3" t="inlineStr">
        <is>
          <t>F20</t>
        </is>
      </c>
      <c t="str" r="Q240" s="6">
        <f>A240&amp;"|"&amp;C240&amp;"|"&amp;D240&amp;"|"&amp;G240</f>
        <v>КСП (КОМПО-СП)|Шкала|Расходные материалы|1</v>
      </c>
      <c t="str" r="R240" s="6">
        <f>A240&amp;"|"&amp;C240&amp;"|"&amp;D240&amp;"|"&amp;J240</f>
        <v>КСП (КОМПО-СП)|Шкала|Расходные материалы|2</v>
      </c>
      <c t="str" r="S240" s="6">
        <f>A240&amp;"|"&amp;C240&amp;"|"&amp;D240&amp;"|"&amp;G240&amp;"|"&amp;J240</f>
        <v>КСП (КОМПО-СП)|Шкала|Расходные материалы|1|2</v>
      </c>
      <c t="str" r="T240" s="6">
        <f>A240&amp;"|"&amp;C240&amp;"|"&amp;G240</f>
        <v>КСП (КОМПО-СП)|Шкала|1</v>
      </c>
      <c t="str" r="U240" s="6">
        <f>IF(H240="да",A240&amp;"|"&amp;C240&amp;"|"&amp;D240&amp;"|"&amp;J240,"")</f>
        <v/>
      </c>
      <c t="str" r="V240" s="6">
        <f>IF(C240="План",A240&amp;"|"&amp;J240,"")</f>
        <v/>
      </c>
    </row>
    <row r="241">
      <c r="A241" s="3" t="inlineStr">
        <is>
          <t>КСП (КОМПО-СП)</t>
        </is>
      </c>
      <c r="B241" s="3" t="inlineStr">
        <is>
          <t>РФ</t>
        </is>
      </c>
      <c r="C241" s="3" t="inlineStr">
        <is>
          <t>Шкала</t>
        </is>
      </c>
      <c r="D241" s="3" t="inlineStr">
        <is>
          <t>Расходные материалы</t>
        </is>
      </c>
      <c r="E241" s="3" t="inlineStr">
        <is>
          <t>Расходные материалы — за квартал</t>
        </is>
      </c>
      <c r="F241" s="3" t="inlineStr">
        <is>
          <t>Наличие минимальных складских остатков по РМ (синхронизация отчета по остаткам с 1С КОМПО)</t>
        </is>
      </c>
      <c r="G241" s="4" t="n">
        <v>1</v>
      </c>
      <c r="H241" s="4" t="n"/>
      <c r="I241" s="3" t="inlineStr">
        <is>
          <t>115-150</t>
        </is>
      </c>
      <c r="J241" s="4" t="n">
        <v>3</v>
      </c>
      <c r="K241" s="4" t="n"/>
      <c r="L241" s="4" t="n"/>
      <c r="M241" s="8" t="n">
        <v>0.01</v>
      </c>
      <c r="N241" s="4" t="inlineStr">
        <is>
          <t>%</t>
        </is>
      </c>
      <c r="O241" s="3" t="inlineStr">
        <is>
          <t>КСП</t>
        </is>
      </c>
      <c r="P241" s="3" t="inlineStr">
        <is>
          <t>G20</t>
        </is>
      </c>
      <c t="str" r="Q241" s="6">
        <f>A241&amp;"|"&amp;C241&amp;"|"&amp;D241&amp;"|"&amp;G241</f>
        <v>КСП (КОМПО-СП)|Шкала|Расходные материалы|1</v>
      </c>
      <c t="str" r="R241" s="6">
        <f>A241&amp;"|"&amp;C241&amp;"|"&amp;D241&amp;"|"&amp;J241</f>
        <v>КСП (КОМПО-СП)|Шкала|Расходные материалы|3</v>
      </c>
      <c t="str" r="S241" s="6">
        <f>A241&amp;"|"&amp;C241&amp;"|"&amp;D241&amp;"|"&amp;G241&amp;"|"&amp;J241</f>
        <v>КСП (КОМПО-СП)|Шкала|Расходные материалы|1|3</v>
      </c>
      <c t="str" r="T241" s="6">
        <f>A241&amp;"|"&amp;C241&amp;"|"&amp;G241</f>
        <v>КСП (КОМПО-СП)|Шкала|1</v>
      </c>
      <c t="str" r="U241" s="6">
        <f>IF(H241="да",A241&amp;"|"&amp;C241&amp;"|"&amp;D241&amp;"|"&amp;J241,"")</f>
        <v/>
      </c>
      <c t="str" r="V241" s="6">
        <f>IF(C241="План",A241&amp;"|"&amp;J241,"")</f>
        <v/>
      </c>
    </row>
    <row r="242">
      <c r="A242" s="3" t="inlineStr">
        <is>
          <t>КСП (КОМПО-СП)</t>
        </is>
      </c>
      <c r="B242" s="3" t="inlineStr">
        <is>
          <t>РФ</t>
        </is>
      </c>
      <c r="C242" s="3" t="inlineStr">
        <is>
          <t>Шкала</t>
        </is>
      </c>
      <c r="D242" s="3" t="inlineStr">
        <is>
          <t>Расходные материалы</t>
        </is>
      </c>
      <c r="E242" s="3" t="inlineStr">
        <is>
          <t>Расходные материалы — за квартал</t>
        </is>
      </c>
      <c r="F242" s="3" t="inlineStr">
        <is>
          <t>Наличие минимальных складских остатков по РМ (синхронизация отчета по остаткам с 1С КОМПО)</t>
        </is>
      </c>
      <c r="G242" s="4" t="n">
        <v>1</v>
      </c>
      <c r="H242" s="4" t="n"/>
      <c r="I242" s="3" t="inlineStr">
        <is>
          <t>150-190</t>
        </is>
      </c>
      <c r="J242" s="4" t="n">
        <v>4</v>
      </c>
      <c r="K242" s="4" t="n"/>
      <c r="L242" s="4" t="n"/>
      <c r="M242" s="8" t="n">
        <v>0.01</v>
      </c>
      <c r="N242" s="4" t="inlineStr">
        <is>
          <t>%</t>
        </is>
      </c>
      <c r="O242" s="3" t="inlineStr">
        <is>
          <t>КСП</t>
        </is>
      </c>
      <c r="P242" s="3" t="inlineStr">
        <is>
          <t>H20</t>
        </is>
      </c>
      <c t="str" r="Q242" s="6">
        <f>A242&amp;"|"&amp;C242&amp;"|"&amp;D242&amp;"|"&amp;G242</f>
        <v>КСП (КОМПО-СП)|Шкала|Расходные материалы|1</v>
      </c>
      <c t="str" r="R242" s="6">
        <f>A242&amp;"|"&amp;C242&amp;"|"&amp;D242&amp;"|"&amp;J242</f>
        <v>КСП (КОМПО-СП)|Шкала|Расходные материалы|4</v>
      </c>
      <c t="str" r="S242" s="6">
        <f>A242&amp;"|"&amp;C242&amp;"|"&amp;D242&amp;"|"&amp;G242&amp;"|"&amp;J242</f>
        <v>КСП (КОМПО-СП)|Шкала|Расходные материалы|1|4</v>
      </c>
      <c t="str" r="T242" s="6">
        <f>A242&amp;"|"&amp;C242&amp;"|"&amp;G242</f>
        <v>КСП (КОМПО-СП)|Шкала|1</v>
      </c>
      <c t="str" r="U242" s="6">
        <f>IF(H242="да",A242&amp;"|"&amp;C242&amp;"|"&amp;D242&amp;"|"&amp;J242,"")</f>
        <v/>
      </c>
      <c t="str" r="V242" s="6">
        <f>IF(C242="План",A242&amp;"|"&amp;J242,"")</f>
        <v/>
      </c>
    </row>
    <row r="243">
      <c r="A243" s="3" t="inlineStr">
        <is>
          <t>КСП (КОМПО-СП)</t>
        </is>
      </c>
      <c r="B243" s="3" t="inlineStr">
        <is>
          <t>РФ</t>
        </is>
      </c>
      <c r="C243" s="3" t="inlineStr">
        <is>
          <t>Шкала</t>
        </is>
      </c>
      <c r="D243" s="3" t="inlineStr">
        <is>
          <t>Расходные материалы</t>
        </is>
      </c>
      <c r="E243" s="3" t="inlineStr">
        <is>
          <t>Расходные материалы — за квартал</t>
        </is>
      </c>
      <c r="F243" s="3" t="inlineStr">
        <is>
          <t>Наличие минимальных складских остатков по РМ (синхронизация отчета по остаткам с 1С КОМПО)</t>
        </is>
      </c>
      <c r="G243" s="4" t="n">
        <v>1</v>
      </c>
      <c r="H243" s="4" t="n"/>
      <c r="I243" s="3" t="inlineStr">
        <is>
          <t>190-225</t>
        </is>
      </c>
      <c r="J243" s="4" t="n">
        <v>5</v>
      </c>
      <c r="K243" s="4" t="n"/>
      <c r="L243" s="4" t="n"/>
      <c r="M243" s="8" t="n">
        <v>0.01</v>
      </c>
      <c r="N243" s="4" t="inlineStr">
        <is>
          <t>%</t>
        </is>
      </c>
      <c r="O243" s="3" t="inlineStr">
        <is>
          <t>КСП</t>
        </is>
      </c>
      <c r="P243" s="3" t="inlineStr">
        <is>
          <t>I20</t>
        </is>
      </c>
      <c t="str" r="Q243" s="6">
        <f>A243&amp;"|"&amp;C243&amp;"|"&amp;D243&amp;"|"&amp;G243</f>
        <v>КСП (КОМПО-СП)|Шкала|Расходные материалы|1</v>
      </c>
      <c t="str" r="R243" s="6">
        <f>A243&amp;"|"&amp;C243&amp;"|"&amp;D243&amp;"|"&amp;J243</f>
        <v>КСП (КОМПО-СП)|Шкала|Расходные материалы|5</v>
      </c>
      <c t="str" r="S243" s="6">
        <f>A243&amp;"|"&amp;C243&amp;"|"&amp;D243&amp;"|"&amp;G243&amp;"|"&amp;J243</f>
        <v>КСП (КОМПО-СП)|Шкала|Расходные материалы|1|5</v>
      </c>
      <c t="str" r="T243" s="6">
        <f>A243&amp;"|"&amp;C243&amp;"|"&amp;G243</f>
        <v>КСП (КОМПО-СП)|Шкала|1</v>
      </c>
      <c t="str" r="U243" s="6">
        <f>IF(H243="да",A243&amp;"|"&amp;C243&amp;"|"&amp;D243&amp;"|"&amp;J243,"")</f>
        <v/>
      </c>
      <c t="str" r="V243" s="6">
        <f>IF(C243="План",A243&amp;"|"&amp;J243,"")</f>
        <v/>
      </c>
    </row>
    <row r="244">
      <c r="A244" s="3" t="inlineStr">
        <is>
          <t>КСП (КОМПО-СП)</t>
        </is>
      </c>
      <c r="B244" s="3" t="inlineStr">
        <is>
          <t>РФ</t>
        </is>
      </c>
      <c r="C244" s="3" t="inlineStr">
        <is>
          <t>Шкала</t>
        </is>
      </c>
      <c r="D244" s="3" t="inlineStr">
        <is>
          <t>Расходные материалы</t>
        </is>
      </c>
      <c r="E244" s="3" t="inlineStr">
        <is>
          <t>Расходные материалы — за квартал</t>
        </is>
      </c>
      <c r="F244" s="3" t="inlineStr">
        <is>
          <t>Наличие минимальных складских остатков по РМ (синхронизация отчета по остаткам с 1С КОМПО)</t>
        </is>
      </c>
      <c r="G244" s="4" t="n">
        <v>1</v>
      </c>
      <c r="H244" s="4" t="n"/>
      <c r="I244" s="3" t="inlineStr">
        <is>
          <t>225 и более</t>
        </is>
      </c>
      <c r="J244" s="4" t="n">
        <v>6</v>
      </c>
      <c r="K244" s="4" t="n"/>
      <c r="L244" s="4" t="n"/>
      <c r="M244" s="8" t="n">
        <v>0.01</v>
      </c>
      <c r="N244" s="4" t="inlineStr">
        <is>
          <t>%</t>
        </is>
      </c>
      <c r="O244" s="3" t="inlineStr">
        <is>
          <t>КСП</t>
        </is>
      </c>
      <c r="P244" s="3" t="inlineStr">
        <is>
          <t>J20</t>
        </is>
      </c>
      <c t="str" r="Q244" s="6">
        <f>A244&amp;"|"&amp;C244&amp;"|"&amp;D244&amp;"|"&amp;G244</f>
        <v>КСП (КОМПО-СП)|Шкала|Расходные материалы|1</v>
      </c>
      <c t="str" r="R244" s="6">
        <f>A244&amp;"|"&amp;C244&amp;"|"&amp;D244&amp;"|"&amp;J244</f>
        <v>КСП (КОМПО-СП)|Шкала|Расходные материалы|6</v>
      </c>
      <c t="str" r="S244" s="6">
        <f>A244&amp;"|"&amp;C244&amp;"|"&amp;D244&amp;"|"&amp;G244&amp;"|"&amp;J244</f>
        <v>КСП (КОМПО-СП)|Шкала|Расходные материалы|1|6</v>
      </c>
      <c t="str" r="T244" s="6">
        <f>A244&amp;"|"&amp;C244&amp;"|"&amp;G244</f>
        <v>КСП (КОМПО-СП)|Шкала|1</v>
      </c>
      <c t="str" r="U244" s="6">
        <f>IF(H244="да",A244&amp;"|"&amp;C244&amp;"|"&amp;D244&amp;"|"&amp;J244,"")</f>
        <v/>
      </c>
      <c t="str" r="V244" s="6">
        <f>IF(C244="План",A244&amp;"|"&amp;J244,"")</f>
        <v/>
      </c>
    </row>
    <row r="245">
      <c r="A245" s="3" t="inlineStr">
        <is>
          <t>КСП (КОМПО-СП)</t>
        </is>
      </c>
      <c r="B245" s="3" t="inlineStr">
        <is>
          <t>РФ</t>
        </is>
      </c>
      <c r="C245" s="3" t="inlineStr">
        <is>
          <t>Шкала</t>
        </is>
      </c>
      <c r="D245" s="3" t="inlineStr">
        <is>
          <t>Расходные материалы</t>
        </is>
      </c>
      <c r="E245" s="3" t="inlineStr">
        <is>
          <t>Расходные материалы — за квартал</t>
        </is>
      </c>
      <c r="F245" s="3" t="inlineStr">
        <is>
          <t>Объем закупок РМ</t>
        </is>
      </c>
      <c r="G245" s="4" t="n">
        <v>2</v>
      </c>
      <c r="H245" s="4" t="n"/>
      <c r="I245" s="3" t="inlineStr">
        <is>
          <t>до 75</t>
        </is>
      </c>
      <c r="J245" s="4" t="n">
        <v>1</v>
      </c>
      <c r="K245" s="4" t="n"/>
      <c r="L245" s="4" t="n"/>
      <c r="M245" s="8" t="n">
        <v>0</v>
      </c>
      <c r="N245" s="4" t="inlineStr">
        <is>
          <t>%</t>
        </is>
      </c>
      <c r="O245" s="3" t="inlineStr">
        <is>
          <t>КСП</t>
        </is>
      </c>
      <c r="P245" s="3" t="inlineStr">
        <is>
          <t>E21</t>
        </is>
      </c>
      <c t="str" r="Q245" s="6">
        <f>A245&amp;"|"&amp;C245&amp;"|"&amp;D245&amp;"|"&amp;G245</f>
        <v>КСП (КОМПО-СП)|Шкала|Расходные материалы|2</v>
      </c>
      <c t="str" r="R245" s="6">
        <f>A245&amp;"|"&amp;C245&amp;"|"&amp;D245&amp;"|"&amp;J245</f>
        <v>КСП (КОМПО-СП)|Шкала|Расходные материалы|1</v>
      </c>
      <c t="str" r="S245" s="6">
        <f>A245&amp;"|"&amp;C245&amp;"|"&amp;D245&amp;"|"&amp;G245&amp;"|"&amp;J245</f>
        <v>КСП (КОМПО-СП)|Шкала|Расходные материалы|2|1</v>
      </c>
      <c t="str" r="T245" s="6">
        <f>A245&amp;"|"&amp;C245&amp;"|"&amp;G245</f>
        <v>КСП (КОМПО-СП)|Шкала|2</v>
      </c>
      <c t="str" r="U245" s="6">
        <f>IF(H245="да",A245&amp;"|"&amp;C245&amp;"|"&amp;D245&amp;"|"&amp;J245,"")</f>
        <v/>
      </c>
      <c t="str" r="V245" s="6">
        <f>IF(C245="План",A245&amp;"|"&amp;J245,"")</f>
        <v/>
      </c>
    </row>
    <row r="246">
      <c r="A246" s="3" t="inlineStr">
        <is>
          <t>КСП (КОМПО-СП)</t>
        </is>
      </c>
      <c r="B246" s="3" t="inlineStr">
        <is>
          <t>РФ</t>
        </is>
      </c>
      <c r="C246" s="3" t="inlineStr">
        <is>
          <t>Шкала</t>
        </is>
      </c>
      <c r="D246" s="3" t="inlineStr">
        <is>
          <t>Расходные материалы</t>
        </is>
      </c>
      <c r="E246" s="3" t="inlineStr">
        <is>
          <t>Расходные материалы — за квартал</t>
        </is>
      </c>
      <c r="F246" s="3" t="inlineStr">
        <is>
          <t>Объем закупок РМ</t>
        </is>
      </c>
      <c r="G246" s="4" t="n">
        <v>2</v>
      </c>
      <c r="H246" s="4" t="n"/>
      <c r="I246" s="3" t="inlineStr">
        <is>
          <t>75-115</t>
        </is>
      </c>
      <c r="J246" s="4" t="n">
        <v>2</v>
      </c>
      <c r="K246" s="4" t="n"/>
      <c r="L246" s="4" t="n"/>
      <c r="M246" s="8" t="n">
        <v>0.01</v>
      </c>
      <c r="N246" s="4" t="inlineStr">
        <is>
          <t>%</t>
        </is>
      </c>
      <c r="O246" s="3" t="inlineStr">
        <is>
          <t>КСП</t>
        </is>
      </c>
      <c r="P246" s="3" t="inlineStr">
        <is>
          <t>F21</t>
        </is>
      </c>
      <c t="str" r="Q246" s="6">
        <f>A246&amp;"|"&amp;C246&amp;"|"&amp;D246&amp;"|"&amp;G246</f>
        <v>КСП (КОМПО-СП)|Шкала|Расходные материалы|2</v>
      </c>
      <c t="str" r="R246" s="6">
        <f>A246&amp;"|"&amp;C246&amp;"|"&amp;D246&amp;"|"&amp;J246</f>
        <v>КСП (КОМПО-СП)|Шкала|Расходные материалы|2</v>
      </c>
      <c t="str" r="S246" s="6">
        <f>A246&amp;"|"&amp;C246&amp;"|"&amp;D246&amp;"|"&amp;G246&amp;"|"&amp;J246</f>
        <v>КСП (КОМПО-СП)|Шкала|Расходные материалы|2|2</v>
      </c>
      <c t="str" r="T246" s="6">
        <f>A246&amp;"|"&amp;C246&amp;"|"&amp;G246</f>
        <v>КСП (КОМПО-СП)|Шкала|2</v>
      </c>
      <c t="str" r="U246" s="6">
        <f>IF(H246="да",A246&amp;"|"&amp;C246&amp;"|"&amp;D246&amp;"|"&amp;J246,"")</f>
        <v/>
      </c>
      <c t="str" r="V246" s="6">
        <f>IF(C246="План",A246&amp;"|"&amp;J246,"")</f>
        <v/>
      </c>
    </row>
    <row r="247">
      <c r="A247" s="3" t="inlineStr">
        <is>
          <t>КСП (КОМПО-СП)</t>
        </is>
      </c>
      <c r="B247" s="3" t="inlineStr">
        <is>
          <t>РФ</t>
        </is>
      </c>
      <c r="C247" s="3" t="inlineStr">
        <is>
          <t>Шкала</t>
        </is>
      </c>
      <c r="D247" s="3" t="inlineStr">
        <is>
          <t>Расходные материалы</t>
        </is>
      </c>
      <c r="E247" s="3" t="inlineStr">
        <is>
          <t>Расходные материалы — за квартал</t>
        </is>
      </c>
      <c r="F247" s="3" t="inlineStr">
        <is>
          <t>Объем закупок РМ</t>
        </is>
      </c>
      <c r="G247" s="4" t="n">
        <v>2</v>
      </c>
      <c r="H247" s="4" t="n"/>
      <c r="I247" s="3" t="inlineStr">
        <is>
          <t>115-150</t>
        </is>
      </c>
      <c r="J247" s="4" t="n">
        <v>3</v>
      </c>
      <c r="K247" s="4" t="n"/>
      <c r="L247" s="4" t="n"/>
      <c r="M247" s="8" t="n">
        <v>0.02</v>
      </c>
      <c r="N247" s="4" t="inlineStr">
        <is>
          <t>%</t>
        </is>
      </c>
      <c r="O247" s="3" t="inlineStr">
        <is>
          <t>КСП</t>
        </is>
      </c>
      <c r="P247" s="3" t="inlineStr">
        <is>
          <t>G21</t>
        </is>
      </c>
      <c t="str" r="Q247" s="6">
        <f>A247&amp;"|"&amp;C247&amp;"|"&amp;D247&amp;"|"&amp;G247</f>
        <v>КСП (КОМПО-СП)|Шкала|Расходные материалы|2</v>
      </c>
      <c t="str" r="R247" s="6">
        <f>A247&amp;"|"&amp;C247&amp;"|"&amp;D247&amp;"|"&amp;J247</f>
        <v>КСП (КОМПО-СП)|Шкала|Расходные материалы|3</v>
      </c>
      <c t="str" r="S247" s="6">
        <f>A247&amp;"|"&amp;C247&amp;"|"&amp;D247&amp;"|"&amp;G247&amp;"|"&amp;J247</f>
        <v>КСП (КОМПО-СП)|Шкала|Расходные материалы|2|3</v>
      </c>
      <c t="str" r="T247" s="6">
        <f>A247&amp;"|"&amp;C247&amp;"|"&amp;G247</f>
        <v>КСП (КОМПО-СП)|Шкала|2</v>
      </c>
      <c t="str" r="U247" s="6">
        <f>IF(H247="да",A247&amp;"|"&amp;C247&amp;"|"&amp;D247&amp;"|"&amp;J247,"")</f>
        <v/>
      </c>
      <c t="str" r="V247" s="6">
        <f>IF(C247="План",A247&amp;"|"&amp;J247,"")</f>
        <v/>
      </c>
    </row>
    <row r="248">
      <c r="A248" s="3" t="inlineStr">
        <is>
          <t>КСП (КОМПО-СП)</t>
        </is>
      </c>
      <c r="B248" s="3" t="inlineStr">
        <is>
          <t>РФ</t>
        </is>
      </c>
      <c r="C248" s="3" t="inlineStr">
        <is>
          <t>Шкала</t>
        </is>
      </c>
      <c r="D248" s="3" t="inlineStr">
        <is>
          <t>Расходные материалы</t>
        </is>
      </c>
      <c r="E248" s="3" t="inlineStr">
        <is>
          <t>Расходные материалы — за квартал</t>
        </is>
      </c>
      <c r="F248" s="3" t="inlineStr">
        <is>
          <t>Объем закупок РМ</t>
        </is>
      </c>
      <c r="G248" s="4" t="n">
        <v>2</v>
      </c>
      <c r="H248" s="4" t="n"/>
      <c r="I248" s="3" t="inlineStr">
        <is>
          <t>150-190</t>
        </is>
      </c>
      <c r="J248" s="4" t="n">
        <v>4</v>
      </c>
      <c r="K248" s="4" t="n"/>
      <c r="L248" s="4" t="n"/>
      <c r="M248" s="8" t="n">
        <v>0.03</v>
      </c>
      <c r="N248" s="4" t="inlineStr">
        <is>
          <t>%</t>
        </is>
      </c>
      <c r="O248" s="3" t="inlineStr">
        <is>
          <t>КСП</t>
        </is>
      </c>
      <c r="P248" s="3" t="inlineStr">
        <is>
          <t>H21</t>
        </is>
      </c>
      <c t="str" r="Q248" s="6">
        <f>A248&amp;"|"&amp;C248&amp;"|"&amp;D248&amp;"|"&amp;G248</f>
        <v>КСП (КОМПО-СП)|Шкала|Расходные материалы|2</v>
      </c>
      <c t="str" r="R248" s="6">
        <f>A248&amp;"|"&amp;C248&amp;"|"&amp;D248&amp;"|"&amp;J248</f>
        <v>КСП (КОМПО-СП)|Шкала|Расходные материалы|4</v>
      </c>
      <c t="str" r="S248" s="6">
        <f>A248&amp;"|"&amp;C248&amp;"|"&amp;D248&amp;"|"&amp;G248&amp;"|"&amp;J248</f>
        <v>КСП (КОМПО-СП)|Шкала|Расходные материалы|2|4</v>
      </c>
      <c t="str" r="T248" s="6">
        <f>A248&amp;"|"&amp;C248&amp;"|"&amp;G248</f>
        <v>КСП (КОМПО-СП)|Шкала|2</v>
      </c>
      <c t="str" r="U248" s="6">
        <f>IF(H248="да",A248&amp;"|"&amp;C248&amp;"|"&amp;D248&amp;"|"&amp;J248,"")</f>
        <v/>
      </c>
      <c t="str" r="V248" s="6">
        <f>IF(C248="План",A248&amp;"|"&amp;J248,"")</f>
        <v/>
      </c>
    </row>
    <row r="249">
      <c r="A249" s="3" t="inlineStr">
        <is>
          <t>КСП (КОМПО-СП)</t>
        </is>
      </c>
      <c r="B249" s="3" t="inlineStr">
        <is>
          <t>РФ</t>
        </is>
      </c>
      <c r="C249" s="3" t="inlineStr">
        <is>
          <t>Шкала</t>
        </is>
      </c>
      <c r="D249" s="3" t="inlineStr">
        <is>
          <t>Расходные материалы</t>
        </is>
      </c>
      <c r="E249" s="3" t="inlineStr">
        <is>
          <t>Расходные материалы — за квартал</t>
        </is>
      </c>
      <c r="F249" s="3" t="inlineStr">
        <is>
          <t>Объем закупок РМ</t>
        </is>
      </c>
      <c r="G249" s="4" t="n">
        <v>2</v>
      </c>
      <c r="H249" s="4" t="n"/>
      <c r="I249" s="3" t="inlineStr">
        <is>
          <t>190-225</t>
        </is>
      </c>
      <c r="J249" s="4" t="n">
        <v>5</v>
      </c>
      <c r="K249" s="4" t="n"/>
      <c r="L249" s="4" t="n"/>
      <c r="M249" s="8" t="n">
        <v>0.04</v>
      </c>
      <c r="N249" s="4" t="inlineStr">
        <is>
          <t>%</t>
        </is>
      </c>
      <c r="O249" s="3" t="inlineStr">
        <is>
          <t>КСП</t>
        </is>
      </c>
      <c r="P249" s="3" t="inlineStr">
        <is>
          <t>I21</t>
        </is>
      </c>
      <c t="str" r="Q249" s="6">
        <f>A249&amp;"|"&amp;C249&amp;"|"&amp;D249&amp;"|"&amp;G249</f>
        <v>КСП (КОМПО-СП)|Шкала|Расходные материалы|2</v>
      </c>
      <c t="str" r="R249" s="6">
        <f>A249&amp;"|"&amp;C249&amp;"|"&amp;D249&amp;"|"&amp;J249</f>
        <v>КСП (КОМПО-СП)|Шкала|Расходные материалы|5</v>
      </c>
      <c t="str" r="S249" s="6">
        <f>A249&amp;"|"&amp;C249&amp;"|"&amp;D249&amp;"|"&amp;G249&amp;"|"&amp;J249</f>
        <v>КСП (КОМПО-СП)|Шкала|Расходные материалы|2|5</v>
      </c>
      <c t="str" r="T249" s="6">
        <f>A249&amp;"|"&amp;C249&amp;"|"&amp;G249</f>
        <v>КСП (КОМПО-СП)|Шкала|2</v>
      </c>
      <c t="str" r="U249" s="6">
        <f>IF(H249="да",A249&amp;"|"&amp;C249&amp;"|"&amp;D249&amp;"|"&amp;J249,"")</f>
        <v/>
      </c>
      <c t="str" r="V249" s="6">
        <f>IF(C249="План",A249&amp;"|"&amp;J249,"")</f>
        <v/>
      </c>
    </row>
    <row r="250">
      <c r="A250" s="3" t="inlineStr">
        <is>
          <t>КСП (КОМПО-СП)</t>
        </is>
      </c>
      <c r="B250" s="3" t="inlineStr">
        <is>
          <t>РФ</t>
        </is>
      </c>
      <c r="C250" s="3" t="inlineStr">
        <is>
          <t>Шкала</t>
        </is>
      </c>
      <c r="D250" s="3" t="inlineStr">
        <is>
          <t>Расходные материалы</t>
        </is>
      </c>
      <c r="E250" s="3" t="inlineStr">
        <is>
          <t>Расходные материалы — за квартал</t>
        </is>
      </c>
      <c r="F250" s="3" t="inlineStr">
        <is>
          <t>Объем закупок РМ</t>
        </is>
      </c>
      <c r="G250" s="4" t="n">
        <v>2</v>
      </c>
      <c r="H250" s="4" t="n"/>
      <c r="I250" s="3" t="inlineStr">
        <is>
          <t>225 и более</t>
        </is>
      </c>
      <c r="J250" s="4" t="n">
        <v>6</v>
      </c>
      <c r="K250" s="4" t="n"/>
      <c r="L250" s="4" t="n"/>
      <c r="M250" s="8" t="n">
        <v>0.05</v>
      </c>
      <c r="N250" s="4" t="inlineStr">
        <is>
          <t>%</t>
        </is>
      </c>
      <c r="O250" s="3" t="inlineStr">
        <is>
          <t>КСП</t>
        </is>
      </c>
      <c r="P250" s="3" t="inlineStr">
        <is>
          <t>J21</t>
        </is>
      </c>
      <c t="str" r="Q250" s="6">
        <f>A250&amp;"|"&amp;C250&amp;"|"&amp;D250&amp;"|"&amp;G250</f>
        <v>КСП (КОМПО-СП)|Шкала|Расходные материалы|2</v>
      </c>
      <c t="str" r="R250" s="6">
        <f>A250&amp;"|"&amp;C250&amp;"|"&amp;D250&amp;"|"&amp;J250</f>
        <v>КСП (КОМПО-СП)|Шкала|Расходные материалы|6</v>
      </c>
      <c t="str" r="S250" s="6">
        <f>A250&amp;"|"&amp;C250&amp;"|"&amp;D250&amp;"|"&amp;G250&amp;"|"&amp;J250</f>
        <v>КСП (КОМПО-СП)|Шкала|Расходные материалы|2|6</v>
      </c>
      <c t="str" r="T250" s="6">
        <f>A250&amp;"|"&amp;C250&amp;"|"&amp;G250</f>
        <v>КСП (КОМПО-СП)|Шкала|2</v>
      </c>
      <c t="str" r="U250" s="6">
        <f>IF(H250="да",A250&amp;"|"&amp;C250&amp;"|"&amp;D250&amp;"|"&amp;J250,"")</f>
        <v/>
      </c>
      <c t="str" r="V250" s="6">
        <f>IF(C250="План",A250&amp;"|"&amp;J250,"")</f>
        <v/>
      </c>
    </row>
    <row r="251">
      <c r="A251" s="3" t="inlineStr">
        <is>
          <t>КСП (КОМПО-СП)</t>
        </is>
      </c>
      <c r="B251" s="3" t="inlineStr">
        <is>
          <t>РФ</t>
        </is>
      </c>
      <c r="C251" s="3" t="inlineStr">
        <is>
          <t>Шкала</t>
        </is>
      </c>
      <c r="D251" s="3" t="inlineStr">
        <is>
          <t>Сервис (ЗЧ)</t>
        </is>
      </c>
      <c r="E251" s="3" t="inlineStr">
        <is>
          <t>Сервис (ЗЧ) — расчёт по парку оборудования</t>
        </is>
      </c>
      <c r="F251" s="3" t="inlineStr">
        <is>
          <t>Скидка по сервису</t>
        </is>
      </c>
      <c r="G251" s="4" t="n">
        <v>1</v>
      </c>
      <c r="H251" s="4" t="inlineStr">
        <is>
          <t>да</t>
        </is>
      </c>
      <c r="I251" s="3" t="inlineStr">
        <is>
          <t>0–500</t>
        </is>
      </c>
      <c r="J251" s="4" t="n">
        <v>1</v>
      </c>
      <c r="K251" s="4" t="n">
        <v>0</v>
      </c>
      <c r="L251" s="4" t="n">
        <v>500</v>
      </c>
      <c r="M251" s="8" t="n">
        <v>0.19</v>
      </c>
      <c r="N251" s="4" t="inlineStr">
        <is>
          <t>%</t>
        </is>
      </c>
      <c r="O251" s="3" t="inlineStr">
        <is>
          <t>КСП</t>
        </is>
      </c>
      <c r="P251" s="3" t="inlineStr">
        <is>
          <t>F26</t>
        </is>
      </c>
      <c t="str" r="Q251" s="6">
        <f>A251&amp;"|"&amp;C251&amp;"|"&amp;D251&amp;"|"&amp;G251</f>
        <v>КСП (КОМПО-СП)|Шкала|Сервис (ЗЧ)|1</v>
      </c>
      <c t="str" r="R251" s="6">
        <f>A251&amp;"|"&amp;C251&amp;"|"&amp;D251&amp;"|"&amp;J251</f>
        <v>КСП (КОМПО-СП)|Шкала|Сервис (ЗЧ)|1</v>
      </c>
      <c t="str" r="S251" s="6">
        <f>A251&amp;"|"&amp;C251&amp;"|"&amp;D251&amp;"|"&amp;G251&amp;"|"&amp;J251</f>
        <v>КСП (КОМПО-СП)|Шкала|Сервис (ЗЧ)|1|1</v>
      </c>
      <c t="str" r="T251" s="6">
        <f>A251&amp;"|"&amp;C251&amp;"|"&amp;G251</f>
        <v>КСП (КОМПО-СП)|Шкала|1</v>
      </c>
      <c t="str" r="U251" s="6">
        <f>IF(H251="да",A251&amp;"|"&amp;C251&amp;"|"&amp;D251&amp;"|"&amp;J251,"")</f>
        <v>КСП (КОМПО-СП)|Шкала|Сервис (ЗЧ)|1</v>
      </c>
      <c t="str" r="V251" s="6">
        <f>IF(C251="План",A251&amp;"|"&amp;J251,"")</f>
        <v/>
      </c>
    </row>
    <row r="252">
      <c r="A252" s="3" t="inlineStr">
        <is>
          <t>КСП (КОМПО-СП)</t>
        </is>
      </c>
      <c r="B252" s="3" t="inlineStr">
        <is>
          <t>РФ</t>
        </is>
      </c>
      <c r="C252" s="3" t="inlineStr">
        <is>
          <t>Шкала</t>
        </is>
      </c>
      <c r="D252" s="3" t="inlineStr">
        <is>
          <t>Сервис (ЗЧ)</t>
        </is>
      </c>
      <c r="E252" s="3" t="inlineStr">
        <is>
          <t>Сервис (ЗЧ) — расчёт по парку оборудования</t>
        </is>
      </c>
      <c r="F252" s="3" t="inlineStr">
        <is>
          <t>Скидка по сервису</t>
        </is>
      </c>
      <c r="G252" s="4" t="n">
        <v>1</v>
      </c>
      <c r="H252" s="4" t="inlineStr">
        <is>
          <t>да</t>
        </is>
      </c>
      <c r="I252" s="3" t="inlineStr">
        <is>
          <t>501–1000</t>
        </is>
      </c>
      <c r="J252" s="4" t="n">
        <v>2</v>
      </c>
      <c r="K252" s="4" t="n">
        <v>501</v>
      </c>
      <c r="L252" s="4" t="n">
        <v>1000</v>
      </c>
      <c r="M252" s="8" t="n">
        <v>0.21</v>
      </c>
      <c r="N252" s="4" t="inlineStr">
        <is>
          <t>%</t>
        </is>
      </c>
      <c r="O252" s="3" t="inlineStr">
        <is>
          <t>КСП</t>
        </is>
      </c>
      <c r="P252" s="3" t="inlineStr">
        <is>
          <t>F27</t>
        </is>
      </c>
      <c t="str" r="Q252" s="6">
        <f>A252&amp;"|"&amp;C252&amp;"|"&amp;D252&amp;"|"&amp;G252</f>
        <v>КСП (КОМПО-СП)|Шкала|Сервис (ЗЧ)|1</v>
      </c>
      <c t="str" r="R252" s="6">
        <f>A252&amp;"|"&amp;C252&amp;"|"&amp;D252&amp;"|"&amp;J252</f>
        <v>КСП (КОМПО-СП)|Шкала|Сервис (ЗЧ)|2</v>
      </c>
      <c t="str" r="S252" s="6">
        <f>A252&amp;"|"&amp;C252&amp;"|"&amp;D252&amp;"|"&amp;G252&amp;"|"&amp;J252</f>
        <v>КСП (КОМПО-СП)|Шкала|Сервис (ЗЧ)|1|2</v>
      </c>
      <c t="str" r="T252" s="6">
        <f>A252&amp;"|"&amp;C252&amp;"|"&amp;G252</f>
        <v>КСП (КОМПО-СП)|Шкала|1</v>
      </c>
      <c t="str" r="U252" s="6">
        <f>IF(H252="да",A252&amp;"|"&amp;C252&amp;"|"&amp;D252&amp;"|"&amp;J252,"")</f>
        <v>КСП (КОМПО-СП)|Шкала|Сервис (ЗЧ)|2</v>
      </c>
      <c t="str" r="V252" s="6">
        <f>IF(C252="План",A252&amp;"|"&amp;J252,"")</f>
        <v/>
      </c>
    </row>
    <row r="253">
      <c r="A253" s="3" t="inlineStr">
        <is>
          <t>КСП (КОМПО-СП)</t>
        </is>
      </c>
      <c r="B253" s="3" t="inlineStr">
        <is>
          <t>РФ</t>
        </is>
      </c>
      <c r="C253" s="3" t="inlineStr">
        <is>
          <t>Шкала</t>
        </is>
      </c>
      <c r="D253" s="3" t="inlineStr">
        <is>
          <t>Сервис (ЗЧ)</t>
        </is>
      </c>
      <c r="E253" s="3" t="inlineStr">
        <is>
          <t>Сервис (ЗЧ) — расчёт по парку оборудования</t>
        </is>
      </c>
      <c r="F253" s="3" t="inlineStr">
        <is>
          <t>Скидка по сервису</t>
        </is>
      </c>
      <c r="G253" s="4" t="n">
        <v>1</v>
      </c>
      <c r="H253" s="4" t="inlineStr">
        <is>
          <t>да</t>
        </is>
      </c>
      <c r="I253" s="3" t="inlineStr">
        <is>
          <t>1001–1800</t>
        </is>
      </c>
      <c r="J253" s="4" t="n">
        <v>3</v>
      </c>
      <c r="K253" s="4" t="n">
        <v>1001</v>
      </c>
      <c r="L253" s="4" t="n">
        <v>1800</v>
      </c>
      <c r="M253" s="8" t="n">
        <v>0.23</v>
      </c>
      <c r="N253" s="4" t="inlineStr">
        <is>
          <t>%</t>
        </is>
      </c>
      <c r="O253" s="3" t="inlineStr">
        <is>
          <t>КСП</t>
        </is>
      </c>
      <c r="P253" s="3" t="inlineStr">
        <is>
          <t>F28</t>
        </is>
      </c>
      <c t="str" r="Q253" s="6">
        <f>A253&amp;"|"&amp;C253&amp;"|"&amp;D253&amp;"|"&amp;G253</f>
        <v>КСП (КОМПО-СП)|Шкала|Сервис (ЗЧ)|1</v>
      </c>
      <c t="str" r="R253" s="6">
        <f>A253&amp;"|"&amp;C253&amp;"|"&amp;D253&amp;"|"&amp;J253</f>
        <v>КСП (КОМПО-СП)|Шкала|Сервис (ЗЧ)|3</v>
      </c>
      <c t="str" r="S253" s="6">
        <f>A253&amp;"|"&amp;C253&amp;"|"&amp;D253&amp;"|"&amp;G253&amp;"|"&amp;J253</f>
        <v>КСП (КОМПО-СП)|Шкала|Сервис (ЗЧ)|1|3</v>
      </c>
      <c t="str" r="T253" s="6">
        <f>A253&amp;"|"&amp;C253&amp;"|"&amp;G253</f>
        <v>КСП (КОМПО-СП)|Шкала|1</v>
      </c>
      <c t="str" r="U253" s="6">
        <f>IF(H253="да",A253&amp;"|"&amp;C253&amp;"|"&amp;D253&amp;"|"&amp;J253,"")</f>
        <v>КСП (КОМПО-СП)|Шкала|Сервис (ЗЧ)|3</v>
      </c>
      <c t="str" r="V253" s="6">
        <f>IF(C253="План",A253&amp;"|"&amp;J253,"")</f>
        <v/>
      </c>
    </row>
    <row r="254">
      <c r="A254" s="3" t="inlineStr">
        <is>
          <t>КСП (КОМПО-СП)</t>
        </is>
      </c>
      <c r="B254" s="3" t="inlineStr">
        <is>
          <t>РФ</t>
        </is>
      </c>
      <c r="C254" s="3" t="inlineStr">
        <is>
          <t>Шкала</t>
        </is>
      </c>
      <c r="D254" s="3" t="inlineStr">
        <is>
          <t>Сервис (ЗЧ)</t>
        </is>
      </c>
      <c r="E254" s="3" t="inlineStr">
        <is>
          <t>Сервис (ЗЧ) — расчёт по парку оборудования</t>
        </is>
      </c>
      <c r="F254" s="3" t="inlineStr">
        <is>
          <t>Скидка по сервису</t>
        </is>
      </c>
      <c r="G254" s="4" t="n">
        <v>1</v>
      </c>
      <c r="H254" s="4" t="inlineStr">
        <is>
          <t>да</t>
        </is>
      </c>
      <c r="I254" s="3" t="inlineStr">
        <is>
          <t>1801–2400</t>
        </is>
      </c>
      <c r="J254" s="4" t="n">
        <v>4</v>
      </c>
      <c r="K254" s="4" t="n">
        <v>1801</v>
      </c>
      <c r="L254" s="4" t="n">
        <v>2400</v>
      </c>
      <c r="M254" s="8" t="n">
        <v>0.25</v>
      </c>
      <c r="N254" s="4" t="inlineStr">
        <is>
          <t>%</t>
        </is>
      </c>
      <c r="O254" s="3" t="inlineStr">
        <is>
          <t>КСП</t>
        </is>
      </c>
      <c r="P254" s="3" t="inlineStr">
        <is>
          <t>F29</t>
        </is>
      </c>
      <c t="str" r="Q254" s="6">
        <f>A254&amp;"|"&amp;C254&amp;"|"&amp;D254&amp;"|"&amp;G254</f>
        <v>КСП (КОМПО-СП)|Шкала|Сервис (ЗЧ)|1</v>
      </c>
      <c t="str" r="R254" s="6">
        <f>A254&amp;"|"&amp;C254&amp;"|"&amp;D254&amp;"|"&amp;J254</f>
        <v>КСП (КОМПО-СП)|Шкала|Сервис (ЗЧ)|4</v>
      </c>
      <c t="str" r="S254" s="6">
        <f>A254&amp;"|"&amp;C254&amp;"|"&amp;D254&amp;"|"&amp;G254&amp;"|"&amp;J254</f>
        <v>КСП (КОМПО-СП)|Шкала|Сервис (ЗЧ)|1|4</v>
      </c>
      <c t="str" r="T254" s="6">
        <f>A254&amp;"|"&amp;C254&amp;"|"&amp;G254</f>
        <v>КСП (КОМПО-СП)|Шкала|1</v>
      </c>
      <c t="str" r="U254" s="6">
        <f>IF(H254="да",A254&amp;"|"&amp;C254&amp;"|"&amp;D254&amp;"|"&amp;J254,"")</f>
        <v>КСП (КОМПО-СП)|Шкала|Сервис (ЗЧ)|4</v>
      </c>
      <c t="str" r="V254" s="6">
        <f>IF(C254="План",A254&amp;"|"&amp;J254,"")</f>
        <v/>
      </c>
    </row>
    <row r="255">
      <c r="A255" s="3" t="inlineStr">
        <is>
          <t>КСП (КОМПО-СП)</t>
        </is>
      </c>
      <c r="B255" s="3" t="inlineStr">
        <is>
          <t>РФ</t>
        </is>
      </c>
      <c r="C255" s="3" t="inlineStr">
        <is>
          <t>Шкала</t>
        </is>
      </c>
      <c r="D255" s="3" t="inlineStr">
        <is>
          <t>Сервис (ЗЧ)</t>
        </is>
      </c>
      <c r="E255" s="3" t="inlineStr">
        <is>
          <t>Сервис (ЗЧ) — расчёт по парку оборудования</t>
        </is>
      </c>
      <c r="F255" s="3" t="inlineStr">
        <is>
          <t>Скидка по сервису</t>
        </is>
      </c>
      <c r="G255" s="4" t="n">
        <v>1</v>
      </c>
      <c r="H255" s="4" t="inlineStr">
        <is>
          <t>да</t>
        </is>
      </c>
      <c r="I255" s="3" t="inlineStr">
        <is>
          <t>2401–3000</t>
        </is>
      </c>
      <c r="J255" s="4" t="n">
        <v>5</v>
      </c>
      <c r="K255" s="4" t="n">
        <v>2401</v>
      </c>
      <c r="L255" s="4" t="n">
        <v>3000</v>
      </c>
      <c r="M255" s="8" t="n">
        <v>0.27</v>
      </c>
      <c r="N255" s="4" t="inlineStr">
        <is>
          <t>%</t>
        </is>
      </c>
      <c r="O255" s="3" t="inlineStr">
        <is>
          <t>КСП</t>
        </is>
      </c>
      <c r="P255" s="3" t="inlineStr">
        <is>
          <t>F30</t>
        </is>
      </c>
      <c t="str" r="Q255" s="6">
        <f>A255&amp;"|"&amp;C255&amp;"|"&amp;D255&amp;"|"&amp;G255</f>
        <v>КСП (КОМПО-СП)|Шкала|Сервис (ЗЧ)|1</v>
      </c>
      <c t="str" r="R255" s="6">
        <f>A255&amp;"|"&amp;C255&amp;"|"&amp;D255&amp;"|"&amp;J255</f>
        <v>КСП (КОМПО-СП)|Шкала|Сервис (ЗЧ)|5</v>
      </c>
      <c t="str" r="S255" s="6">
        <f>A255&amp;"|"&amp;C255&amp;"|"&amp;D255&amp;"|"&amp;G255&amp;"|"&amp;J255</f>
        <v>КСП (КОМПО-СП)|Шкала|Сервис (ЗЧ)|1|5</v>
      </c>
      <c t="str" r="T255" s="6">
        <f>A255&amp;"|"&amp;C255&amp;"|"&amp;G255</f>
        <v>КСП (КОМПО-СП)|Шкала|1</v>
      </c>
      <c t="str" r="U255" s="6">
        <f>IF(H255="да",A255&amp;"|"&amp;C255&amp;"|"&amp;D255&amp;"|"&amp;J255,"")</f>
        <v>КСП (КОМПО-СП)|Шкала|Сервис (ЗЧ)|5</v>
      </c>
      <c t="str" r="V255" s="6">
        <f>IF(C255="План",A255&amp;"|"&amp;J255,"")</f>
        <v/>
      </c>
    </row>
    <row r="256">
      <c r="A256" s="3" t="inlineStr">
        <is>
          <t>КСП (КОМПО-СП)</t>
        </is>
      </c>
      <c r="B256" s="3" t="inlineStr">
        <is>
          <t>РФ</t>
        </is>
      </c>
      <c r="C256" s="3" t="inlineStr">
        <is>
          <t>Шкала</t>
        </is>
      </c>
      <c r="D256" s="3" t="inlineStr">
        <is>
          <t>Сервис (ЗЧ)</t>
        </is>
      </c>
      <c r="E256" s="3" t="inlineStr">
        <is>
          <t>Сервис (ЗЧ) — расчёт по парку оборудования</t>
        </is>
      </c>
      <c r="F256" s="3" t="inlineStr">
        <is>
          <t>Скидка по сервису</t>
        </is>
      </c>
      <c r="G256" s="4" t="n">
        <v>1</v>
      </c>
      <c r="H256" s="4" t="inlineStr">
        <is>
          <t>да</t>
        </is>
      </c>
      <c r="I256" s="3" t="inlineStr">
        <is>
          <t>3001+</t>
        </is>
      </c>
      <c r="J256" s="4" t="n">
        <v>6</v>
      </c>
      <c r="K256" s="4" t="n">
        <v>3001</v>
      </c>
      <c r="L256" s="4" t="n"/>
      <c r="M256" s="8" t="n">
        <v>0.3</v>
      </c>
      <c r="N256" s="4" t="inlineStr">
        <is>
          <t>%</t>
        </is>
      </c>
      <c r="O256" s="3" t="inlineStr">
        <is>
          <t>КСП</t>
        </is>
      </c>
      <c r="P256" s="3" t="inlineStr">
        <is>
          <t>F31</t>
        </is>
      </c>
      <c t="str" r="Q256" s="6">
        <f>A256&amp;"|"&amp;C256&amp;"|"&amp;D256&amp;"|"&amp;G256</f>
        <v>КСП (КОМПО-СП)|Шкала|Сервис (ЗЧ)|1</v>
      </c>
      <c t="str" r="R256" s="6">
        <f>A256&amp;"|"&amp;C256&amp;"|"&amp;D256&amp;"|"&amp;J256</f>
        <v>КСП (КОМПО-СП)|Шкала|Сервис (ЗЧ)|6</v>
      </c>
      <c t="str" r="S256" s="6">
        <f>A256&amp;"|"&amp;C256&amp;"|"&amp;D256&amp;"|"&amp;G256&amp;"|"&amp;J256</f>
        <v>КСП (КОМПО-СП)|Шкала|Сервис (ЗЧ)|1|6</v>
      </c>
      <c t="str" r="T256" s="6">
        <f>A256&amp;"|"&amp;C256&amp;"|"&amp;G256</f>
        <v>КСП (КОМПО-СП)|Шкала|1</v>
      </c>
      <c t="str" r="U256" s="6">
        <f>IF(H256="да",A256&amp;"|"&amp;C256&amp;"|"&amp;D256&amp;"|"&amp;J256,"")</f>
        <v>КСП (КОМПО-СП)|Шкала|Сервис (ЗЧ)|6</v>
      </c>
      <c t="str" r="V256" s="6">
        <f>IF(C256="План",A256&amp;"|"&amp;J256,"")</f>
        <v/>
      </c>
    </row>
    <row r="257">
      <c r="A257" s="3" t="inlineStr">
        <is>
          <t>Богатовъ Торговый Дом, Челябинск</t>
        </is>
      </c>
      <c r="B257" s="3" t="inlineStr">
        <is>
          <t>РФ</t>
        </is>
      </c>
      <c r="C257" s="3" t="inlineStr">
        <is>
          <t>План</t>
        </is>
      </c>
      <c r="D257" s="3" t="inlineStr">
        <is>
          <t>Итого по дилеру</t>
        </is>
      </c>
      <c r="E257" s="3" t="inlineStr">
        <is>
          <t>План и бонусы</t>
        </is>
      </c>
      <c r="F257" s="3" t="inlineStr">
        <is>
          <t>Выручка 2024</t>
        </is>
      </c>
      <c r="G257" s="4" t="n">
        <v>1</v>
      </c>
      <c r="H257" s="4" t="n"/>
      <c r="I257" s="3" t="n"/>
      <c r="J257" s="4" t="n">
        <v>1</v>
      </c>
      <c r="K257" s="4" t="n"/>
      <c r="L257" s="4" t="n"/>
      <c r="M257" s="5" t="n">
        <v>1806489</v>
      </c>
      <c r="N257" s="4" t="inlineStr">
        <is>
          <t>EUR</t>
        </is>
      </c>
      <c r="O257" s="3" t="inlineStr">
        <is>
          <t>Богатовъ Торговый Дом, Челябинс</t>
        </is>
      </c>
      <c r="P257" s="3" t="inlineStr">
        <is>
          <t>D4</t>
        </is>
      </c>
      <c t="str" r="Q257" s="6">
        <f>A257&amp;"|"&amp;C257&amp;"|"&amp;D257&amp;"|"&amp;G257</f>
        <v>Богатовъ Торговый Дом, Челябинск|План|Итого по дилеру|1</v>
      </c>
      <c t="str" r="R257" s="6">
        <f>A257&amp;"|"&amp;C257&amp;"|"&amp;D257&amp;"|"&amp;J257</f>
        <v>Богатовъ Торговый Дом, Челябинск|План|Итого по дилеру|1</v>
      </c>
      <c t="str" r="S257" s="6">
        <f>A257&amp;"|"&amp;C257&amp;"|"&amp;D257&amp;"|"&amp;G257&amp;"|"&amp;J257</f>
        <v>Богатовъ Торговый Дом, Челябинск|План|Итого по дилеру|1|1</v>
      </c>
      <c t="str" r="T257" s="6">
        <f>A257&amp;"|"&amp;C257&amp;"|"&amp;G257</f>
        <v>Богатовъ Торговый Дом, Челябинск|План|1</v>
      </c>
      <c t="str" r="U257" s="6">
        <f>IF(H257="да",A257&amp;"|"&amp;C257&amp;"|"&amp;D257&amp;"|"&amp;J257,"")</f>
        <v/>
      </c>
      <c t="str" r="V257" s="6">
        <f>IF(C257="План",A257&amp;"|"&amp;J257,"")</f>
        <v>Богатовъ Торговый Дом, Челябинск|1</v>
      </c>
    </row>
    <row r="258">
      <c r="A258" s="3" t="inlineStr">
        <is>
          <t>Богатовъ Торговый Дом, Челябинск</t>
        </is>
      </c>
      <c r="B258" s="3" t="inlineStr">
        <is>
          <t>РФ</t>
        </is>
      </c>
      <c r="C258" s="3" t="inlineStr">
        <is>
          <t>План</t>
        </is>
      </c>
      <c r="D258" s="3" t="inlineStr">
        <is>
          <t>Итого по дилеру</t>
        </is>
      </c>
      <c r="E258" s="3" t="inlineStr">
        <is>
          <t>План и бонусы</t>
        </is>
      </c>
      <c r="F258" s="3" t="inlineStr">
        <is>
          <t>Выручка 2025</t>
        </is>
      </c>
      <c r="G258" s="4" t="n">
        <v>1</v>
      </c>
      <c r="H258" s="4" t="n"/>
      <c r="I258" s="3" t="n"/>
      <c r="J258" s="4" t="n">
        <v>2</v>
      </c>
      <c r="K258" s="4" t="n"/>
      <c r="L258" s="4" t="n"/>
      <c r="M258" s="5" t="n">
        <v>1356918</v>
      </c>
      <c r="N258" s="4" t="inlineStr">
        <is>
          <t>EUR</t>
        </is>
      </c>
      <c r="O258" s="3" t="inlineStr">
        <is>
          <t>Богатовъ Торговый Дом, Челябинс</t>
        </is>
      </c>
      <c r="P258" s="3" t="inlineStr">
        <is>
          <t>E4</t>
        </is>
      </c>
      <c t="str" r="Q258" s="6">
        <f>A258&amp;"|"&amp;C258&amp;"|"&amp;D258&amp;"|"&amp;G258</f>
        <v>Богатовъ Торговый Дом, Челябинск|План|Итого по дилеру|1</v>
      </c>
      <c t="str" r="R258" s="6">
        <f>A258&amp;"|"&amp;C258&amp;"|"&amp;D258&amp;"|"&amp;J258</f>
        <v>Богатовъ Торговый Дом, Челябинск|План|Итого по дилеру|2</v>
      </c>
      <c t="str" r="S258" s="6">
        <f>A258&amp;"|"&amp;C258&amp;"|"&amp;D258&amp;"|"&amp;G258&amp;"|"&amp;J258</f>
        <v>Богатовъ Торговый Дом, Челябинск|План|Итого по дилеру|1|2</v>
      </c>
      <c t="str" r="T258" s="6">
        <f>A258&amp;"|"&amp;C258&amp;"|"&amp;G258</f>
        <v>Богатовъ Торговый Дом, Челябинск|План|1</v>
      </c>
      <c t="str" r="U258" s="6">
        <f>IF(H258="да",A258&amp;"|"&amp;C258&amp;"|"&amp;D258&amp;"|"&amp;J258,"")</f>
        <v/>
      </c>
      <c t="str" r="V258" s="6">
        <f>IF(C258="План",A258&amp;"|"&amp;J258,"")</f>
        <v>Богатовъ Торговый Дом, Челябинск|2</v>
      </c>
    </row>
    <row r="259">
      <c r="A259" s="3" t="inlineStr">
        <is>
          <t>Богатовъ Торговый Дом, Челябинск</t>
        </is>
      </c>
      <c r="B259" s="3" t="inlineStr">
        <is>
          <t>РФ</t>
        </is>
      </c>
      <c r="C259" s="3" t="inlineStr">
        <is>
          <t>План</t>
        </is>
      </c>
      <c r="D259" s="3" t="inlineStr">
        <is>
          <t>Итого по дилеру</t>
        </is>
      </c>
      <c r="E259" s="3" t="inlineStr">
        <is>
          <t>План и бонусы</t>
        </is>
      </c>
      <c r="F259" s="3" t="inlineStr">
        <is>
          <t>План 2026</t>
        </is>
      </c>
      <c r="G259" s="4" t="n">
        <v>1</v>
      </c>
      <c r="H259" s="4" t="n"/>
      <c r="I259" s="3" t="n"/>
      <c r="J259" s="4" t="n">
        <v>3</v>
      </c>
      <c r="K259" s="4" t="n"/>
      <c r="L259" s="4" t="n"/>
      <c r="M259" s="5" t="n">
        <v>1650000</v>
      </c>
      <c r="N259" s="4" t="inlineStr">
        <is>
          <t>EUR</t>
        </is>
      </c>
      <c r="O259" s="3" t="inlineStr">
        <is>
          <t>Богатовъ Торговый Дом, Челябинс</t>
        </is>
      </c>
      <c r="P259" s="3" t="inlineStr">
        <is>
          <t>F4</t>
        </is>
      </c>
      <c t="str" r="Q259" s="6">
        <f>A259&amp;"|"&amp;C259&amp;"|"&amp;D259&amp;"|"&amp;G259</f>
        <v>Богатовъ Торговый Дом, Челябинск|План|Итого по дилеру|1</v>
      </c>
      <c t="str" r="R259" s="6">
        <f>A259&amp;"|"&amp;C259&amp;"|"&amp;D259&amp;"|"&amp;J259</f>
        <v>Богатовъ Торговый Дом, Челябинск|План|Итого по дилеру|3</v>
      </c>
      <c t="str" r="S259" s="6">
        <f>A259&amp;"|"&amp;C259&amp;"|"&amp;D259&amp;"|"&amp;G259&amp;"|"&amp;J259</f>
        <v>Богатовъ Торговый Дом, Челябинск|План|Итого по дилеру|1|3</v>
      </c>
      <c t="str" r="T259" s="6">
        <f>A259&amp;"|"&amp;C259&amp;"|"&amp;G259</f>
        <v>Богатовъ Торговый Дом, Челябинск|План|1</v>
      </c>
      <c t="str" r="U259" s="6">
        <f>IF(H259="да",A259&amp;"|"&amp;C259&amp;"|"&amp;D259&amp;"|"&amp;J259,"")</f>
        <v/>
      </c>
      <c t="str" r="V259" s="6">
        <f>IF(C259="План",A259&amp;"|"&amp;J259,"")</f>
        <v>Богатовъ Торговый Дом, Челябинск|3</v>
      </c>
    </row>
    <row r="260">
      <c r="A260" s="3" t="inlineStr">
        <is>
          <t>Богатовъ Торговый Дом, Челябинск</t>
        </is>
      </c>
      <c r="B260" s="3" t="inlineStr">
        <is>
          <t>РФ</t>
        </is>
      </c>
      <c r="C260" s="3" t="inlineStr">
        <is>
          <t>План</t>
        </is>
      </c>
      <c r="D260" s="3" t="inlineStr">
        <is>
          <t>Итого по дилеру</t>
        </is>
      </c>
      <c r="E260" s="3" t="inlineStr">
        <is>
          <t>План и бонусы</t>
        </is>
      </c>
      <c r="F260" s="3" t="inlineStr">
        <is>
          <t>Прирост П/Ф</t>
        </is>
      </c>
      <c r="G260" s="4" t="n">
        <v>1</v>
      </c>
      <c r="H260" s="4" t="n"/>
      <c r="I260" s="3" t="n"/>
      <c r="J260" s="4" t="n">
        <v>4</v>
      </c>
      <c r="K260" s="4" t="n"/>
      <c r="L260" s="4" t="n"/>
      <c r="M260" s="7" t="n">
        <v>0.2159909441838048</v>
      </c>
      <c r="N260" s="4" t="inlineStr">
        <is>
          <t>%</t>
        </is>
      </c>
      <c r="O260" s="3" t="inlineStr">
        <is>
          <t>Богатовъ Торговый Дом, Челябинс</t>
        </is>
      </c>
      <c r="P260" s="3" t="inlineStr">
        <is>
          <t>G4</t>
        </is>
      </c>
      <c t="str" r="Q260" s="6">
        <f>A260&amp;"|"&amp;C260&amp;"|"&amp;D260&amp;"|"&amp;G260</f>
        <v>Богатовъ Торговый Дом, Челябинск|План|Итого по дилеру|1</v>
      </c>
      <c t="str" r="R260" s="6">
        <f>A260&amp;"|"&amp;C260&amp;"|"&amp;D260&amp;"|"&amp;J260</f>
        <v>Богатовъ Торговый Дом, Челябинск|План|Итого по дилеру|4</v>
      </c>
      <c t="str" r="S260" s="6">
        <f>A260&amp;"|"&amp;C260&amp;"|"&amp;D260&amp;"|"&amp;G260&amp;"|"&amp;J260</f>
        <v>Богатовъ Торговый Дом, Челябинск|План|Итого по дилеру|1|4</v>
      </c>
      <c t="str" r="T260" s="6">
        <f>A260&amp;"|"&amp;C260&amp;"|"&amp;G260</f>
        <v>Богатовъ Торговый Дом, Челябинск|План|1</v>
      </c>
      <c t="str" r="U260" s="6">
        <f>IF(H260="да",A260&amp;"|"&amp;C260&amp;"|"&amp;D260&amp;"|"&amp;J260,"")</f>
        <v/>
      </c>
      <c t="str" r="V260" s="6">
        <f>IF(C260="План",A260&amp;"|"&amp;J260,"")</f>
        <v>Богатовъ Торговый Дом, Челябинск|4</v>
      </c>
    </row>
    <row r="261">
      <c r="A261" s="3" t="inlineStr">
        <is>
          <t>Богатовъ Торговый Дом, Челябинск</t>
        </is>
      </c>
      <c r="B261" s="3" t="inlineStr">
        <is>
          <t>РФ</t>
        </is>
      </c>
      <c r="C261" s="3" t="inlineStr">
        <is>
          <t>План</t>
        </is>
      </c>
      <c r="D261" s="3" t="inlineStr">
        <is>
          <t>Сервис</t>
        </is>
      </c>
      <c r="E261" s="3" t="inlineStr">
        <is>
          <t>План и бонусы</t>
        </is>
      </c>
      <c r="F261" s="3" t="inlineStr">
        <is>
          <t>Выручка 2024</t>
        </is>
      </c>
      <c r="G261" s="4" t="n">
        <v>2</v>
      </c>
      <c r="H261" s="4" t="n"/>
      <c r="I261" s="3" t="n"/>
      <c r="J261" s="4" t="n">
        <v>1</v>
      </c>
      <c r="K261" s="4" t="n"/>
      <c r="L261" s="4" t="n"/>
      <c r="M261" s="5" t="n">
        <v>83794</v>
      </c>
      <c r="N261" s="4" t="inlineStr">
        <is>
          <t>EUR</t>
        </is>
      </c>
      <c r="O261" s="3" t="inlineStr">
        <is>
          <t>Богатовъ Торговый Дом, Челябинс</t>
        </is>
      </c>
      <c r="P261" s="3" t="inlineStr">
        <is>
          <t>D5</t>
        </is>
      </c>
      <c t="str" r="Q261" s="6">
        <f>A261&amp;"|"&amp;C261&amp;"|"&amp;D261&amp;"|"&amp;G261</f>
        <v>Богатовъ Торговый Дом, Челябинск|План|Сервис|2</v>
      </c>
      <c t="str" r="R261" s="6">
        <f>A261&amp;"|"&amp;C261&amp;"|"&amp;D261&amp;"|"&amp;J261</f>
        <v>Богатовъ Торговый Дом, Челябинск|План|Сервис|1</v>
      </c>
      <c t="str" r="S261" s="6">
        <f>A261&amp;"|"&amp;C261&amp;"|"&amp;D261&amp;"|"&amp;G261&amp;"|"&amp;J261</f>
        <v>Богатовъ Торговый Дом, Челябинск|План|Сервис|2|1</v>
      </c>
      <c t="str" r="T261" s="6">
        <f>A261&amp;"|"&amp;C261&amp;"|"&amp;G261</f>
        <v>Богатовъ Торговый Дом, Челябинск|План|2</v>
      </c>
      <c t="str" r="U261" s="6">
        <f>IF(H261="да",A261&amp;"|"&amp;C261&amp;"|"&amp;D261&amp;"|"&amp;J261,"")</f>
        <v/>
      </c>
      <c t="str" r="V261" s="6">
        <f>IF(C261="План",A261&amp;"|"&amp;J261,"")</f>
        <v>Богатовъ Торговый Дом, Челябинск|1</v>
      </c>
    </row>
    <row r="262">
      <c r="A262" s="3" t="inlineStr">
        <is>
          <t>Богатовъ Торговый Дом, Челябинск</t>
        </is>
      </c>
      <c r="B262" s="3" t="inlineStr">
        <is>
          <t>РФ</t>
        </is>
      </c>
      <c r="C262" s="3" t="inlineStr">
        <is>
          <t>План</t>
        </is>
      </c>
      <c r="D262" s="3" t="inlineStr">
        <is>
          <t>Сервис</t>
        </is>
      </c>
      <c r="E262" s="3" t="inlineStr">
        <is>
          <t>План и бонусы</t>
        </is>
      </c>
      <c r="F262" s="3" t="inlineStr">
        <is>
          <t>Выручка 2025</t>
        </is>
      </c>
      <c r="G262" s="4" t="n">
        <v>2</v>
      </c>
      <c r="H262" s="4" t="n"/>
      <c r="I262" s="3" t="n"/>
      <c r="J262" s="4" t="n">
        <v>2</v>
      </c>
      <c r="K262" s="4" t="n"/>
      <c r="L262" s="4" t="n"/>
      <c r="M262" s="5" t="n">
        <v>87213</v>
      </c>
      <c r="N262" s="4" t="inlineStr">
        <is>
          <t>EUR</t>
        </is>
      </c>
      <c r="O262" s="3" t="inlineStr">
        <is>
          <t>Богатовъ Торговый Дом, Челябинс</t>
        </is>
      </c>
      <c r="P262" s="3" t="inlineStr">
        <is>
          <t>E5</t>
        </is>
      </c>
      <c t="str" r="Q262" s="6">
        <f>A262&amp;"|"&amp;C262&amp;"|"&amp;D262&amp;"|"&amp;G262</f>
        <v>Богатовъ Торговый Дом, Челябинск|План|Сервис|2</v>
      </c>
      <c t="str" r="R262" s="6">
        <f>A262&amp;"|"&amp;C262&amp;"|"&amp;D262&amp;"|"&amp;J262</f>
        <v>Богатовъ Торговый Дом, Челябинск|План|Сервис|2</v>
      </c>
      <c t="str" r="S262" s="6">
        <f>A262&amp;"|"&amp;C262&amp;"|"&amp;D262&amp;"|"&amp;G262&amp;"|"&amp;J262</f>
        <v>Богатовъ Торговый Дом, Челябинск|План|Сервис|2|2</v>
      </c>
      <c t="str" r="T262" s="6">
        <f>A262&amp;"|"&amp;C262&amp;"|"&amp;G262</f>
        <v>Богатовъ Торговый Дом, Челябинск|План|2</v>
      </c>
      <c t="str" r="U262" s="6">
        <f>IF(H262="да",A262&amp;"|"&amp;C262&amp;"|"&amp;D262&amp;"|"&amp;J262,"")</f>
        <v/>
      </c>
      <c t="str" r="V262" s="6">
        <f>IF(C262="План",A262&amp;"|"&amp;J262,"")</f>
        <v>Богатовъ Торговый Дом, Челябинск|2</v>
      </c>
    </row>
    <row r="263">
      <c r="A263" s="3" t="inlineStr">
        <is>
          <t>Богатовъ Торговый Дом, Челябинск</t>
        </is>
      </c>
      <c r="B263" s="3" t="inlineStr">
        <is>
          <t>РФ</t>
        </is>
      </c>
      <c r="C263" s="3" t="inlineStr">
        <is>
          <t>План</t>
        </is>
      </c>
      <c r="D263" s="3" t="inlineStr">
        <is>
          <t>Сервис</t>
        </is>
      </c>
      <c r="E263" s="3" t="inlineStr">
        <is>
          <t>План и бонусы</t>
        </is>
      </c>
      <c r="F263" s="3" t="inlineStr">
        <is>
          <t>План 2026</t>
        </is>
      </c>
      <c r="G263" s="4" t="n">
        <v>2</v>
      </c>
      <c r="H263" s="4" t="n"/>
      <c r="I263" s="3" t="n"/>
      <c r="J263" s="4" t="n">
        <v>3</v>
      </c>
      <c r="K263" s="4" t="n"/>
      <c r="L263" s="4" t="n"/>
      <c r="M263" s="5" t="n">
        <v>100000</v>
      </c>
      <c r="N263" s="4" t="inlineStr">
        <is>
          <t>EUR</t>
        </is>
      </c>
      <c r="O263" s="3" t="inlineStr">
        <is>
          <t>Богатовъ Торговый Дом, Челябинс</t>
        </is>
      </c>
      <c r="P263" s="3" t="inlineStr">
        <is>
          <t>F5</t>
        </is>
      </c>
      <c t="str" r="Q263" s="6">
        <f>A263&amp;"|"&amp;C263&amp;"|"&amp;D263&amp;"|"&amp;G263</f>
        <v>Богатовъ Торговый Дом, Челябинск|План|Сервис|2</v>
      </c>
      <c t="str" r="R263" s="6">
        <f>A263&amp;"|"&amp;C263&amp;"|"&amp;D263&amp;"|"&amp;J263</f>
        <v>Богатовъ Торговый Дом, Челябинск|План|Сервис|3</v>
      </c>
      <c t="str" r="S263" s="6">
        <f>A263&amp;"|"&amp;C263&amp;"|"&amp;D263&amp;"|"&amp;G263&amp;"|"&amp;J263</f>
        <v>Богатовъ Торговый Дом, Челябинск|План|Сервис|2|3</v>
      </c>
      <c t="str" r="T263" s="6">
        <f>A263&amp;"|"&amp;C263&amp;"|"&amp;G263</f>
        <v>Богатовъ Торговый Дом, Челябинск|План|2</v>
      </c>
      <c t="str" r="U263" s="6">
        <f>IF(H263="да",A263&amp;"|"&amp;C263&amp;"|"&amp;D263&amp;"|"&amp;J263,"")</f>
        <v/>
      </c>
      <c t="str" r="V263" s="6">
        <f>IF(C263="План",A263&amp;"|"&amp;J263,"")</f>
        <v>Богатовъ Торговый Дом, Челябинск|3</v>
      </c>
    </row>
    <row r="264">
      <c r="A264" s="3" t="inlineStr">
        <is>
          <t>Богатовъ Торговый Дом, Челябинск</t>
        </is>
      </c>
      <c r="B264" s="3" t="inlineStr">
        <is>
          <t>РФ</t>
        </is>
      </c>
      <c r="C264" s="3" t="inlineStr">
        <is>
          <t>План</t>
        </is>
      </c>
      <c r="D264" s="3" t="inlineStr">
        <is>
          <t>Сервис</t>
        </is>
      </c>
      <c r="E264" s="3" t="inlineStr">
        <is>
          <t>План и бонусы</t>
        </is>
      </c>
      <c r="F264" s="3" t="inlineStr">
        <is>
          <t>Размер бонуса по итогам 2026 г</t>
        </is>
      </c>
      <c r="G264" s="4" t="n">
        <v>2</v>
      </c>
      <c r="H264" s="4" t="n"/>
      <c r="I264" s="3" t="n"/>
      <c r="J264" s="4" t="n">
        <v>5</v>
      </c>
      <c r="K264" s="4" t="n"/>
      <c r="L264" s="4" t="n"/>
      <c r="M264" s="7" t="n">
        <v>0.01</v>
      </c>
      <c r="N264" s="4" t="inlineStr">
        <is>
          <t>%</t>
        </is>
      </c>
      <c r="O264" s="3" t="inlineStr">
        <is>
          <t>Богатовъ Торговый Дом, Челябинс</t>
        </is>
      </c>
      <c r="P264" s="3" t="inlineStr">
        <is>
          <t>H5</t>
        </is>
      </c>
      <c t="str" r="Q264" s="6">
        <f>A264&amp;"|"&amp;C264&amp;"|"&amp;D264&amp;"|"&amp;G264</f>
        <v>Богатовъ Торговый Дом, Челябинск|План|Сервис|2</v>
      </c>
      <c t="str" r="R264" s="6">
        <f>A264&amp;"|"&amp;C264&amp;"|"&amp;D264&amp;"|"&amp;J264</f>
        <v>Богатовъ Торговый Дом, Челябинск|План|Сервис|5</v>
      </c>
      <c t="str" r="S264" s="6">
        <f>A264&amp;"|"&amp;C264&amp;"|"&amp;D264&amp;"|"&amp;G264&amp;"|"&amp;J264</f>
        <v>Богатовъ Торговый Дом, Челябинск|План|Сервис|2|5</v>
      </c>
      <c t="str" r="T264" s="6">
        <f>A264&amp;"|"&amp;C264&amp;"|"&amp;G264</f>
        <v>Богатовъ Торговый Дом, Челябинск|План|2</v>
      </c>
      <c t="str" r="U264" s="6">
        <f>IF(H264="да",A264&amp;"|"&amp;C264&amp;"|"&amp;D264&amp;"|"&amp;J264,"")</f>
        <v/>
      </c>
      <c t="str" r="V264" s="6">
        <f>IF(C264="План",A264&amp;"|"&amp;J264,"")</f>
        <v>Богатовъ Торговый Дом, Челябинск|5</v>
      </c>
    </row>
    <row r="265">
      <c r="A265" s="3" t="inlineStr">
        <is>
          <t>Богатовъ Торговый Дом, Челябинск</t>
        </is>
      </c>
      <c r="B265" s="3" t="inlineStr">
        <is>
          <t>РФ</t>
        </is>
      </c>
      <c r="C265" s="3" t="inlineStr">
        <is>
          <t>План</t>
        </is>
      </c>
      <c r="D265" s="3" t="inlineStr">
        <is>
          <t>Сервис</t>
        </is>
      </c>
      <c r="E265" s="3" t="inlineStr">
        <is>
          <t>План и бонусы</t>
        </is>
      </c>
      <c r="F265" s="3" t="inlineStr">
        <is>
          <t>Скидка в 1 кв. 2026 ф.г.*</t>
        </is>
      </c>
      <c r="G265" s="4" t="n">
        <v>2</v>
      </c>
      <c r="H265" s="4" t="n"/>
      <c r="I265" s="3" t="n"/>
      <c r="J265" s="4" t="n">
        <v>6</v>
      </c>
      <c r="K265" s="4" t="n"/>
      <c r="L265" s="4" t="n"/>
      <c r="M265" s="8" t="n">
        <v>0.21</v>
      </c>
      <c r="N265" s="4" t="inlineStr">
        <is>
          <t>%</t>
        </is>
      </c>
      <c r="O265" s="3" t="inlineStr">
        <is>
          <t>Богатовъ Торговый Дом, Челябинс</t>
        </is>
      </c>
      <c r="P265" s="3" t="inlineStr">
        <is>
          <t>I5</t>
        </is>
      </c>
      <c t="str" r="Q265" s="6">
        <f>A265&amp;"|"&amp;C265&amp;"|"&amp;D265&amp;"|"&amp;G265</f>
        <v>Богатовъ Торговый Дом, Челябинск|План|Сервис|2</v>
      </c>
      <c t="str" r="R265" s="6">
        <f>A265&amp;"|"&amp;C265&amp;"|"&amp;D265&amp;"|"&amp;J265</f>
        <v>Богатовъ Торговый Дом, Челябинск|План|Сервис|6</v>
      </c>
      <c t="str" r="S265" s="6">
        <f>A265&amp;"|"&amp;C265&amp;"|"&amp;D265&amp;"|"&amp;G265&amp;"|"&amp;J265</f>
        <v>Богатовъ Торговый Дом, Челябинск|План|Сервис|2|6</v>
      </c>
      <c t="str" r="T265" s="6">
        <f>A265&amp;"|"&amp;C265&amp;"|"&amp;G265</f>
        <v>Богатовъ Торговый Дом, Челябинск|План|2</v>
      </c>
      <c t="str" r="U265" s="6">
        <f>IF(H265="да",A265&amp;"|"&amp;C265&amp;"|"&amp;D265&amp;"|"&amp;J265,"")</f>
        <v/>
      </c>
      <c t="str" r="V265" s="6">
        <f>IF(C265="План",A265&amp;"|"&amp;J265,"")</f>
        <v>Богатовъ Торговый Дом, Челябинск|6</v>
      </c>
    </row>
    <row r="266">
      <c r="A266" s="3" t="inlineStr">
        <is>
          <t>Богатовъ Торговый Дом, Челябинск</t>
        </is>
      </c>
      <c r="B266" s="3" t="inlineStr">
        <is>
          <t>РФ</t>
        </is>
      </c>
      <c r="C266" s="3" t="inlineStr">
        <is>
          <t>План</t>
        </is>
      </c>
      <c r="D266" s="3" t="inlineStr">
        <is>
          <t>Оборудование</t>
        </is>
      </c>
      <c r="E266" s="3" t="inlineStr">
        <is>
          <t>План и бонусы</t>
        </is>
      </c>
      <c r="F266" s="3" t="inlineStr">
        <is>
          <t>Выручка 2024</t>
        </is>
      </c>
      <c r="G266" s="4" t="n">
        <v>3</v>
      </c>
      <c r="H266" s="4" t="n"/>
      <c r="I266" s="3" t="n"/>
      <c r="J266" s="4" t="n">
        <v>1</v>
      </c>
      <c r="K266" s="4" t="n"/>
      <c r="L266" s="4" t="n"/>
      <c r="M266" s="5" t="n">
        <v>700764</v>
      </c>
      <c r="N266" s="4" t="inlineStr">
        <is>
          <t>EUR</t>
        </is>
      </c>
      <c r="O266" s="3" t="inlineStr">
        <is>
          <t>Богатовъ Торговый Дом, Челябинс</t>
        </is>
      </c>
      <c r="P266" s="3" t="inlineStr">
        <is>
          <t>D6</t>
        </is>
      </c>
      <c t="str" r="Q266" s="6">
        <f>A266&amp;"|"&amp;C266&amp;"|"&amp;D266&amp;"|"&amp;G266</f>
        <v>Богатовъ Торговый Дом, Челябинск|План|Оборудование|3</v>
      </c>
      <c t="str" r="R266" s="6">
        <f>A266&amp;"|"&amp;C266&amp;"|"&amp;D266&amp;"|"&amp;J266</f>
        <v>Богатовъ Торговый Дом, Челябинск|План|Оборудование|1</v>
      </c>
      <c t="str" r="S266" s="6">
        <f>A266&amp;"|"&amp;C266&amp;"|"&amp;D266&amp;"|"&amp;G266&amp;"|"&amp;J266</f>
        <v>Богатовъ Торговый Дом, Челябинск|План|Оборудование|3|1</v>
      </c>
      <c t="str" r="T266" s="6">
        <f>A266&amp;"|"&amp;C266&amp;"|"&amp;G266</f>
        <v>Богатовъ Торговый Дом, Челябинск|План|3</v>
      </c>
      <c t="str" r="U266" s="6">
        <f>IF(H266="да",A266&amp;"|"&amp;C266&amp;"|"&amp;D266&amp;"|"&amp;J266,"")</f>
        <v/>
      </c>
      <c t="str" r="V266" s="6">
        <f>IF(C266="План",A266&amp;"|"&amp;J266,"")</f>
        <v>Богатовъ Торговый Дом, Челябинск|1</v>
      </c>
    </row>
    <row r="267">
      <c r="A267" s="3" t="inlineStr">
        <is>
          <t>Богатовъ Торговый Дом, Челябинск</t>
        </is>
      </c>
      <c r="B267" s="3" t="inlineStr">
        <is>
          <t>РФ</t>
        </is>
      </c>
      <c r="C267" s="3" t="inlineStr">
        <is>
          <t>План</t>
        </is>
      </c>
      <c r="D267" s="3" t="inlineStr">
        <is>
          <t>Оборудование</t>
        </is>
      </c>
      <c r="E267" s="3" t="inlineStr">
        <is>
          <t>План и бонусы</t>
        </is>
      </c>
      <c r="F267" s="3" t="inlineStr">
        <is>
          <t>Выручка 2025</t>
        </is>
      </c>
      <c r="G267" s="4" t="n">
        <v>3</v>
      </c>
      <c r="H267" s="4" t="n"/>
      <c r="I267" s="3" t="n"/>
      <c r="J267" s="4" t="n">
        <v>2</v>
      </c>
      <c r="K267" s="4" t="n"/>
      <c r="L267" s="4" t="n"/>
      <c r="M267" s="5" t="n">
        <v>453635</v>
      </c>
      <c r="N267" s="4" t="inlineStr">
        <is>
          <t>EUR</t>
        </is>
      </c>
      <c r="O267" s="3" t="inlineStr">
        <is>
          <t>Богатовъ Торговый Дом, Челябинс</t>
        </is>
      </c>
      <c r="P267" s="3" t="inlineStr">
        <is>
          <t>E6</t>
        </is>
      </c>
      <c t="str" r="Q267" s="6">
        <f>A267&amp;"|"&amp;C267&amp;"|"&amp;D267&amp;"|"&amp;G267</f>
        <v>Богатовъ Торговый Дом, Челябинск|План|Оборудование|3</v>
      </c>
      <c t="str" r="R267" s="6">
        <f>A267&amp;"|"&amp;C267&amp;"|"&amp;D267&amp;"|"&amp;J267</f>
        <v>Богатовъ Торговый Дом, Челябинск|План|Оборудование|2</v>
      </c>
      <c t="str" r="S267" s="6">
        <f>A267&amp;"|"&amp;C267&amp;"|"&amp;D267&amp;"|"&amp;G267&amp;"|"&amp;J267</f>
        <v>Богатовъ Торговый Дом, Челябинск|План|Оборудование|3|2</v>
      </c>
      <c t="str" r="T267" s="6">
        <f>A267&amp;"|"&amp;C267&amp;"|"&amp;G267</f>
        <v>Богатовъ Торговый Дом, Челябинск|План|3</v>
      </c>
      <c t="str" r="U267" s="6">
        <f>IF(H267="да",A267&amp;"|"&amp;C267&amp;"|"&amp;D267&amp;"|"&amp;J267,"")</f>
        <v/>
      </c>
      <c t="str" r="V267" s="6">
        <f>IF(C267="План",A267&amp;"|"&amp;J267,"")</f>
        <v>Богатовъ Торговый Дом, Челябинск|2</v>
      </c>
    </row>
    <row r="268">
      <c r="A268" s="3" t="inlineStr">
        <is>
          <t>Богатовъ Торговый Дом, Челябинск</t>
        </is>
      </c>
      <c r="B268" s="3" t="inlineStr">
        <is>
          <t>РФ</t>
        </is>
      </c>
      <c r="C268" s="3" t="inlineStr">
        <is>
          <t>План</t>
        </is>
      </c>
      <c r="D268" s="3" t="inlineStr">
        <is>
          <t>Оборудование</t>
        </is>
      </c>
      <c r="E268" s="3" t="inlineStr">
        <is>
          <t>План и бонусы</t>
        </is>
      </c>
      <c r="F268" s="3" t="inlineStr">
        <is>
          <t>План 2026</t>
        </is>
      </c>
      <c r="G268" s="4" t="n">
        <v>3</v>
      </c>
      <c r="H268" s="4" t="n"/>
      <c r="I268" s="3" t="n"/>
      <c r="J268" s="4" t="n">
        <v>3</v>
      </c>
      <c r="K268" s="4" t="n"/>
      <c r="L268" s="4" t="n"/>
      <c r="M268" s="5" t="n">
        <v>650000</v>
      </c>
      <c r="N268" s="4" t="inlineStr">
        <is>
          <t>EUR</t>
        </is>
      </c>
      <c r="O268" s="3" t="inlineStr">
        <is>
          <t>Богатовъ Торговый Дом, Челябинс</t>
        </is>
      </c>
      <c r="P268" s="3" t="inlineStr">
        <is>
          <t>F6</t>
        </is>
      </c>
      <c t="str" r="Q268" s="6">
        <f>A268&amp;"|"&amp;C268&amp;"|"&amp;D268&amp;"|"&amp;G268</f>
        <v>Богатовъ Торговый Дом, Челябинск|План|Оборудование|3</v>
      </c>
      <c t="str" r="R268" s="6">
        <f>A268&amp;"|"&amp;C268&amp;"|"&amp;D268&amp;"|"&amp;J268</f>
        <v>Богатовъ Торговый Дом, Челябинск|План|Оборудование|3</v>
      </c>
      <c t="str" r="S268" s="6">
        <f>A268&amp;"|"&amp;C268&amp;"|"&amp;D268&amp;"|"&amp;G268&amp;"|"&amp;J268</f>
        <v>Богатовъ Торговый Дом, Челябинск|План|Оборудование|3|3</v>
      </c>
      <c t="str" r="T268" s="6">
        <f>A268&amp;"|"&amp;C268&amp;"|"&amp;G268</f>
        <v>Богатовъ Торговый Дом, Челябинск|План|3</v>
      </c>
      <c t="str" r="U268" s="6">
        <f>IF(H268="да",A268&amp;"|"&amp;C268&amp;"|"&amp;D268&amp;"|"&amp;J268,"")</f>
        <v/>
      </c>
      <c t="str" r="V268" s="6">
        <f>IF(C268="План",A268&amp;"|"&amp;J268,"")</f>
        <v>Богатовъ Торговый Дом, Челябинск|3</v>
      </c>
    </row>
    <row r="269">
      <c r="A269" s="3" t="inlineStr">
        <is>
          <t>Богатовъ Торговый Дом, Челябинск</t>
        </is>
      </c>
      <c r="B269" s="3" t="inlineStr">
        <is>
          <t>РФ</t>
        </is>
      </c>
      <c r="C269" s="3" t="inlineStr">
        <is>
          <t>План</t>
        </is>
      </c>
      <c r="D269" s="3" t="inlineStr">
        <is>
          <t>Оборудование</t>
        </is>
      </c>
      <c r="E269" s="3" t="inlineStr">
        <is>
          <t>План и бонусы</t>
        </is>
      </c>
      <c r="F269" s="3" t="inlineStr">
        <is>
          <t>Размер бонуса по итогам 2026 г</t>
        </is>
      </c>
      <c r="G269" s="4" t="n">
        <v>3</v>
      </c>
      <c r="H269" s="4" t="n"/>
      <c r="I269" s="3" t="n"/>
      <c r="J269" s="4" t="n">
        <v>5</v>
      </c>
      <c r="K269" s="4" t="n"/>
      <c r="L269" s="4" t="n"/>
      <c r="M269" s="7" t="n">
        <v>0.015</v>
      </c>
      <c r="N269" s="4" t="inlineStr">
        <is>
          <t>%</t>
        </is>
      </c>
      <c r="O269" s="3" t="inlineStr">
        <is>
          <t>Богатовъ Торговый Дом, Челябинс</t>
        </is>
      </c>
      <c r="P269" s="3" t="inlineStr">
        <is>
          <t>H6</t>
        </is>
      </c>
      <c t="str" r="Q269" s="6">
        <f>A269&amp;"|"&amp;C269&amp;"|"&amp;D269&amp;"|"&amp;G269</f>
        <v>Богатовъ Торговый Дом, Челябинск|План|Оборудование|3</v>
      </c>
      <c t="str" r="R269" s="6">
        <f>A269&amp;"|"&amp;C269&amp;"|"&amp;D269&amp;"|"&amp;J269</f>
        <v>Богатовъ Торговый Дом, Челябинск|План|Оборудование|5</v>
      </c>
      <c t="str" r="S269" s="6">
        <f>A269&amp;"|"&amp;C269&amp;"|"&amp;D269&amp;"|"&amp;G269&amp;"|"&amp;J269</f>
        <v>Богатовъ Торговый Дом, Челябинск|План|Оборудование|3|5</v>
      </c>
      <c t="str" r="T269" s="6">
        <f>A269&amp;"|"&amp;C269&amp;"|"&amp;G269</f>
        <v>Богатовъ Торговый Дом, Челябинск|План|3</v>
      </c>
      <c t="str" r="U269" s="6">
        <f>IF(H269="да",A269&amp;"|"&amp;C269&amp;"|"&amp;D269&amp;"|"&amp;J269,"")</f>
        <v/>
      </c>
      <c t="str" r="V269" s="6">
        <f>IF(C269="План",A269&amp;"|"&amp;J269,"")</f>
        <v>Богатовъ Торговый Дом, Челябинск|5</v>
      </c>
    </row>
    <row r="270">
      <c r="A270" s="3" t="inlineStr">
        <is>
          <t>Богатовъ Торговый Дом, Челябинск</t>
        </is>
      </c>
      <c r="B270" s="3" t="inlineStr">
        <is>
          <t>РФ</t>
        </is>
      </c>
      <c r="C270" s="3" t="inlineStr">
        <is>
          <t>План</t>
        </is>
      </c>
      <c r="D270" s="3" t="inlineStr">
        <is>
          <t>Оборудование</t>
        </is>
      </c>
      <c r="E270" s="3" t="inlineStr">
        <is>
          <t>План и бонусы</t>
        </is>
      </c>
      <c r="F270" s="3" t="inlineStr">
        <is>
          <t>Скидка в 1 кв. 2026 ф.г.*</t>
        </is>
      </c>
      <c r="G270" s="4" t="n">
        <v>3</v>
      </c>
      <c r="H270" s="4" t="n"/>
      <c r="I270" s="3" t="n"/>
      <c r="J270" s="4" t="n">
        <v>6</v>
      </c>
      <c r="K270" s="4" t="n"/>
      <c r="L270" s="4" t="n"/>
      <c r="M270" s="8" t="n">
        <v>0.14</v>
      </c>
      <c r="N270" s="4" t="inlineStr">
        <is>
          <t>%</t>
        </is>
      </c>
      <c r="O270" s="3" t="inlineStr">
        <is>
          <t>Богатовъ Торговый Дом, Челябинс</t>
        </is>
      </c>
      <c r="P270" s="3" t="inlineStr">
        <is>
          <t>I6</t>
        </is>
      </c>
      <c t="str" r="Q270" s="6">
        <f>A270&amp;"|"&amp;C270&amp;"|"&amp;D270&amp;"|"&amp;G270</f>
        <v>Богатовъ Торговый Дом, Челябинск|План|Оборудование|3</v>
      </c>
      <c t="str" r="R270" s="6">
        <f>A270&amp;"|"&amp;C270&amp;"|"&amp;D270&amp;"|"&amp;J270</f>
        <v>Богатовъ Торговый Дом, Челябинск|План|Оборудование|6</v>
      </c>
      <c t="str" r="S270" s="6">
        <f>A270&amp;"|"&amp;C270&amp;"|"&amp;D270&amp;"|"&amp;G270&amp;"|"&amp;J270</f>
        <v>Богатовъ Торговый Дом, Челябинск|План|Оборудование|3|6</v>
      </c>
      <c t="str" r="T270" s="6">
        <f>A270&amp;"|"&amp;C270&amp;"|"&amp;G270</f>
        <v>Богатовъ Торговый Дом, Челябинск|План|3</v>
      </c>
      <c t="str" r="U270" s="6">
        <f>IF(H270="да",A270&amp;"|"&amp;C270&amp;"|"&amp;D270&amp;"|"&amp;J270,"")</f>
        <v/>
      </c>
      <c t="str" r="V270" s="6">
        <f>IF(C270="План",A270&amp;"|"&amp;J270,"")</f>
        <v>Богатовъ Торговый Дом, Челябинск|6</v>
      </c>
    </row>
    <row r="271">
      <c r="A271" s="3" t="inlineStr">
        <is>
          <t>Богатовъ Торговый Дом, Челябинск</t>
        </is>
      </c>
      <c r="B271" s="3" t="inlineStr">
        <is>
          <t>РФ</t>
        </is>
      </c>
      <c r="C271" s="3" t="inlineStr">
        <is>
          <t>План</t>
        </is>
      </c>
      <c r="D271" s="3" t="inlineStr">
        <is>
          <t>Расходные материалы</t>
        </is>
      </c>
      <c r="E271" s="3" t="inlineStr">
        <is>
          <t>План и бонусы</t>
        </is>
      </c>
      <c r="F271" s="3" t="inlineStr">
        <is>
          <t>Выручка 2024</t>
        </is>
      </c>
      <c r="G271" s="4" t="n">
        <v>4</v>
      </c>
      <c r="H271" s="4" t="n"/>
      <c r="I271" s="3" t="n"/>
      <c r="J271" s="4" t="n">
        <v>1</v>
      </c>
      <c r="K271" s="4" t="n"/>
      <c r="L271" s="4" t="n"/>
      <c r="M271" s="5" t="n">
        <v>1021931</v>
      </c>
      <c r="N271" s="4" t="inlineStr">
        <is>
          <t>EUR</t>
        </is>
      </c>
      <c r="O271" s="3" t="inlineStr">
        <is>
          <t>Богатовъ Торговый Дом, Челябинс</t>
        </is>
      </c>
      <c r="P271" s="3" t="inlineStr">
        <is>
          <t>D7</t>
        </is>
      </c>
      <c t="str" r="Q271" s="6">
        <f>A271&amp;"|"&amp;C271&amp;"|"&amp;D271&amp;"|"&amp;G271</f>
        <v>Богатовъ Торговый Дом, Челябинск|План|Расходные материалы|4</v>
      </c>
      <c t="str" r="R271" s="6">
        <f>A271&amp;"|"&amp;C271&amp;"|"&amp;D271&amp;"|"&amp;J271</f>
        <v>Богатовъ Торговый Дом, Челябинск|План|Расходные материалы|1</v>
      </c>
      <c t="str" r="S271" s="6">
        <f>A271&amp;"|"&amp;C271&amp;"|"&amp;D271&amp;"|"&amp;G271&amp;"|"&amp;J271</f>
        <v>Богатовъ Торговый Дом, Челябинск|План|Расходные материалы|4|1</v>
      </c>
      <c t="str" r="T271" s="6">
        <f>A271&amp;"|"&amp;C271&amp;"|"&amp;G271</f>
        <v>Богатовъ Торговый Дом, Челябинск|План|4</v>
      </c>
      <c t="str" r="U271" s="6">
        <f>IF(H271="да",A271&amp;"|"&amp;C271&amp;"|"&amp;D271&amp;"|"&amp;J271,"")</f>
        <v/>
      </c>
      <c t="str" r="V271" s="6">
        <f>IF(C271="План",A271&amp;"|"&amp;J271,"")</f>
        <v>Богатовъ Торговый Дом, Челябинск|1</v>
      </c>
    </row>
    <row r="272">
      <c r="A272" s="3" t="inlineStr">
        <is>
          <t>Богатовъ Торговый Дом, Челябинск</t>
        </is>
      </c>
      <c r="B272" s="3" t="inlineStr">
        <is>
          <t>РФ</t>
        </is>
      </c>
      <c r="C272" s="3" t="inlineStr">
        <is>
          <t>План</t>
        </is>
      </c>
      <c r="D272" s="3" t="inlineStr">
        <is>
          <t>Расходные материалы</t>
        </is>
      </c>
      <c r="E272" s="3" t="inlineStr">
        <is>
          <t>План и бонусы</t>
        </is>
      </c>
      <c r="F272" s="3" t="inlineStr">
        <is>
          <t>Выручка 2025</t>
        </is>
      </c>
      <c r="G272" s="4" t="n">
        <v>4</v>
      </c>
      <c r="H272" s="4" t="n"/>
      <c r="I272" s="3" t="n"/>
      <c r="J272" s="4" t="n">
        <v>2</v>
      </c>
      <c r="K272" s="4" t="n"/>
      <c r="L272" s="4" t="n"/>
      <c r="M272" s="5" t="n">
        <v>816070</v>
      </c>
      <c r="N272" s="4" t="inlineStr">
        <is>
          <t>EUR</t>
        </is>
      </c>
      <c r="O272" s="3" t="inlineStr">
        <is>
          <t>Богатовъ Торговый Дом, Челябинс</t>
        </is>
      </c>
      <c r="P272" s="3" t="inlineStr">
        <is>
          <t>E7</t>
        </is>
      </c>
      <c t="str" r="Q272" s="6">
        <f>A272&amp;"|"&amp;C272&amp;"|"&amp;D272&amp;"|"&amp;G272</f>
        <v>Богатовъ Торговый Дом, Челябинск|План|Расходные материалы|4</v>
      </c>
      <c t="str" r="R272" s="6">
        <f>A272&amp;"|"&amp;C272&amp;"|"&amp;D272&amp;"|"&amp;J272</f>
        <v>Богатовъ Торговый Дом, Челябинск|План|Расходные материалы|2</v>
      </c>
      <c t="str" r="S272" s="6">
        <f>A272&amp;"|"&amp;C272&amp;"|"&amp;D272&amp;"|"&amp;G272&amp;"|"&amp;J272</f>
        <v>Богатовъ Торговый Дом, Челябинск|План|Расходные материалы|4|2</v>
      </c>
      <c t="str" r="T272" s="6">
        <f>A272&amp;"|"&amp;C272&amp;"|"&amp;G272</f>
        <v>Богатовъ Торговый Дом, Челябинск|План|4</v>
      </c>
      <c t="str" r="U272" s="6">
        <f>IF(H272="да",A272&amp;"|"&amp;C272&amp;"|"&amp;D272&amp;"|"&amp;J272,"")</f>
        <v/>
      </c>
      <c t="str" r="V272" s="6">
        <f>IF(C272="План",A272&amp;"|"&amp;J272,"")</f>
        <v>Богатовъ Торговый Дом, Челябинск|2</v>
      </c>
    </row>
    <row r="273">
      <c r="A273" s="3" t="inlineStr">
        <is>
          <t>Богатовъ Торговый Дом, Челябинск</t>
        </is>
      </c>
      <c r="B273" s="3" t="inlineStr">
        <is>
          <t>РФ</t>
        </is>
      </c>
      <c r="C273" s="3" t="inlineStr">
        <is>
          <t>План</t>
        </is>
      </c>
      <c r="D273" s="3" t="inlineStr">
        <is>
          <t>Расходные материалы</t>
        </is>
      </c>
      <c r="E273" s="3" t="inlineStr">
        <is>
          <t>План и бонусы</t>
        </is>
      </c>
      <c r="F273" s="3" t="inlineStr">
        <is>
          <t>План 2026</t>
        </is>
      </c>
      <c r="G273" s="4" t="n">
        <v>4</v>
      </c>
      <c r="H273" s="4" t="n"/>
      <c r="I273" s="3" t="n"/>
      <c r="J273" s="4" t="n">
        <v>3</v>
      </c>
      <c r="K273" s="4" t="n"/>
      <c r="L273" s="4" t="n"/>
      <c r="M273" s="5" t="n">
        <v>900000</v>
      </c>
      <c r="N273" s="4" t="inlineStr">
        <is>
          <t>EUR</t>
        </is>
      </c>
      <c r="O273" s="3" t="inlineStr">
        <is>
          <t>Богатовъ Торговый Дом, Челябинс</t>
        </is>
      </c>
      <c r="P273" s="3" t="inlineStr">
        <is>
          <t>F7</t>
        </is>
      </c>
      <c t="str" r="Q273" s="6">
        <f>A273&amp;"|"&amp;C273&amp;"|"&amp;D273&amp;"|"&amp;G273</f>
        <v>Богатовъ Торговый Дом, Челябинск|План|Расходные материалы|4</v>
      </c>
      <c t="str" r="R273" s="6">
        <f>A273&amp;"|"&amp;C273&amp;"|"&amp;D273&amp;"|"&amp;J273</f>
        <v>Богатовъ Торговый Дом, Челябинск|План|Расходные материалы|3</v>
      </c>
      <c t="str" r="S273" s="6">
        <f>A273&amp;"|"&amp;C273&amp;"|"&amp;D273&amp;"|"&amp;G273&amp;"|"&amp;J273</f>
        <v>Богатовъ Торговый Дом, Челябинск|План|Расходные материалы|4|3</v>
      </c>
      <c t="str" r="T273" s="6">
        <f>A273&amp;"|"&amp;C273&amp;"|"&amp;G273</f>
        <v>Богатовъ Торговый Дом, Челябинск|План|4</v>
      </c>
      <c t="str" r="U273" s="6">
        <f>IF(H273="да",A273&amp;"|"&amp;C273&amp;"|"&amp;D273&amp;"|"&amp;J273,"")</f>
        <v/>
      </c>
      <c t="str" r="V273" s="6">
        <f>IF(C273="План",A273&amp;"|"&amp;J273,"")</f>
        <v>Богатовъ Торговый Дом, Челябинск|3</v>
      </c>
    </row>
    <row r="274">
      <c r="A274" s="3" t="inlineStr">
        <is>
          <t>Богатовъ Торговый Дом, Челябинск</t>
        </is>
      </c>
      <c r="B274" s="3" t="inlineStr">
        <is>
          <t>РФ</t>
        </is>
      </c>
      <c r="C274" s="3" t="inlineStr">
        <is>
          <t>План</t>
        </is>
      </c>
      <c r="D274" s="3" t="inlineStr">
        <is>
          <t>Расходные материалы</t>
        </is>
      </c>
      <c r="E274" s="3" t="inlineStr">
        <is>
          <t>План и бонусы</t>
        </is>
      </c>
      <c r="F274" s="3" t="inlineStr">
        <is>
          <t>Размер бонуса по итогам 2026 г</t>
        </is>
      </c>
      <c r="G274" s="4" t="n">
        <v>4</v>
      </c>
      <c r="H274" s="4" t="n"/>
      <c r="I274" s="3" t="n"/>
      <c r="J274" s="4" t="n">
        <v>5</v>
      </c>
      <c r="K274" s="4" t="n"/>
      <c r="L274" s="4" t="n"/>
      <c r="M274" s="7" t="n">
        <v>0.005</v>
      </c>
      <c r="N274" s="4" t="inlineStr">
        <is>
          <t>%</t>
        </is>
      </c>
      <c r="O274" s="3" t="inlineStr">
        <is>
          <t>Богатовъ Торговый Дом, Челябинс</t>
        </is>
      </c>
      <c r="P274" s="3" t="inlineStr">
        <is>
          <t>H7</t>
        </is>
      </c>
      <c t="str" r="Q274" s="6">
        <f>A274&amp;"|"&amp;C274&amp;"|"&amp;D274&amp;"|"&amp;G274</f>
        <v>Богатовъ Торговый Дом, Челябинск|План|Расходные материалы|4</v>
      </c>
      <c t="str" r="R274" s="6">
        <f>A274&amp;"|"&amp;C274&amp;"|"&amp;D274&amp;"|"&amp;J274</f>
        <v>Богатовъ Торговый Дом, Челябинск|План|Расходные материалы|5</v>
      </c>
      <c t="str" r="S274" s="6">
        <f>A274&amp;"|"&amp;C274&amp;"|"&amp;D274&amp;"|"&amp;G274&amp;"|"&amp;J274</f>
        <v>Богатовъ Торговый Дом, Челябинск|План|Расходные материалы|4|5</v>
      </c>
      <c t="str" r="T274" s="6">
        <f>A274&amp;"|"&amp;C274&amp;"|"&amp;G274</f>
        <v>Богатовъ Торговый Дом, Челябинск|План|4</v>
      </c>
      <c t="str" r="U274" s="6">
        <f>IF(H274="да",A274&amp;"|"&amp;C274&amp;"|"&amp;D274&amp;"|"&amp;J274,"")</f>
        <v/>
      </c>
      <c t="str" r="V274" s="6">
        <f>IF(C274="План",A274&amp;"|"&amp;J274,"")</f>
        <v>Богатовъ Торговый Дом, Челябинск|5</v>
      </c>
    </row>
    <row r="275">
      <c r="A275" s="3" t="inlineStr">
        <is>
          <t>Богатовъ Торговый Дом, Челябинск</t>
        </is>
      </c>
      <c r="B275" s="3" t="inlineStr">
        <is>
          <t>РФ</t>
        </is>
      </c>
      <c r="C275" s="3" t="inlineStr">
        <is>
          <t>План</t>
        </is>
      </c>
      <c r="D275" s="3" t="inlineStr">
        <is>
          <t>Расходные материалы</t>
        </is>
      </c>
      <c r="E275" s="3" t="inlineStr">
        <is>
          <t>План и бонусы</t>
        </is>
      </c>
      <c r="F275" s="3" t="inlineStr">
        <is>
          <t>Скидка в 1 кв. 2026 ф.г.*</t>
        </is>
      </c>
      <c r="G275" s="4" t="n">
        <v>4</v>
      </c>
      <c r="H275" s="4" t="n"/>
      <c r="I275" s="3" t="n"/>
      <c r="J275" s="4" t="n">
        <v>6</v>
      </c>
      <c r="K275" s="4" t="n"/>
      <c r="L275" s="4" t="n"/>
      <c r="M275" s="8" t="n">
        <v>0.03</v>
      </c>
      <c r="N275" s="4" t="inlineStr">
        <is>
          <t>%</t>
        </is>
      </c>
      <c r="O275" s="3" t="inlineStr">
        <is>
          <t>Богатовъ Торговый Дом, Челябинс</t>
        </is>
      </c>
      <c r="P275" s="3" t="inlineStr">
        <is>
          <t>I7</t>
        </is>
      </c>
      <c t="str" r="Q275" s="6">
        <f>A275&amp;"|"&amp;C275&amp;"|"&amp;D275&amp;"|"&amp;G275</f>
        <v>Богатовъ Торговый Дом, Челябинск|План|Расходные материалы|4</v>
      </c>
      <c t="str" r="R275" s="6">
        <f>A275&amp;"|"&amp;C275&amp;"|"&amp;D275&amp;"|"&amp;J275</f>
        <v>Богатовъ Торговый Дом, Челябинск|План|Расходные материалы|6</v>
      </c>
      <c t="str" r="S275" s="6">
        <f>A275&amp;"|"&amp;C275&amp;"|"&amp;D275&amp;"|"&amp;G275&amp;"|"&amp;J275</f>
        <v>Богатовъ Торговый Дом, Челябинск|План|Расходные материалы|4|6</v>
      </c>
      <c t="str" r="T275" s="6">
        <f>A275&amp;"|"&amp;C275&amp;"|"&amp;G275</f>
        <v>Богатовъ Торговый Дом, Челябинск|План|4</v>
      </c>
      <c t="str" r="U275" s="6">
        <f>IF(H275="да",A275&amp;"|"&amp;C275&amp;"|"&amp;D275&amp;"|"&amp;J275,"")</f>
        <v/>
      </c>
      <c t="str" r="V275" s="6">
        <f>IF(C275="План",A275&amp;"|"&amp;J275,"")</f>
        <v>Богатовъ Торговый Дом, Челябинск|6</v>
      </c>
    </row>
    <row r="276">
      <c r="A276" s="3" t="inlineStr">
        <is>
          <t>Богатовъ Торговый Дом, Челябинск</t>
        </is>
      </c>
      <c r="B276" s="3" t="inlineStr">
        <is>
          <t>РФ</t>
        </is>
      </c>
      <c r="C276" s="3" t="inlineStr">
        <is>
          <t>Шкала</t>
        </is>
      </c>
      <c r="D276" s="3" t="inlineStr">
        <is>
          <t>Оборудование</t>
        </is>
      </c>
      <c r="E276" s="3" t="inlineStr">
        <is>
          <t>Оборудование — за квартал</t>
        </is>
      </c>
      <c r="F276" s="3" t="inlineStr">
        <is>
          <t>1 Базовое вознаграждение за Дилерский договор</t>
        </is>
      </c>
      <c r="G276" s="4" t="n">
        <v>1</v>
      </c>
      <c r="H276" s="4" t="n"/>
      <c r="I276" s="3" t="inlineStr">
        <is>
          <t>до 75</t>
        </is>
      </c>
      <c r="J276" s="4" t="n">
        <v>1</v>
      </c>
      <c r="K276" s="4" t="n"/>
      <c r="L276" s="4" t="n"/>
      <c r="M276" s="8" t="n">
        <v>0.06</v>
      </c>
      <c r="N276" s="4" t="inlineStr">
        <is>
          <t>%</t>
        </is>
      </c>
      <c r="O276" s="3" t="inlineStr">
        <is>
          <t>Богатовъ Торговый Дом, Челябинс</t>
        </is>
      </c>
      <c r="P276" s="3" t="inlineStr">
        <is>
          <t>E13</t>
        </is>
      </c>
      <c t="str" r="Q276" s="6">
        <f>A276&amp;"|"&amp;C276&amp;"|"&amp;D276&amp;"|"&amp;G276</f>
        <v>Богатовъ Торговый Дом, Челябинск|Шкала|Оборудование|1</v>
      </c>
      <c t="str" r="R276" s="6">
        <f>A276&amp;"|"&amp;C276&amp;"|"&amp;D276&amp;"|"&amp;J276</f>
        <v>Богатовъ Торговый Дом, Челябинск|Шкала|Оборудование|1</v>
      </c>
      <c t="str" r="S276" s="6">
        <f>A276&amp;"|"&amp;C276&amp;"|"&amp;D276&amp;"|"&amp;G276&amp;"|"&amp;J276</f>
        <v>Богатовъ Торговый Дом, Челябинск|Шкала|Оборудование|1|1</v>
      </c>
      <c t="str" r="T276" s="6">
        <f>A276&amp;"|"&amp;C276&amp;"|"&amp;G276</f>
        <v>Богатовъ Торговый Дом, Челябинск|Шкала|1</v>
      </c>
      <c t="str" r="U276" s="6">
        <f>IF(H276="да",A276&amp;"|"&amp;C276&amp;"|"&amp;D276&amp;"|"&amp;J276,"")</f>
        <v/>
      </c>
      <c t="str" r="V276" s="6">
        <f>IF(C276="План",A276&amp;"|"&amp;J276,"")</f>
        <v/>
      </c>
    </row>
    <row r="277">
      <c r="A277" s="3" t="inlineStr">
        <is>
          <t>Богатовъ Торговый Дом, Челябинск</t>
        </is>
      </c>
      <c r="B277" s="3" t="inlineStr">
        <is>
          <t>РФ</t>
        </is>
      </c>
      <c r="C277" s="3" t="inlineStr">
        <is>
          <t>Шкала</t>
        </is>
      </c>
      <c r="D277" s="3" t="inlineStr">
        <is>
          <t>Оборудование</t>
        </is>
      </c>
      <c r="E277" s="3" t="inlineStr">
        <is>
          <t>Оборудование — за квартал</t>
        </is>
      </c>
      <c r="F277" s="3" t="inlineStr">
        <is>
          <t>1 Базовое вознаграждение за Дилерский договор</t>
        </is>
      </c>
      <c r="G277" s="4" t="n">
        <v>1</v>
      </c>
      <c r="H277" s="4" t="n"/>
      <c r="I277" s="3" t="inlineStr">
        <is>
          <t>75-114</t>
        </is>
      </c>
      <c r="J277" s="4" t="n">
        <v>2</v>
      </c>
      <c r="K277" s="4" t="n"/>
      <c r="L277" s="4" t="n"/>
      <c r="M277" s="8" t="n">
        <v>0.06</v>
      </c>
      <c r="N277" s="4" t="inlineStr">
        <is>
          <t>%</t>
        </is>
      </c>
      <c r="O277" s="3" t="inlineStr">
        <is>
          <t>Богатовъ Торговый Дом, Челябинс</t>
        </is>
      </c>
      <c r="P277" s="3" t="inlineStr">
        <is>
          <t>F13</t>
        </is>
      </c>
      <c t="str" r="Q277" s="6">
        <f>A277&amp;"|"&amp;C277&amp;"|"&amp;D277&amp;"|"&amp;G277</f>
        <v>Богатовъ Торговый Дом, Челябинск|Шкала|Оборудование|1</v>
      </c>
      <c t="str" r="R277" s="6">
        <f>A277&amp;"|"&amp;C277&amp;"|"&amp;D277&amp;"|"&amp;J277</f>
        <v>Богатовъ Торговый Дом, Челябинск|Шкала|Оборудование|2</v>
      </c>
      <c t="str" r="S277" s="6">
        <f>A277&amp;"|"&amp;C277&amp;"|"&amp;D277&amp;"|"&amp;G277&amp;"|"&amp;J277</f>
        <v>Богатовъ Торговый Дом, Челябинск|Шкала|Оборудование|1|2</v>
      </c>
      <c t="str" r="T277" s="6">
        <f>A277&amp;"|"&amp;C277&amp;"|"&amp;G277</f>
        <v>Богатовъ Торговый Дом, Челябинск|Шкала|1</v>
      </c>
      <c t="str" r="U277" s="6">
        <f>IF(H277="да",A277&amp;"|"&amp;C277&amp;"|"&amp;D277&amp;"|"&amp;J277,"")</f>
        <v/>
      </c>
      <c t="str" r="V277" s="6">
        <f>IF(C277="План",A277&amp;"|"&amp;J277,"")</f>
        <v/>
      </c>
    </row>
    <row r="278">
      <c r="A278" s="3" t="inlineStr">
        <is>
          <t>Богатовъ Торговый Дом, Челябинск</t>
        </is>
      </c>
      <c r="B278" s="3" t="inlineStr">
        <is>
          <t>РФ</t>
        </is>
      </c>
      <c r="C278" s="3" t="inlineStr">
        <is>
          <t>Шкала</t>
        </is>
      </c>
      <c r="D278" s="3" t="inlineStr">
        <is>
          <t>Оборудование</t>
        </is>
      </c>
      <c r="E278" s="3" t="inlineStr">
        <is>
          <t>Оборудование — за квартал</t>
        </is>
      </c>
      <c r="F278" s="3" t="inlineStr">
        <is>
          <t>1 Базовое вознаграждение за Дилерский договор</t>
        </is>
      </c>
      <c r="G278" s="4" t="n">
        <v>1</v>
      </c>
      <c r="H278" s="4" t="n"/>
      <c r="I278" s="3" t="inlineStr">
        <is>
          <t>115-149</t>
        </is>
      </c>
      <c r="J278" s="4" t="n">
        <v>3</v>
      </c>
      <c r="K278" s="4" t="n"/>
      <c r="L278" s="4" t="n"/>
      <c r="M278" s="8" t="n">
        <v>0.06</v>
      </c>
      <c r="N278" s="4" t="inlineStr">
        <is>
          <t>%</t>
        </is>
      </c>
      <c r="O278" s="3" t="inlineStr">
        <is>
          <t>Богатовъ Торговый Дом, Челябинс</t>
        </is>
      </c>
      <c r="P278" s="3" t="inlineStr">
        <is>
          <t>G13</t>
        </is>
      </c>
      <c t="str" r="Q278" s="6">
        <f>A278&amp;"|"&amp;C278&amp;"|"&amp;D278&amp;"|"&amp;G278</f>
        <v>Богатовъ Торговый Дом, Челябинск|Шкала|Оборудование|1</v>
      </c>
      <c t="str" r="R278" s="6">
        <f>A278&amp;"|"&amp;C278&amp;"|"&amp;D278&amp;"|"&amp;J278</f>
        <v>Богатовъ Торговый Дом, Челябинск|Шкала|Оборудование|3</v>
      </c>
      <c t="str" r="S278" s="6">
        <f>A278&amp;"|"&amp;C278&amp;"|"&amp;D278&amp;"|"&amp;G278&amp;"|"&amp;J278</f>
        <v>Богатовъ Торговый Дом, Челябинск|Шкала|Оборудование|1|3</v>
      </c>
      <c t="str" r="T278" s="6">
        <f>A278&amp;"|"&amp;C278&amp;"|"&amp;G278</f>
        <v>Богатовъ Торговый Дом, Челябинск|Шкала|1</v>
      </c>
      <c t="str" r="U278" s="6">
        <f>IF(H278="да",A278&amp;"|"&amp;C278&amp;"|"&amp;D278&amp;"|"&amp;J278,"")</f>
        <v/>
      </c>
      <c t="str" r="V278" s="6">
        <f>IF(C278="План",A278&amp;"|"&amp;J278,"")</f>
        <v/>
      </c>
    </row>
    <row r="279">
      <c r="A279" s="3" t="inlineStr">
        <is>
          <t>Богатовъ Торговый Дом, Челябинск</t>
        </is>
      </c>
      <c r="B279" s="3" t="inlineStr">
        <is>
          <t>РФ</t>
        </is>
      </c>
      <c r="C279" s="3" t="inlineStr">
        <is>
          <t>Шкала</t>
        </is>
      </c>
      <c r="D279" s="3" t="inlineStr">
        <is>
          <t>Оборудование</t>
        </is>
      </c>
      <c r="E279" s="3" t="inlineStr">
        <is>
          <t>Оборудование — за квартал</t>
        </is>
      </c>
      <c r="F279" s="3" t="inlineStr">
        <is>
          <t>1 Базовое вознаграждение за Дилерский договор</t>
        </is>
      </c>
      <c r="G279" s="4" t="n">
        <v>1</v>
      </c>
      <c r="H279" s="4" t="n"/>
      <c r="I279" s="3" t="inlineStr">
        <is>
          <t>150-189</t>
        </is>
      </c>
      <c r="J279" s="4" t="n">
        <v>4</v>
      </c>
      <c r="K279" s="4" t="n"/>
      <c r="L279" s="4" t="n"/>
      <c r="M279" s="8" t="n">
        <v>0.06</v>
      </c>
      <c r="N279" s="4" t="inlineStr">
        <is>
          <t>%</t>
        </is>
      </c>
      <c r="O279" s="3" t="inlineStr">
        <is>
          <t>Богатовъ Торговый Дом, Челябинс</t>
        </is>
      </c>
      <c r="P279" s="3" t="inlineStr">
        <is>
          <t>H13</t>
        </is>
      </c>
      <c t="str" r="Q279" s="6">
        <f>A279&amp;"|"&amp;C279&amp;"|"&amp;D279&amp;"|"&amp;G279</f>
        <v>Богатовъ Торговый Дом, Челябинск|Шкала|Оборудование|1</v>
      </c>
      <c t="str" r="R279" s="6">
        <f>A279&amp;"|"&amp;C279&amp;"|"&amp;D279&amp;"|"&amp;J279</f>
        <v>Богатовъ Торговый Дом, Челябинск|Шкала|Оборудование|4</v>
      </c>
      <c t="str" r="S279" s="6">
        <f>A279&amp;"|"&amp;C279&amp;"|"&amp;D279&amp;"|"&amp;G279&amp;"|"&amp;J279</f>
        <v>Богатовъ Торговый Дом, Челябинск|Шкала|Оборудование|1|4</v>
      </c>
      <c t="str" r="T279" s="6">
        <f>A279&amp;"|"&amp;C279&amp;"|"&amp;G279</f>
        <v>Богатовъ Торговый Дом, Челябинск|Шкала|1</v>
      </c>
      <c t="str" r="U279" s="6">
        <f>IF(H279="да",A279&amp;"|"&amp;C279&amp;"|"&amp;D279&amp;"|"&amp;J279,"")</f>
        <v/>
      </c>
      <c t="str" r="V279" s="6">
        <f>IF(C279="План",A279&amp;"|"&amp;J279,"")</f>
        <v/>
      </c>
    </row>
    <row r="280">
      <c r="A280" s="3" t="inlineStr">
        <is>
          <t>Богатовъ Торговый Дом, Челябинск</t>
        </is>
      </c>
      <c r="B280" s="3" t="inlineStr">
        <is>
          <t>РФ</t>
        </is>
      </c>
      <c r="C280" s="3" t="inlineStr">
        <is>
          <t>Шкала</t>
        </is>
      </c>
      <c r="D280" s="3" t="inlineStr">
        <is>
          <t>Оборудование</t>
        </is>
      </c>
      <c r="E280" s="3" t="inlineStr">
        <is>
          <t>Оборудование — за квартал</t>
        </is>
      </c>
      <c r="F280" s="3" t="inlineStr">
        <is>
          <t>1 Базовое вознаграждение за Дилерский договор</t>
        </is>
      </c>
      <c r="G280" s="4" t="n">
        <v>1</v>
      </c>
      <c r="H280" s="4" t="n"/>
      <c r="I280" s="3" t="inlineStr">
        <is>
          <t>190-224</t>
        </is>
      </c>
      <c r="J280" s="4" t="n">
        <v>5</v>
      </c>
      <c r="K280" s="4" t="n"/>
      <c r="L280" s="4" t="n"/>
      <c r="M280" s="8" t="n">
        <v>0.06</v>
      </c>
      <c r="N280" s="4" t="inlineStr">
        <is>
          <t>%</t>
        </is>
      </c>
      <c r="O280" s="3" t="inlineStr">
        <is>
          <t>Богатовъ Торговый Дом, Челябинс</t>
        </is>
      </c>
      <c r="P280" s="3" t="inlineStr">
        <is>
          <t>I13</t>
        </is>
      </c>
      <c t="str" r="Q280" s="6">
        <f>A280&amp;"|"&amp;C280&amp;"|"&amp;D280&amp;"|"&amp;G280</f>
        <v>Богатовъ Торговый Дом, Челябинск|Шкала|Оборудование|1</v>
      </c>
      <c t="str" r="R280" s="6">
        <f>A280&amp;"|"&amp;C280&amp;"|"&amp;D280&amp;"|"&amp;J280</f>
        <v>Богатовъ Торговый Дом, Челябинск|Шкала|Оборудование|5</v>
      </c>
      <c t="str" r="S280" s="6">
        <f>A280&amp;"|"&amp;C280&amp;"|"&amp;D280&amp;"|"&amp;G280&amp;"|"&amp;J280</f>
        <v>Богатовъ Торговый Дом, Челябинск|Шкала|Оборудование|1|5</v>
      </c>
      <c t="str" r="T280" s="6">
        <f>A280&amp;"|"&amp;C280&amp;"|"&amp;G280</f>
        <v>Богатовъ Торговый Дом, Челябинск|Шкала|1</v>
      </c>
      <c t="str" r="U280" s="6">
        <f>IF(H280="да",A280&amp;"|"&amp;C280&amp;"|"&amp;D280&amp;"|"&amp;J280,"")</f>
        <v/>
      </c>
      <c t="str" r="V280" s="6">
        <f>IF(C280="План",A280&amp;"|"&amp;J280,"")</f>
        <v/>
      </c>
    </row>
    <row r="281">
      <c r="A281" s="3" t="inlineStr">
        <is>
          <t>Богатовъ Торговый Дом, Челябинск</t>
        </is>
      </c>
      <c r="B281" s="3" t="inlineStr">
        <is>
          <t>РФ</t>
        </is>
      </c>
      <c r="C281" s="3" t="inlineStr">
        <is>
          <t>Шкала</t>
        </is>
      </c>
      <c r="D281" s="3" t="inlineStr">
        <is>
          <t>Оборудование</t>
        </is>
      </c>
      <c r="E281" s="3" t="inlineStr">
        <is>
          <t>Оборудование — за квартал</t>
        </is>
      </c>
      <c r="F281" s="3" t="inlineStr">
        <is>
          <t>1 Базовое вознаграждение за Дилерский договор</t>
        </is>
      </c>
      <c r="G281" s="4" t="n">
        <v>1</v>
      </c>
      <c r="H281" s="4" t="n"/>
      <c r="I281" s="3" t="inlineStr">
        <is>
          <t>225 и более</t>
        </is>
      </c>
      <c r="J281" s="4" t="n">
        <v>6</v>
      </c>
      <c r="K281" s="4" t="n"/>
      <c r="L281" s="4" t="n"/>
      <c r="M281" s="8" t="n">
        <v>0.06</v>
      </c>
      <c r="N281" s="4" t="inlineStr">
        <is>
          <t>%</t>
        </is>
      </c>
      <c r="O281" s="3" t="inlineStr">
        <is>
          <t>Богатовъ Торговый Дом, Челябинс</t>
        </is>
      </c>
      <c r="P281" s="3" t="inlineStr">
        <is>
          <t>J13</t>
        </is>
      </c>
      <c t="str" r="Q281" s="6">
        <f>A281&amp;"|"&amp;C281&amp;"|"&amp;D281&amp;"|"&amp;G281</f>
        <v>Богатовъ Торговый Дом, Челябинск|Шкала|Оборудование|1</v>
      </c>
      <c t="str" r="R281" s="6">
        <f>A281&amp;"|"&amp;C281&amp;"|"&amp;D281&amp;"|"&amp;J281</f>
        <v>Богатовъ Торговый Дом, Челябинск|Шкала|Оборудование|6</v>
      </c>
      <c t="str" r="S281" s="6">
        <f>A281&amp;"|"&amp;C281&amp;"|"&amp;D281&amp;"|"&amp;G281&amp;"|"&amp;J281</f>
        <v>Богатовъ Торговый Дом, Челябинск|Шкала|Оборудование|1|6</v>
      </c>
      <c t="str" r="T281" s="6">
        <f>A281&amp;"|"&amp;C281&amp;"|"&amp;G281</f>
        <v>Богатовъ Торговый Дом, Челябинск|Шкала|1</v>
      </c>
      <c t="str" r="U281" s="6">
        <f>IF(H281="да",A281&amp;"|"&amp;C281&amp;"|"&amp;D281&amp;"|"&amp;J281,"")</f>
        <v/>
      </c>
      <c t="str" r="V281" s="6">
        <f>IF(C281="План",A281&amp;"|"&amp;J281,"")</f>
        <v/>
      </c>
    </row>
    <row r="282">
      <c r="A282" s="3" t="inlineStr">
        <is>
          <t>Богатовъ Торговый Дом, Челябинск</t>
        </is>
      </c>
      <c r="B282" s="3" t="inlineStr">
        <is>
          <t>РФ</t>
        </is>
      </c>
      <c r="C282" s="3" t="inlineStr">
        <is>
          <t>Шкала</t>
        </is>
      </c>
      <c r="D282" s="3" t="inlineStr">
        <is>
          <t>Оборудование</t>
        </is>
      </c>
      <c r="E282" s="3" t="inlineStr">
        <is>
          <t>Оборудование — за квартал</t>
        </is>
      </c>
      <c r="F282" s="3" t="inlineStr">
        <is>
          <t>2.1.1. Сервисный центр</t>
        </is>
      </c>
      <c r="G282" s="4" t="n">
        <v>2</v>
      </c>
      <c r="H282" s="4" t="n"/>
      <c r="I282" s="3" t="inlineStr">
        <is>
          <t>до 75</t>
        </is>
      </c>
      <c r="J282" s="4" t="n">
        <v>1</v>
      </c>
      <c r="K282" s="4" t="n"/>
      <c r="L282" s="4" t="n"/>
      <c r="M282" s="8" t="n">
        <v>0.06</v>
      </c>
      <c r="N282" s="4" t="inlineStr">
        <is>
          <t>%</t>
        </is>
      </c>
      <c r="O282" s="3" t="inlineStr">
        <is>
          <t>Богатовъ Торговый Дом, Челябинс</t>
        </is>
      </c>
      <c r="P282" s="3" t="inlineStr">
        <is>
          <t>E14</t>
        </is>
      </c>
      <c t="str" r="Q282" s="6">
        <f>A282&amp;"|"&amp;C282&amp;"|"&amp;D282&amp;"|"&amp;G282</f>
        <v>Богатовъ Торговый Дом, Челябинск|Шкала|Оборудование|2</v>
      </c>
      <c t="str" r="R282" s="6">
        <f>A282&amp;"|"&amp;C282&amp;"|"&amp;D282&amp;"|"&amp;J282</f>
        <v>Богатовъ Торговый Дом, Челябинск|Шкала|Оборудование|1</v>
      </c>
      <c t="str" r="S282" s="6">
        <f>A282&amp;"|"&amp;C282&amp;"|"&amp;D282&amp;"|"&amp;G282&amp;"|"&amp;J282</f>
        <v>Богатовъ Торговый Дом, Челябинск|Шкала|Оборудование|2|1</v>
      </c>
      <c t="str" r="T282" s="6">
        <f>A282&amp;"|"&amp;C282&amp;"|"&amp;G282</f>
        <v>Богатовъ Торговый Дом, Челябинск|Шкала|2</v>
      </c>
      <c t="str" r="U282" s="6">
        <f>IF(H282="да",A282&amp;"|"&amp;C282&amp;"|"&amp;D282&amp;"|"&amp;J282,"")</f>
        <v/>
      </c>
      <c t="str" r="V282" s="6">
        <f>IF(C282="План",A282&amp;"|"&amp;J282,"")</f>
        <v/>
      </c>
    </row>
    <row r="283">
      <c r="A283" s="3" t="inlineStr">
        <is>
          <t>Богатовъ Торговый Дом, Челябинск</t>
        </is>
      </c>
      <c r="B283" s="3" t="inlineStr">
        <is>
          <t>РФ</t>
        </is>
      </c>
      <c r="C283" s="3" t="inlineStr">
        <is>
          <t>Шкала</t>
        </is>
      </c>
      <c r="D283" s="3" t="inlineStr">
        <is>
          <t>Оборудование</t>
        </is>
      </c>
      <c r="E283" s="3" t="inlineStr">
        <is>
          <t>Оборудование — за квартал</t>
        </is>
      </c>
      <c r="F283" s="3" t="inlineStr">
        <is>
          <t>2.1.1. Сервисный центр</t>
        </is>
      </c>
      <c r="G283" s="4" t="n">
        <v>2</v>
      </c>
      <c r="H283" s="4" t="n"/>
      <c r="I283" s="3" t="inlineStr">
        <is>
          <t>75-114</t>
        </is>
      </c>
      <c r="J283" s="4" t="n">
        <v>2</v>
      </c>
      <c r="K283" s="4" t="n"/>
      <c r="L283" s="4" t="n"/>
      <c r="M283" s="8" t="n">
        <v>0.06</v>
      </c>
      <c r="N283" s="4" t="inlineStr">
        <is>
          <t>%</t>
        </is>
      </c>
      <c r="O283" s="3" t="inlineStr">
        <is>
          <t>Богатовъ Торговый Дом, Челябинс</t>
        </is>
      </c>
      <c r="P283" s="3" t="inlineStr">
        <is>
          <t>F14</t>
        </is>
      </c>
      <c t="str" r="Q283" s="6">
        <f>A283&amp;"|"&amp;C283&amp;"|"&amp;D283&amp;"|"&amp;G283</f>
        <v>Богатовъ Торговый Дом, Челябинск|Шкала|Оборудование|2</v>
      </c>
      <c t="str" r="R283" s="6">
        <f>A283&amp;"|"&amp;C283&amp;"|"&amp;D283&amp;"|"&amp;J283</f>
        <v>Богатовъ Торговый Дом, Челябинск|Шкала|Оборудование|2</v>
      </c>
      <c t="str" r="S283" s="6">
        <f>A283&amp;"|"&amp;C283&amp;"|"&amp;D283&amp;"|"&amp;G283&amp;"|"&amp;J283</f>
        <v>Богатовъ Торговый Дом, Челябинск|Шкала|Оборудование|2|2</v>
      </c>
      <c t="str" r="T283" s="6">
        <f>A283&amp;"|"&amp;C283&amp;"|"&amp;G283</f>
        <v>Богатовъ Торговый Дом, Челябинск|Шкала|2</v>
      </c>
      <c t="str" r="U283" s="6">
        <f>IF(H283="да",A283&amp;"|"&amp;C283&amp;"|"&amp;D283&amp;"|"&amp;J283,"")</f>
        <v/>
      </c>
      <c t="str" r="V283" s="6">
        <f>IF(C283="План",A283&amp;"|"&amp;J283,"")</f>
        <v/>
      </c>
    </row>
    <row r="284">
      <c r="A284" s="3" t="inlineStr">
        <is>
          <t>Богатовъ Торговый Дом, Челябинск</t>
        </is>
      </c>
      <c r="B284" s="3" t="inlineStr">
        <is>
          <t>РФ</t>
        </is>
      </c>
      <c r="C284" s="3" t="inlineStr">
        <is>
          <t>Шкала</t>
        </is>
      </c>
      <c r="D284" s="3" t="inlineStr">
        <is>
          <t>Оборудование</t>
        </is>
      </c>
      <c r="E284" s="3" t="inlineStr">
        <is>
          <t>Оборудование — за квартал</t>
        </is>
      </c>
      <c r="F284" s="3" t="inlineStr">
        <is>
          <t>2.1.1. Сервисный центр</t>
        </is>
      </c>
      <c r="G284" s="4" t="n">
        <v>2</v>
      </c>
      <c r="H284" s="4" t="n"/>
      <c r="I284" s="3" t="inlineStr">
        <is>
          <t>115-149</t>
        </is>
      </c>
      <c r="J284" s="4" t="n">
        <v>3</v>
      </c>
      <c r="K284" s="4" t="n"/>
      <c r="L284" s="4" t="n"/>
      <c r="M284" s="8" t="n">
        <v>0.06</v>
      </c>
      <c r="N284" s="4" t="inlineStr">
        <is>
          <t>%</t>
        </is>
      </c>
      <c r="O284" s="3" t="inlineStr">
        <is>
          <t>Богатовъ Торговый Дом, Челябинс</t>
        </is>
      </c>
      <c r="P284" s="3" t="inlineStr">
        <is>
          <t>G14</t>
        </is>
      </c>
      <c t="str" r="Q284" s="6">
        <f>A284&amp;"|"&amp;C284&amp;"|"&amp;D284&amp;"|"&amp;G284</f>
        <v>Богатовъ Торговый Дом, Челябинск|Шкала|Оборудование|2</v>
      </c>
      <c t="str" r="R284" s="6">
        <f>A284&amp;"|"&amp;C284&amp;"|"&amp;D284&amp;"|"&amp;J284</f>
        <v>Богатовъ Торговый Дом, Челябинск|Шкала|Оборудование|3</v>
      </c>
      <c t="str" r="S284" s="6">
        <f>A284&amp;"|"&amp;C284&amp;"|"&amp;D284&amp;"|"&amp;G284&amp;"|"&amp;J284</f>
        <v>Богатовъ Торговый Дом, Челябинск|Шкала|Оборудование|2|3</v>
      </c>
      <c t="str" r="T284" s="6">
        <f>A284&amp;"|"&amp;C284&amp;"|"&amp;G284</f>
        <v>Богатовъ Торговый Дом, Челябинск|Шкала|2</v>
      </c>
      <c t="str" r="U284" s="6">
        <f>IF(H284="да",A284&amp;"|"&amp;C284&amp;"|"&amp;D284&amp;"|"&amp;J284,"")</f>
        <v/>
      </c>
      <c t="str" r="V284" s="6">
        <f>IF(C284="План",A284&amp;"|"&amp;J284,"")</f>
        <v/>
      </c>
    </row>
    <row r="285">
      <c r="A285" s="3" t="inlineStr">
        <is>
          <t>Богатовъ Торговый Дом, Челябинск</t>
        </is>
      </c>
      <c r="B285" s="3" t="inlineStr">
        <is>
          <t>РФ</t>
        </is>
      </c>
      <c r="C285" s="3" t="inlineStr">
        <is>
          <t>Шкала</t>
        </is>
      </c>
      <c r="D285" s="3" t="inlineStr">
        <is>
          <t>Оборудование</t>
        </is>
      </c>
      <c r="E285" s="3" t="inlineStr">
        <is>
          <t>Оборудование — за квартал</t>
        </is>
      </c>
      <c r="F285" s="3" t="inlineStr">
        <is>
          <t>2.1.1. Сервисный центр</t>
        </is>
      </c>
      <c r="G285" s="4" t="n">
        <v>2</v>
      </c>
      <c r="H285" s="4" t="n"/>
      <c r="I285" s="3" t="inlineStr">
        <is>
          <t>150-189</t>
        </is>
      </c>
      <c r="J285" s="4" t="n">
        <v>4</v>
      </c>
      <c r="K285" s="4" t="n"/>
      <c r="L285" s="4" t="n"/>
      <c r="M285" s="8" t="n">
        <v>0.06</v>
      </c>
      <c r="N285" s="4" t="inlineStr">
        <is>
          <t>%</t>
        </is>
      </c>
      <c r="O285" s="3" t="inlineStr">
        <is>
          <t>Богатовъ Торговый Дом, Челябинс</t>
        </is>
      </c>
      <c r="P285" s="3" t="inlineStr">
        <is>
          <t>H14</t>
        </is>
      </c>
      <c t="str" r="Q285" s="6">
        <f>A285&amp;"|"&amp;C285&amp;"|"&amp;D285&amp;"|"&amp;G285</f>
        <v>Богатовъ Торговый Дом, Челябинск|Шкала|Оборудование|2</v>
      </c>
      <c t="str" r="R285" s="6">
        <f>A285&amp;"|"&amp;C285&amp;"|"&amp;D285&amp;"|"&amp;J285</f>
        <v>Богатовъ Торговый Дом, Челябинск|Шкала|Оборудование|4</v>
      </c>
      <c t="str" r="S285" s="6">
        <f>A285&amp;"|"&amp;C285&amp;"|"&amp;D285&amp;"|"&amp;G285&amp;"|"&amp;J285</f>
        <v>Богатовъ Торговый Дом, Челябинск|Шкала|Оборудование|2|4</v>
      </c>
      <c t="str" r="T285" s="6">
        <f>A285&amp;"|"&amp;C285&amp;"|"&amp;G285</f>
        <v>Богатовъ Торговый Дом, Челябинск|Шкала|2</v>
      </c>
      <c t="str" r="U285" s="6">
        <f>IF(H285="да",A285&amp;"|"&amp;C285&amp;"|"&amp;D285&amp;"|"&amp;J285,"")</f>
        <v/>
      </c>
      <c t="str" r="V285" s="6">
        <f>IF(C285="План",A285&amp;"|"&amp;J285,"")</f>
        <v/>
      </c>
    </row>
    <row r="286">
      <c r="A286" s="3" t="inlineStr">
        <is>
          <t>Богатовъ Торговый Дом, Челябинск</t>
        </is>
      </c>
      <c r="B286" s="3" t="inlineStr">
        <is>
          <t>РФ</t>
        </is>
      </c>
      <c r="C286" s="3" t="inlineStr">
        <is>
          <t>Шкала</t>
        </is>
      </c>
      <c r="D286" s="3" t="inlineStr">
        <is>
          <t>Оборудование</t>
        </is>
      </c>
      <c r="E286" s="3" t="inlineStr">
        <is>
          <t>Оборудование — за квартал</t>
        </is>
      </c>
      <c r="F286" s="3" t="inlineStr">
        <is>
          <t>2.1.1. Сервисный центр</t>
        </is>
      </c>
      <c r="G286" s="4" t="n">
        <v>2</v>
      </c>
      <c r="H286" s="4" t="n"/>
      <c r="I286" s="3" t="inlineStr">
        <is>
          <t>190-224</t>
        </is>
      </c>
      <c r="J286" s="4" t="n">
        <v>5</v>
      </c>
      <c r="K286" s="4" t="n"/>
      <c r="L286" s="4" t="n"/>
      <c r="M286" s="8" t="n">
        <v>0.06</v>
      </c>
      <c r="N286" s="4" t="inlineStr">
        <is>
          <t>%</t>
        </is>
      </c>
      <c r="O286" s="3" t="inlineStr">
        <is>
          <t>Богатовъ Торговый Дом, Челябинс</t>
        </is>
      </c>
      <c r="P286" s="3" t="inlineStr">
        <is>
          <t>I14</t>
        </is>
      </c>
      <c t="str" r="Q286" s="6">
        <f>A286&amp;"|"&amp;C286&amp;"|"&amp;D286&amp;"|"&amp;G286</f>
        <v>Богатовъ Торговый Дом, Челябинск|Шкала|Оборудование|2</v>
      </c>
      <c t="str" r="R286" s="6">
        <f>A286&amp;"|"&amp;C286&amp;"|"&amp;D286&amp;"|"&amp;J286</f>
        <v>Богатовъ Торговый Дом, Челябинск|Шкала|Оборудование|5</v>
      </c>
      <c t="str" r="S286" s="6">
        <f>A286&amp;"|"&amp;C286&amp;"|"&amp;D286&amp;"|"&amp;G286&amp;"|"&amp;J286</f>
        <v>Богатовъ Торговый Дом, Челябинск|Шкала|Оборудование|2|5</v>
      </c>
      <c t="str" r="T286" s="6">
        <f>A286&amp;"|"&amp;C286&amp;"|"&amp;G286</f>
        <v>Богатовъ Торговый Дом, Челябинск|Шкала|2</v>
      </c>
      <c t="str" r="U286" s="6">
        <f>IF(H286="да",A286&amp;"|"&amp;C286&amp;"|"&amp;D286&amp;"|"&amp;J286,"")</f>
        <v/>
      </c>
      <c t="str" r="V286" s="6">
        <f>IF(C286="План",A286&amp;"|"&amp;J286,"")</f>
        <v/>
      </c>
    </row>
    <row r="287">
      <c r="A287" s="3" t="inlineStr">
        <is>
          <t>Богатовъ Торговый Дом, Челябинск</t>
        </is>
      </c>
      <c r="B287" s="3" t="inlineStr">
        <is>
          <t>РФ</t>
        </is>
      </c>
      <c r="C287" s="3" t="inlineStr">
        <is>
          <t>Шкала</t>
        </is>
      </c>
      <c r="D287" s="3" t="inlineStr">
        <is>
          <t>Оборудование</t>
        </is>
      </c>
      <c r="E287" s="3" t="inlineStr">
        <is>
          <t>Оборудование — за квартал</t>
        </is>
      </c>
      <c r="F287" s="3" t="inlineStr">
        <is>
          <t>2.1.1. Сервисный центр</t>
        </is>
      </c>
      <c r="G287" s="4" t="n">
        <v>2</v>
      </c>
      <c r="H287" s="4" t="n"/>
      <c r="I287" s="3" t="inlineStr">
        <is>
          <t>225 и более</t>
        </is>
      </c>
      <c r="J287" s="4" t="n">
        <v>6</v>
      </c>
      <c r="K287" s="4" t="n"/>
      <c r="L287" s="4" t="n"/>
      <c r="M287" s="8" t="n">
        <v>0.06</v>
      </c>
      <c r="N287" s="4" t="inlineStr">
        <is>
          <t>%</t>
        </is>
      </c>
      <c r="O287" s="3" t="inlineStr">
        <is>
          <t>Богатовъ Торговый Дом, Челябинс</t>
        </is>
      </c>
      <c r="P287" s="3" t="inlineStr">
        <is>
          <t>J14</t>
        </is>
      </c>
      <c t="str" r="Q287" s="6">
        <f>A287&amp;"|"&amp;C287&amp;"|"&amp;D287&amp;"|"&amp;G287</f>
        <v>Богатовъ Торговый Дом, Челябинск|Шкала|Оборудование|2</v>
      </c>
      <c t="str" r="R287" s="6">
        <f>A287&amp;"|"&amp;C287&amp;"|"&amp;D287&amp;"|"&amp;J287</f>
        <v>Богатовъ Торговый Дом, Челябинск|Шкала|Оборудование|6</v>
      </c>
      <c t="str" r="S287" s="6">
        <f>A287&amp;"|"&amp;C287&amp;"|"&amp;D287&amp;"|"&amp;G287&amp;"|"&amp;J287</f>
        <v>Богатовъ Торговый Дом, Челябинск|Шкала|Оборудование|2|6</v>
      </c>
      <c t="str" r="T287" s="6">
        <f>A287&amp;"|"&amp;C287&amp;"|"&amp;G287</f>
        <v>Богатовъ Торговый Дом, Челябинск|Шкала|2</v>
      </c>
      <c t="str" r="U287" s="6">
        <f>IF(H287="да",A287&amp;"|"&amp;C287&amp;"|"&amp;D287&amp;"|"&amp;J287,"")</f>
        <v/>
      </c>
      <c t="str" r="V287" s="6">
        <f>IF(C287="План",A287&amp;"|"&amp;J287,"")</f>
        <v/>
      </c>
    </row>
    <row r="288">
      <c r="A288" s="3" t="inlineStr">
        <is>
          <t>Богатовъ Торговый Дом, Челябинск</t>
        </is>
      </c>
      <c r="B288" s="3" t="inlineStr">
        <is>
          <t>РФ</t>
        </is>
      </c>
      <c r="C288" s="3" t="inlineStr">
        <is>
          <t>Шкала</t>
        </is>
      </c>
      <c r="D288" s="3" t="inlineStr">
        <is>
          <t>Оборудование</t>
        </is>
      </c>
      <c r="E288" s="3" t="inlineStr">
        <is>
          <t>Оборудование — за квартал</t>
        </is>
      </c>
      <c r="F288" s="3" t="inlineStr">
        <is>
          <t>2.1.2. Сервисный центр - гарантийное обслуживание</t>
        </is>
      </c>
      <c r="G288" s="4" t="n">
        <v>3</v>
      </c>
      <c r="H288" s="4" t="n"/>
      <c r="I288" s="3" t="inlineStr">
        <is>
          <t>до 75</t>
        </is>
      </c>
      <c r="J288" s="4" t="n">
        <v>1</v>
      </c>
      <c r="K288" s="4" t="n"/>
      <c r="L288" s="4" t="n"/>
      <c r="M288" s="8" t="n">
        <v>0.01</v>
      </c>
      <c r="N288" s="4" t="inlineStr">
        <is>
          <t>%</t>
        </is>
      </c>
      <c r="O288" s="3" t="inlineStr">
        <is>
          <t>Богатовъ Торговый Дом, Челябинс</t>
        </is>
      </c>
      <c r="P288" s="3" t="inlineStr">
        <is>
          <t>E15</t>
        </is>
      </c>
      <c t="str" r="Q288" s="6">
        <f>A288&amp;"|"&amp;C288&amp;"|"&amp;D288&amp;"|"&amp;G288</f>
        <v>Богатовъ Торговый Дом, Челябинск|Шкала|Оборудование|3</v>
      </c>
      <c t="str" r="R288" s="6">
        <f>A288&amp;"|"&amp;C288&amp;"|"&amp;D288&amp;"|"&amp;J288</f>
        <v>Богатовъ Торговый Дом, Челябинск|Шкала|Оборудование|1</v>
      </c>
      <c t="str" r="S288" s="6">
        <f>A288&amp;"|"&amp;C288&amp;"|"&amp;D288&amp;"|"&amp;G288&amp;"|"&amp;J288</f>
        <v>Богатовъ Торговый Дом, Челябинск|Шкала|Оборудование|3|1</v>
      </c>
      <c t="str" r="T288" s="6">
        <f>A288&amp;"|"&amp;C288&amp;"|"&amp;G288</f>
        <v>Богатовъ Торговый Дом, Челябинск|Шкала|3</v>
      </c>
      <c t="str" r="U288" s="6">
        <f>IF(H288="да",A288&amp;"|"&amp;C288&amp;"|"&amp;D288&amp;"|"&amp;J288,"")</f>
        <v/>
      </c>
      <c t="str" r="V288" s="6">
        <f>IF(C288="План",A288&amp;"|"&amp;J288,"")</f>
        <v/>
      </c>
    </row>
    <row r="289">
      <c r="A289" s="3" t="inlineStr">
        <is>
          <t>Богатовъ Торговый Дом, Челябинск</t>
        </is>
      </c>
      <c r="B289" s="3" t="inlineStr">
        <is>
          <t>РФ</t>
        </is>
      </c>
      <c r="C289" s="3" t="inlineStr">
        <is>
          <t>Шкала</t>
        </is>
      </c>
      <c r="D289" s="3" t="inlineStr">
        <is>
          <t>Оборудование</t>
        </is>
      </c>
      <c r="E289" s="3" t="inlineStr">
        <is>
          <t>Оборудование — за квартал</t>
        </is>
      </c>
      <c r="F289" s="3" t="inlineStr">
        <is>
          <t>2.1.2. Сервисный центр - гарантийное обслуживание</t>
        </is>
      </c>
      <c r="G289" s="4" t="n">
        <v>3</v>
      </c>
      <c r="H289" s="4" t="n"/>
      <c r="I289" s="3" t="inlineStr">
        <is>
          <t>75-114</t>
        </is>
      </c>
      <c r="J289" s="4" t="n">
        <v>2</v>
      </c>
      <c r="K289" s="4" t="n"/>
      <c r="L289" s="4" t="n"/>
      <c r="M289" s="8" t="n">
        <v>0.01</v>
      </c>
      <c r="N289" s="4" t="inlineStr">
        <is>
          <t>%</t>
        </is>
      </c>
      <c r="O289" s="3" t="inlineStr">
        <is>
          <t>Богатовъ Торговый Дом, Челябинс</t>
        </is>
      </c>
      <c r="P289" s="3" t="inlineStr">
        <is>
          <t>F15</t>
        </is>
      </c>
      <c t="str" r="Q289" s="6">
        <f>A289&amp;"|"&amp;C289&amp;"|"&amp;D289&amp;"|"&amp;G289</f>
        <v>Богатовъ Торговый Дом, Челябинск|Шкала|Оборудование|3</v>
      </c>
      <c t="str" r="R289" s="6">
        <f>A289&amp;"|"&amp;C289&amp;"|"&amp;D289&amp;"|"&amp;J289</f>
        <v>Богатовъ Торговый Дом, Челябинск|Шкала|Оборудование|2</v>
      </c>
      <c t="str" r="S289" s="6">
        <f>A289&amp;"|"&amp;C289&amp;"|"&amp;D289&amp;"|"&amp;G289&amp;"|"&amp;J289</f>
        <v>Богатовъ Торговый Дом, Челябинск|Шкала|Оборудование|3|2</v>
      </c>
      <c t="str" r="T289" s="6">
        <f>A289&amp;"|"&amp;C289&amp;"|"&amp;G289</f>
        <v>Богатовъ Торговый Дом, Челябинск|Шкала|3</v>
      </c>
      <c t="str" r="U289" s="6">
        <f>IF(H289="да",A289&amp;"|"&amp;C289&amp;"|"&amp;D289&amp;"|"&amp;J289,"")</f>
        <v/>
      </c>
      <c t="str" r="V289" s="6">
        <f>IF(C289="План",A289&amp;"|"&amp;J289,"")</f>
        <v/>
      </c>
    </row>
    <row r="290">
      <c r="A290" s="3" t="inlineStr">
        <is>
          <t>Богатовъ Торговый Дом, Челябинск</t>
        </is>
      </c>
      <c r="B290" s="3" t="inlineStr">
        <is>
          <t>РФ</t>
        </is>
      </c>
      <c r="C290" s="3" t="inlineStr">
        <is>
          <t>Шкала</t>
        </is>
      </c>
      <c r="D290" s="3" t="inlineStr">
        <is>
          <t>Оборудование</t>
        </is>
      </c>
      <c r="E290" s="3" t="inlineStr">
        <is>
          <t>Оборудование — за квартал</t>
        </is>
      </c>
      <c r="F290" s="3" t="inlineStr">
        <is>
          <t>2.1.2. Сервисный центр - гарантийное обслуживание</t>
        </is>
      </c>
      <c r="G290" s="4" t="n">
        <v>3</v>
      </c>
      <c r="H290" s="4" t="n"/>
      <c r="I290" s="3" t="inlineStr">
        <is>
          <t>115-149</t>
        </is>
      </c>
      <c r="J290" s="4" t="n">
        <v>3</v>
      </c>
      <c r="K290" s="4" t="n"/>
      <c r="L290" s="4" t="n"/>
      <c r="M290" s="8" t="n">
        <v>0.01</v>
      </c>
      <c r="N290" s="4" t="inlineStr">
        <is>
          <t>%</t>
        </is>
      </c>
      <c r="O290" s="3" t="inlineStr">
        <is>
          <t>Богатовъ Торговый Дом, Челябинс</t>
        </is>
      </c>
      <c r="P290" s="3" t="inlineStr">
        <is>
          <t>G15</t>
        </is>
      </c>
      <c t="str" r="Q290" s="6">
        <f>A290&amp;"|"&amp;C290&amp;"|"&amp;D290&amp;"|"&amp;G290</f>
        <v>Богатовъ Торговый Дом, Челябинск|Шкала|Оборудование|3</v>
      </c>
      <c t="str" r="R290" s="6">
        <f>A290&amp;"|"&amp;C290&amp;"|"&amp;D290&amp;"|"&amp;J290</f>
        <v>Богатовъ Торговый Дом, Челябинск|Шкала|Оборудование|3</v>
      </c>
      <c t="str" r="S290" s="6">
        <f>A290&amp;"|"&amp;C290&amp;"|"&amp;D290&amp;"|"&amp;G290&amp;"|"&amp;J290</f>
        <v>Богатовъ Торговый Дом, Челябинск|Шкала|Оборудование|3|3</v>
      </c>
      <c t="str" r="T290" s="6">
        <f>A290&amp;"|"&amp;C290&amp;"|"&amp;G290</f>
        <v>Богатовъ Торговый Дом, Челябинск|Шкала|3</v>
      </c>
      <c t="str" r="U290" s="6">
        <f>IF(H290="да",A290&amp;"|"&amp;C290&amp;"|"&amp;D290&amp;"|"&amp;J290,"")</f>
        <v/>
      </c>
      <c t="str" r="V290" s="6">
        <f>IF(C290="План",A290&amp;"|"&amp;J290,"")</f>
        <v/>
      </c>
    </row>
    <row r="291">
      <c r="A291" s="3" t="inlineStr">
        <is>
          <t>Богатовъ Торговый Дом, Челябинск</t>
        </is>
      </c>
      <c r="B291" s="3" t="inlineStr">
        <is>
          <t>РФ</t>
        </is>
      </c>
      <c r="C291" s="3" t="inlineStr">
        <is>
          <t>Шкала</t>
        </is>
      </c>
      <c r="D291" s="3" t="inlineStr">
        <is>
          <t>Оборудование</t>
        </is>
      </c>
      <c r="E291" s="3" t="inlineStr">
        <is>
          <t>Оборудование — за квартал</t>
        </is>
      </c>
      <c r="F291" s="3" t="inlineStr">
        <is>
          <t>2.1.2. Сервисный центр - гарантийное обслуживание</t>
        </is>
      </c>
      <c r="G291" s="4" t="n">
        <v>3</v>
      </c>
      <c r="H291" s="4" t="n"/>
      <c r="I291" s="3" t="inlineStr">
        <is>
          <t>150-189</t>
        </is>
      </c>
      <c r="J291" s="4" t="n">
        <v>4</v>
      </c>
      <c r="K291" s="4" t="n"/>
      <c r="L291" s="4" t="n"/>
      <c r="M291" s="8" t="n">
        <v>0.01</v>
      </c>
      <c r="N291" s="4" t="inlineStr">
        <is>
          <t>%</t>
        </is>
      </c>
      <c r="O291" s="3" t="inlineStr">
        <is>
          <t>Богатовъ Торговый Дом, Челябинс</t>
        </is>
      </c>
      <c r="P291" s="3" t="inlineStr">
        <is>
          <t>H15</t>
        </is>
      </c>
      <c t="str" r="Q291" s="6">
        <f>A291&amp;"|"&amp;C291&amp;"|"&amp;D291&amp;"|"&amp;G291</f>
        <v>Богатовъ Торговый Дом, Челябинск|Шкала|Оборудование|3</v>
      </c>
      <c t="str" r="R291" s="6">
        <f>A291&amp;"|"&amp;C291&amp;"|"&amp;D291&amp;"|"&amp;J291</f>
        <v>Богатовъ Торговый Дом, Челябинск|Шкала|Оборудование|4</v>
      </c>
      <c t="str" r="S291" s="6">
        <f>A291&amp;"|"&amp;C291&amp;"|"&amp;D291&amp;"|"&amp;G291&amp;"|"&amp;J291</f>
        <v>Богатовъ Торговый Дом, Челябинск|Шкала|Оборудование|3|4</v>
      </c>
      <c t="str" r="T291" s="6">
        <f>A291&amp;"|"&amp;C291&amp;"|"&amp;G291</f>
        <v>Богатовъ Торговый Дом, Челябинск|Шкала|3</v>
      </c>
      <c t="str" r="U291" s="6">
        <f>IF(H291="да",A291&amp;"|"&amp;C291&amp;"|"&amp;D291&amp;"|"&amp;J291,"")</f>
        <v/>
      </c>
      <c t="str" r="V291" s="6">
        <f>IF(C291="План",A291&amp;"|"&amp;J291,"")</f>
        <v/>
      </c>
    </row>
    <row r="292">
      <c r="A292" s="3" t="inlineStr">
        <is>
          <t>Богатовъ Торговый Дом, Челябинск</t>
        </is>
      </c>
      <c r="B292" s="3" t="inlineStr">
        <is>
          <t>РФ</t>
        </is>
      </c>
      <c r="C292" s="3" t="inlineStr">
        <is>
          <t>Шкала</t>
        </is>
      </c>
      <c r="D292" s="3" t="inlineStr">
        <is>
          <t>Оборудование</t>
        </is>
      </c>
      <c r="E292" s="3" t="inlineStr">
        <is>
          <t>Оборудование — за квартал</t>
        </is>
      </c>
      <c r="F292" s="3" t="inlineStr">
        <is>
          <t>2.1.2. Сервисный центр - гарантийное обслуживание</t>
        </is>
      </c>
      <c r="G292" s="4" t="n">
        <v>3</v>
      </c>
      <c r="H292" s="4" t="n"/>
      <c r="I292" s="3" t="inlineStr">
        <is>
          <t>190-224</t>
        </is>
      </c>
      <c r="J292" s="4" t="n">
        <v>5</v>
      </c>
      <c r="K292" s="4" t="n"/>
      <c r="L292" s="4" t="n"/>
      <c r="M292" s="8" t="n">
        <v>0.01</v>
      </c>
      <c r="N292" s="4" t="inlineStr">
        <is>
          <t>%</t>
        </is>
      </c>
      <c r="O292" s="3" t="inlineStr">
        <is>
          <t>Богатовъ Торговый Дом, Челябинс</t>
        </is>
      </c>
      <c r="P292" s="3" t="inlineStr">
        <is>
          <t>I15</t>
        </is>
      </c>
      <c t="str" r="Q292" s="6">
        <f>A292&amp;"|"&amp;C292&amp;"|"&amp;D292&amp;"|"&amp;G292</f>
        <v>Богатовъ Торговый Дом, Челябинск|Шкала|Оборудование|3</v>
      </c>
      <c t="str" r="R292" s="6">
        <f>A292&amp;"|"&amp;C292&amp;"|"&amp;D292&amp;"|"&amp;J292</f>
        <v>Богатовъ Торговый Дом, Челябинск|Шкала|Оборудование|5</v>
      </c>
      <c t="str" r="S292" s="6">
        <f>A292&amp;"|"&amp;C292&amp;"|"&amp;D292&amp;"|"&amp;G292&amp;"|"&amp;J292</f>
        <v>Богатовъ Торговый Дом, Челябинск|Шкала|Оборудование|3|5</v>
      </c>
      <c t="str" r="T292" s="6">
        <f>A292&amp;"|"&amp;C292&amp;"|"&amp;G292</f>
        <v>Богатовъ Торговый Дом, Челябинск|Шкала|3</v>
      </c>
      <c t="str" r="U292" s="6">
        <f>IF(H292="да",A292&amp;"|"&amp;C292&amp;"|"&amp;D292&amp;"|"&amp;J292,"")</f>
        <v/>
      </c>
      <c t="str" r="V292" s="6">
        <f>IF(C292="План",A292&amp;"|"&amp;J292,"")</f>
        <v/>
      </c>
    </row>
    <row r="293">
      <c r="A293" s="3" t="inlineStr">
        <is>
          <t>Богатовъ Торговый Дом, Челябинск</t>
        </is>
      </c>
      <c r="B293" s="3" t="inlineStr">
        <is>
          <t>РФ</t>
        </is>
      </c>
      <c r="C293" s="3" t="inlineStr">
        <is>
          <t>Шкала</t>
        </is>
      </c>
      <c r="D293" s="3" t="inlineStr">
        <is>
          <t>Оборудование</t>
        </is>
      </c>
      <c r="E293" s="3" t="inlineStr">
        <is>
          <t>Оборудование — за квартал</t>
        </is>
      </c>
      <c r="F293" s="3" t="inlineStr">
        <is>
          <t>2.1.2. Сервисный центр - гарантийное обслуживание</t>
        </is>
      </c>
      <c r="G293" s="4" t="n">
        <v>3</v>
      </c>
      <c r="H293" s="4" t="n"/>
      <c r="I293" s="3" t="inlineStr">
        <is>
          <t>225 и более</t>
        </is>
      </c>
      <c r="J293" s="4" t="n">
        <v>6</v>
      </c>
      <c r="K293" s="4" t="n"/>
      <c r="L293" s="4" t="n"/>
      <c r="M293" s="8" t="n">
        <v>0.01</v>
      </c>
      <c r="N293" s="4" t="inlineStr">
        <is>
          <t>%</t>
        </is>
      </c>
      <c r="O293" s="3" t="inlineStr">
        <is>
          <t>Богатовъ Торговый Дом, Челябинс</t>
        </is>
      </c>
      <c r="P293" s="3" t="inlineStr">
        <is>
          <t>J15</t>
        </is>
      </c>
      <c t="str" r="Q293" s="6">
        <f>A293&amp;"|"&amp;C293&amp;"|"&amp;D293&amp;"|"&amp;G293</f>
        <v>Богатовъ Торговый Дом, Челябинск|Шкала|Оборудование|3</v>
      </c>
      <c t="str" r="R293" s="6">
        <f>A293&amp;"|"&amp;C293&amp;"|"&amp;D293&amp;"|"&amp;J293</f>
        <v>Богатовъ Торговый Дом, Челябинск|Шкала|Оборудование|6</v>
      </c>
      <c t="str" r="S293" s="6">
        <f>A293&amp;"|"&amp;C293&amp;"|"&amp;D293&amp;"|"&amp;G293&amp;"|"&amp;J293</f>
        <v>Богатовъ Торговый Дом, Челябинск|Шкала|Оборудование|3|6</v>
      </c>
      <c t="str" r="T293" s="6">
        <f>A293&amp;"|"&amp;C293&amp;"|"&amp;G293</f>
        <v>Богатовъ Торговый Дом, Челябинск|Шкала|3</v>
      </c>
      <c t="str" r="U293" s="6">
        <f>IF(H293="да",A293&amp;"|"&amp;C293&amp;"|"&amp;D293&amp;"|"&amp;J293,"")</f>
        <v/>
      </c>
      <c t="str" r="V293" s="6">
        <f>IF(C293="План",A293&amp;"|"&amp;J293,"")</f>
        <v/>
      </c>
    </row>
    <row r="294">
      <c r="A294" s="3" t="inlineStr">
        <is>
          <t>Богатовъ Торговый Дом, Челябинск</t>
        </is>
      </c>
      <c r="B294" s="3" t="inlineStr">
        <is>
          <t>РФ</t>
        </is>
      </c>
      <c r="C294" s="3" t="inlineStr">
        <is>
          <t>Шкала</t>
        </is>
      </c>
      <c r="D294" s="3" t="inlineStr">
        <is>
          <t>Оборудование</t>
        </is>
      </c>
      <c r="E294" s="3" t="inlineStr">
        <is>
          <t>Оборудование — за квартал</t>
        </is>
      </c>
      <c r="F294" s="3" t="inlineStr">
        <is>
          <t>2.3 Наличие минимальных складских остатков по оборудованию</t>
        </is>
      </c>
      <c r="G294" s="4" t="n">
        <v>4</v>
      </c>
      <c r="H294" s="4" t="n"/>
      <c r="I294" s="3" t="inlineStr">
        <is>
          <t>до 75</t>
        </is>
      </c>
      <c r="J294" s="4" t="n">
        <v>1</v>
      </c>
      <c r="K294" s="4" t="n"/>
      <c r="L294" s="4" t="n"/>
      <c r="M294" s="8" t="n">
        <v>0.01</v>
      </c>
      <c r="N294" s="4" t="inlineStr">
        <is>
          <t>%</t>
        </is>
      </c>
      <c r="O294" s="3" t="inlineStr">
        <is>
          <t>Богатовъ Торговый Дом, Челябинс</t>
        </is>
      </c>
      <c r="P294" s="3" t="inlineStr">
        <is>
          <t>E16</t>
        </is>
      </c>
      <c t="str" r="Q294" s="6">
        <f>A294&amp;"|"&amp;C294&amp;"|"&amp;D294&amp;"|"&amp;G294</f>
        <v>Богатовъ Торговый Дом, Челябинск|Шкала|Оборудование|4</v>
      </c>
      <c t="str" r="R294" s="6">
        <f>A294&amp;"|"&amp;C294&amp;"|"&amp;D294&amp;"|"&amp;J294</f>
        <v>Богатовъ Торговый Дом, Челябинск|Шкала|Оборудование|1</v>
      </c>
      <c t="str" r="S294" s="6">
        <f>A294&amp;"|"&amp;C294&amp;"|"&amp;D294&amp;"|"&amp;G294&amp;"|"&amp;J294</f>
        <v>Богатовъ Торговый Дом, Челябинск|Шкала|Оборудование|4|1</v>
      </c>
      <c t="str" r="T294" s="6">
        <f>A294&amp;"|"&amp;C294&amp;"|"&amp;G294</f>
        <v>Богатовъ Торговый Дом, Челябинск|Шкала|4</v>
      </c>
      <c t="str" r="U294" s="6">
        <f>IF(H294="да",A294&amp;"|"&amp;C294&amp;"|"&amp;D294&amp;"|"&amp;J294,"")</f>
        <v/>
      </c>
      <c t="str" r="V294" s="6">
        <f>IF(C294="План",A294&amp;"|"&amp;J294,"")</f>
        <v/>
      </c>
    </row>
    <row r="295">
      <c r="A295" s="3" t="inlineStr">
        <is>
          <t>Богатовъ Торговый Дом, Челябинск</t>
        </is>
      </c>
      <c r="B295" s="3" t="inlineStr">
        <is>
          <t>РФ</t>
        </is>
      </c>
      <c r="C295" s="3" t="inlineStr">
        <is>
          <t>Шкала</t>
        </is>
      </c>
      <c r="D295" s="3" t="inlineStr">
        <is>
          <t>Оборудование</t>
        </is>
      </c>
      <c r="E295" s="3" t="inlineStr">
        <is>
          <t>Оборудование — за квартал</t>
        </is>
      </c>
      <c r="F295" s="3" t="inlineStr">
        <is>
          <t>2.3 Наличие минимальных складских остатков по оборудованию</t>
        </is>
      </c>
      <c r="G295" s="4" t="n">
        <v>4</v>
      </c>
      <c r="H295" s="4" t="n"/>
      <c r="I295" s="3" t="inlineStr">
        <is>
          <t>75-114</t>
        </is>
      </c>
      <c r="J295" s="4" t="n">
        <v>2</v>
      </c>
      <c r="K295" s="4" t="n"/>
      <c r="L295" s="4" t="n"/>
      <c r="M295" s="8" t="n">
        <v>0.01</v>
      </c>
      <c r="N295" s="4" t="inlineStr">
        <is>
          <t>%</t>
        </is>
      </c>
      <c r="O295" s="3" t="inlineStr">
        <is>
          <t>Богатовъ Торговый Дом, Челябинс</t>
        </is>
      </c>
      <c r="P295" s="3" t="inlineStr">
        <is>
          <t>F16</t>
        </is>
      </c>
      <c t="str" r="Q295" s="6">
        <f>A295&amp;"|"&amp;C295&amp;"|"&amp;D295&amp;"|"&amp;G295</f>
        <v>Богатовъ Торговый Дом, Челябинск|Шкала|Оборудование|4</v>
      </c>
      <c t="str" r="R295" s="6">
        <f>A295&amp;"|"&amp;C295&amp;"|"&amp;D295&amp;"|"&amp;J295</f>
        <v>Богатовъ Торговый Дом, Челябинск|Шкала|Оборудование|2</v>
      </c>
      <c t="str" r="S295" s="6">
        <f>A295&amp;"|"&amp;C295&amp;"|"&amp;D295&amp;"|"&amp;G295&amp;"|"&amp;J295</f>
        <v>Богатовъ Торговый Дом, Челябинск|Шкала|Оборудование|4|2</v>
      </c>
      <c t="str" r="T295" s="6">
        <f>A295&amp;"|"&amp;C295&amp;"|"&amp;G295</f>
        <v>Богатовъ Торговый Дом, Челябинск|Шкала|4</v>
      </c>
      <c t="str" r="U295" s="6">
        <f>IF(H295="да",A295&amp;"|"&amp;C295&amp;"|"&amp;D295&amp;"|"&amp;J295,"")</f>
        <v/>
      </c>
      <c t="str" r="V295" s="6">
        <f>IF(C295="План",A295&amp;"|"&amp;J295,"")</f>
        <v/>
      </c>
    </row>
    <row r="296">
      <c r="A296" s="3" t="inlineStr">
        <is>
          <t>Богатовъ Торговый Дом, Челябинск</t>
        </is>
      </c>
      <c r="B296" s="3" t="inlineStr">
        <is>
          <t>РФ</t>
        </is>
      </c>
      <c r="C296" s="3" t="inlineStr">
        <is>
          <t>Шкала</t>
        </is>
      </c>
      <c r="D296" s="3" t="inlineStr">
        <is>
          <t>Оборудование</t>
        </is>
      </c>
      <c r="E296" s="3" t="inlineStr">
        <is>
          <t>Оборудование — за квартал</t>
        </is>
      </c>
      <c r="F296" s="3" t="inlineStr">
        <is>
          <t>2.3 Наличие минимальных складских остатков по оборудованию</t>
        </is>
      </c>
      <c r="G296" s="4" t="n">
        <v>4</v>
      </c>
      <c r="H296" s="4" t="n"/>
      <c r="I296" s="3" t="inlineStr">
        <is>
          <t>115-149</t>
        </is>
      </c>
      <c r="J296" s="4" t="n">
        <v>3</v>
      </c>
      <c r="K296" s="4" t="n"/>
      <c r="L296" s="4" t="n"/>
      <c r="M296" s="8" t="n">
        <v>0.01</v>
      </c>
      <c r="N296" s="4" t="inlineStr">
        <is>
          <t>%</t>
        </is>
      </c>
      <c r="O296" s="3" t="inlineStr">
        <is>
          <t>Богатовъ Торговый Дом, Челябинс</t>
        </is>
      </c>
      <c r="P296" s="3" t="inlineStr">
        <is>
          <t>G16</t>
        </is>
      </c>
      <c t="str" r="Q296" s="6">
        <f>A296&amp;"|"&amp;C296&amp;"|"&amp;D296&amp;"|"&amp;G296</f>
        <v>Богатовъ Торговый Дом, Челябинск|Шкала|Оборудование|4</v>
      </c>
      <c t="str" r="R296" s="6">
        <f>A296&amp;"|"&amp;C296&amp;"|"&amp;D296&amp;"|"&amp;J296</f>
        <v>Богатовъ Торговый Дом, Челябинск|Шкала|Оборудование|3</v>
      </c>
      <c t="str" r="S296" s="6">
        <f>A296&amp;"|"&amp;C296&amp;"|"&amp;D296&amp;"|"&amp;G296&amp;"|"&amp;J296</f>
        <v>Богатовъ Торговый Дом, Челябинск|Шкала|Оборудование|4|3</v>
      </c>
      <c t="str" r="T296" s="6">
        <f>A296&amp;"|"&amp;C296&amp;"|"&amp;G296</f>
        <v>Богатовъ Торговый Дом, Челябинск|Шкала|4</v>
      </c>
      <c t="str" r="U296" s="6">
        <f>IF(H296="да",A296&amp;"|"&amp;C296&amp;"|"&amp;D296&amp;"|"&amp;J296,"")</f>
        <v/>
      </c>
      <c t="str" r="V296" s="6">
        <f>IF(C296="План",A296&amp;"|"&amp;J296,"")</f>
        <v/>
      </c>
    </row>
    <row r="297">
      <c r="A297" s="3" t="inlineStr">
        <is>
          <t>Богатовъ Торговый Дом, Челябинск</t>
        </is>
      </c>
      <c r="B297" s="3" t="inlineStr">
        <is>
          <t>РФ</t>
        </is>
      </c>
      <c r="C297" s="3" t="inlineStr">
        <is>
          <t>Шкала</t>
        </is>
      </c>
      <c r="D297" s="3" t="inlineStr">
        <is>
          <t>Оборудование</t>
        </is>
      </c>
      <c r="E297" s="3" t="inlineStr">
        <is>
          <t>Оборудование — за квартал</t>
        </is>
      </c>
      <c r="F297" s="3" t="inlineStr">
        <is>
          <t>2.3 Наличие минимальных складских остатков по оборудованию</t>
        </is>
      </c>
      <c r="G297" s="4" t="n">
        <v>4</v>
      </c>
      <c r="H297" s="4" t="n"/>
      <c r="I297" s="3" t="inlineStr">
        <is>
          <t>150-189</t>
        </is>
      </c>
      <c r="J297" s="4" t="n">
        <v>4</v>
      </c>
      <c r="K297" s="4" t="n"/>
      <c r="L297" s="4" t="n"/>
      <c r="M297" s="8" t="n">
        <v>0.01</v>
      </c>
      <c r="N297" s="4" t="inlineStr">
        <is>
          <t>%</t>
        </is>
      </c>
      <c r="O297" s="3" t="inlineStr">
        <is>
          <t>Богатовъ Торговый Дом, Челябинс</t>
        </is>
      </c>
      <c r="P297" s="3" t="inlineStr">
        <is>
          <t>H16</t>
        </is>
      </c>
      <c t="str" r="Q297" s="6">
        <f>A297&amp;"|"&amp;C297&amp;"|"&amp;D297&amp;"|"&amp;G297</f>
        <v>Богатовъ Торговый Дом, Челябинск|Шкала|Оборудование|4</v>
      </c>
      <c t="str" r="R297" s="6">
        <f>A297&amp;"|"&amp;C297&amp;"|"&amp;D297&amp;"|"&amp;J297</f>
        <v>Богатовъ Торговый Дом, Челябинск|Шкала|Оборудование|4</v>
      </c>
      <c t="str" r="S297" s="6">
        <f>A297&amp;"|"&amp;C297&amp;"|"&amp;D297&amp;"|"&amp;G297&amp;"|"&amp;J297</f>
        <v>Богатовъ Торговый Дом, Челябинск|Шкала|Оборудование|4|4</v>
      </c>
      <c t="str" r="T297" s="6">
        <f>A297&amp;"|"&amp;C297&amp;"|"&amp;G297</f>
        <v>Богатовъ Торговый Дом, Челябинск|Шкала|4</v>
      </c>
      <c t="str" r="U297" s="6">
        <f>IF(H297="да",A297&amp;"|"&amp;C297&amp;"|"&amp;D297&amp;"|"&amp;J297,"")</f>
        <v/>
      </c>
      <c t="str" r="V297" s="6">
        <f>IF(C297="План",A297&amp;"|"&amp;J297,"")</f>
        <v/>
      </c>
    </row>
    <row r="298">
      <c r="A298" s="3" t="inlineStr">
        <is>
          <t>Богатовъ Торговый Дом, Челябинск</t>
        </is>
      </c>
      <c r="B298" s="3" t="inlineStr">
        <is>
          <t>РФ</t>
        </is>
      </c>
      <c r="C298" s="3" t="inlineStr">
        <is>
          <t>Шкала</t>
        </is>
      </c>
      <c r="D298" s="3" t="inlineStr">
        <is>
          <t>Оборудование</t>
        </is>
      </c>
      <c r="E298" s="3" t="inlineStr">
        <is>
          <t>Оборудование — за квартал</t>
        </is>
      </c>
      <c r="F298" s="3" t="inlineStr">
        <is>
          <t>2.3 Наличие минимальных складских остатков по оборудованию</t>
        </is>
      </c>
      <c r="G298" s="4" t="n">
        <v>4</v>
      </c>
      <c r="H298" s="4" t="n"/>
      <c r="I298" s="3" t="inlineStr">
        <is>
          <t>190-224</t>
        </is>
      </c>
      <c r="J298" s="4" t="n">
        <v>5</v>
      </c>
      <c r="K298" s="4" t="n"/>
      <c r="L298" s="4" t="n"/>
      <c r="M298" s="8" t="n">
        <v>0.01</v>
      </c>
      <c r="N298" s="4" t="inlineStr">
        <is>
          <t>%</t>
        </is>
      </c>
      <c r="O298" s="3" t="inlineStr">
        <is>
          <t>Богатовъ Торговый Дом, Челябинс</t>
        </is>
      </c>
      <c r="P298" s="3" t="inlineStr">
        <is>
          <t>I16</t>
        </is>
      </c>
      <c t="str" r="Q298" s="6">
        <f>A298&amp;"|"&amp;C298&amp;"|"&amp;D298&amp;"|"&amp;G298</f>
        <v>Богатовъ Торговый Дом, Челябинск|Шкала|Оборудование|4</v>
      </c>
      <c t="str" r="R298" s="6">
        <f>A298&amp;"|"&amp;C298&amp;"|"&amp;D298&amp;"|"&amp;J298</f>
        <v>Богатовъ Торговый Дом, Челябинск|Шкала|Оборудование|5</v>
      </c>
      <c t="str" r="S298" s="6">
        <f>A298&amp;"|"&amp;C298&amp;"|"&amp;D298&amp;"|"&amp;G298&amp;"|"&amp;J298</f>
        <v>Богатовъ Торговый Дом, Челябинск|Шкала|Оборудование|4|5</v>
      </c>
      <c t="str" r="T298" s="6">
        <f>A298&amp;"|"&amp;C298&amp;"|"&amp;G298</f>
        <v>Богатовъ Торговый Дом, Челябинск|Шкала|4</v>
      </c>
      <c t="str" r="U298" s="6">
        <f>IF(H298="да",A298&amp;"|"&amp;C298&amp;"|"&amp;D298&amp;"|"&amp;J298,"")</f>
        <v/>
      </c>
      <c t="str" r="V298" s="6">
        <f>IF(C298="План",A298&amp;"|"&amp;J298,"")</f>
        <v/>
      </c>
    </row>
    <row r="299">
      <c r="A299" s="3" t="inlineStr">
        <is>
          <t>Богатовъ Торговый Дом, Челябинск</t>
        </is>
      </c>
      <c r="B299" s="3" t="inlineStr">
        <is>
          <t>РФ</t>
        </is>
      </c>
      <c r="C299" s="3" t="inlineStr">
        <is>
          <t>Шкала</t>
        </is>
      </c>
      <c r="D299" s="3" t="inlineStr">
        <is>
          <t>Оборудование</t>
        </is>
      </c>
      <c r="E299" s="3" t="inlineStr">
        <is>
          <t>Оборудование — за квартал</t>
        </is>
      </c>
      <c r="F299" s="3" t="inlineStr">
        <is>
          <t>2.3 Наличие минимальных складских остатков по оборудованию</t>
        </is>
      </c>
      <c r="G299" s="4" t="n">
        <v>4</v>
      </c>
      <c r="H299" s="4" t="n"/>
      <c r="I299" s="3" t="inlineStr">
        <is>
          <t>225 и более</t>
        </is>
      </c>
      <c r="J299" s="4" t="n">
        <v>6</v>
      </c>
      <c r="K299" s="4" t="n"/>
      <c r="L299" s="4" t="n"/>
      <c r="M299" s="8" t="n">
        <v>0.01</v>
      </c>
      <c r="N299" s="4" t="inlineStr">
        <is>
          <t>%</t>
        </is>
      </c>
      <c r="O299" s="3" t="inlineStr">
        <is>
          <t>Богатовъ Торговый Дом, Челябинс</t>
        </is>
      </c>
      <c r="P299" s="3" t="inlineStr">
        <is>
          <t>J16</t>
        </is>
      </c>
      <c t="str" r="Q299" s="6">
        <f>A299&amp;"|"&amp;C299&amp;"|"&amp;D299&amp;"|"&amp;G299</f>
        <v>Богатовъ Торговый Дом, Челябинск|Шкала|Оборудование|4</v>
      </c>
      <c t="str" r="R299" s="6">
        <f>A299&amp;"|"&amp;C299&amp;"|"&amp;D299&amp;"|"&amp;J299</f>
        <v>Богатовъ Торговый Дом, Челябинск|Шкала|Оборудование|6</v>
      </c>
      <c t="str" r="S299" s="6">
        <f>A299&amp;"|"&amp;C299&amp;"|"&amp;D299&amp;"|"&amp;G299&amp;"|"&amp;J299</f>
        <v>Богатовъ Торговый Дом, Челябинск|Шкала|Оборудование|4|6</v>
      </c>
      <c t="str" r="T299" s="6">
        <f>A299&amp;"|"&amp;C299&amp;"|"&amp;G299</f>
        <v>Богатовъ Торговый Дом, Челябинск|Шкала|4</v>
      </c>
      <c t="str" r="U299" s="6">
        <f>IF(H299="да",A299&amp;"|"&amp;C299&amp;"|"&amp;D299&amp;"|"&amp;J299,"")</f>
        <v/>
      </c>
      <c t="str" r="V299" s="6">
        <f>IF(C299="План",A299&amp;"|"&amp;J299,"")</f>
        <v/>
      </c>
    </row>
    <row r="300">
      <c r="A300" s="3" t="inlineStr">
        <is>
          <t>Богатовъ Торговый Дом, Челябинск</t>
        </is>
      </c>
      <c r="B300" s="3" t="inlineStr">
        <is>
          <t>РФ</t>
        </is>
      </c>
      <c r="C300" s="3" t="inlineStr">
        <is>
          <t>Шкала</t>
        </is>
      </c>
      <c r="D300" s="3" t="inlineStr">
        <is>
          <t>Оборудование</t>
        </is>
      </c>
      <c r="E300" s="3" t="inlineStr">
        <is>
          <t>Оборудование — за квартал</t>
        </is>
      </c>
      <c r="F300" s="3" t="inlineStr">
        <is>
          <t>3 Объем закупок МП</t>
        </is>
      </c>
      <c r="G300" s="4" t="n">
        <v>5</v>
      </c>
      <c r="H300" s="4" t="n"/>
      <c r="I300" s="3" t="inlineStr">
        <is>
          <t>до 75</t>
        </is>
      </c>
      <c r="J300" s="4" t="n">
        <v>1</v>
      </c>
      <c r="K300" s="4" t="n"/>
      <c r="L300" s="4" t="n"/>
      <c r="M300" s="8" t="n">
        <v>0</v>
      </c>
      <c r="N300" s="4" t="inlineStr">
        <is>
          <t>%</t>
        </is>
      </c>
      <c r="O300" s="3" t="inlineStr">
        <is>
          <t>Богатовъ Торговый Дом, Челябинс</t>
        </is>
      </c>
      <c r="P300" s="3" t="inlineStr">
        <is>
          <t>E17</t>
        </is>
      </c>
      <c t="str" r="Q300" s="6">
        <f>A300&amp;"|"&amp;C300&amp;"|"&amp;D300&amp;"|"&amp;G300</f>
        <v>Богатовъ Торговый Дом, Челябинск|Шкала|Оборудование|5</v>
      </c>
      <c t="str" r="R300" s="6">
        <f>A300&amp;"|"&amp;C300&amp;"|"&amp;D300&amp;"|"&amp;J300</f>
        <v>Богатовъ Торговый Дом, Челябинск|Шкала|Оборудование|1</v>
      </c>
      <c t="str" r="S300" s="6">
        <f>A300&amp;"|"&amp;C300&amp;"|"&amp;D300&amp;"|"&amp;G300&amp;"|"&amp;J300</f>
        <v>Богатовъ Торговый Дом, Челябинск|Шкала|Оборудование|5|1</v>
      </c>
      <c t="str" r="T300" s="6">
        <f>A300&amp;"|"&amp;C300&amp;"|"&amp;G300</f>
        <v>Богатовъ Торговый Дом, Челябинск|Шкала|5</v>
      </c>
      <c t="str" r="U300" s="6">
        <f>IF(H300="да",A300&amp;"|"&amp;C300&amp;"|"&amp;D300&amp;"|"&amp;J300,"")</f>
        <v/>
      </c>
      <c t="str" r="V300" s="6">
        <f>IF(C300="План",A300&amp;"|"&amp;J300,"")</f>
        <v/>
      </c>
    </row>
    <row r="301">
      <c r="A301" s="3" t="inlineStr">
        <is>
          <t>Богатовъ Торговый Дом, Челябинск</t>
        </is>
      </c>
      <c r="B301" s="3" t="inlineStr">
        <is>
          <t>РФ</t>
        </is>
      </c>
      <c r="C301" s="3" t="inlineStr">
        <is>
          <t>Шкала</t>
        </is>
      </c>
      <c r="D301" s="3" t="inlineStr">
        <is>
          <t>Оборудование</t>
        </is>
      </c>
      <c r="E301" s="3" t="inlineStr">
        <is>
          <t>Оборудование — за квартал</t>
        </is>
      </c>
      <c r="F301" s="3" t="inlineStr">
        <is>
          <t>3 Объем закупок МП</t>
        </is>
      </c>
      <c r="G301" s="4" t="n">
        <v>5</v>
      </c>
      <c r="H301" s="4" t="n"/>
      <c r="I301" s="3" t="inlineStr">
        <is>
          <t>75-114</t>
        </is>
      </c>
      <c r="J301" s="4" t="n">
        <v>2</v>
      </c>
      <c r="K301" s="4" t="n"/>
      <c r="L301" s="4" t="n"/>
      <c r="M301" s="8" t="n">
        <v>0.01</v>
      </c>
      <c r="N301" s="4" t="inlineStr">
        <is>
          <t>%</t>
        </is>
      </c>
      <c r="O301" s="3" t="inlineStr">
        <is>
          <t>Богатовъ Торговый Дом, Челябинс</t>
        </is>
      </c>
      <c r="P301" s="3" t="inlineStr">
        <is>
          <t>F17</t>
        </is>
      </c>
      <c t="str" r="Q301" s="6">
        <f>A301&amp;"|"&amp;C301&amp;"|"&amp;D301&amp;"|"&amp;G301</f>
        <v>Богатовъ Торговый Дом, Челябинск|Шкала|Оборудование|5</v>
      </c>
      <c t="str" r="R301" s="6">
        <f>A301&amp;"|"&amp;C301&amp;"|"&amp;D301&amp;"|"&amp;J301</f>
        <v>Богатовъ Торговый Дом, Челябинск|Шкала|Оборудование|2</v>
      </c>
      <c t="str" r="S301" s="6">
        <f>A301&amp;"|"&amp;C301&amp;"|"&amp;D301&amp;"|"&amp;G301&amp;"|"&amp;J301</f>
        <v>Богатовъ Торговый Дом, Челябинск|Шкала|Оборудование|5|2</v>
      </c>
      <c t="str" r="T301" s="6">
        <f>A301&amp;"|"&amp;C301&amp;"|"&amp;G301</f>
        <v>Богатовъ Торговый Дом, Челябинск|Шкала|5</v>
      </c>
      <c t="str" r="U301" s="6">
        <f>IF(H301="да",A301&amp;"|"&amp;C301&amp;"|"&amp;D301&amp;"|"&amp;J301,"")</f>
        <v/>
      </c>
      <c t="str" r="V301" s="6">
        <f>IF(C301="План",A301&amp;"|"&amp;J301,"")</f>
        <v/>
      </c>
    </row>
    <row r="302">
      <c r="A302" s="3" t="inlineStr">
        <is>
          <t>Богатовъ Торговый Дом, Челябинск</t>
        </is>
      </c>
      <c r="B302" s="3" t="inlineStr">
        <is>
          <t>РФ</t>
        </is>
      </c>
      <c r="C302" s="3" t="inlineStr">
        <is>
          <t>Шкала</t>
        </is>
      </c>
      <c r="D302" s="3" t="inlineStr">
        <is>
          <t>Оборудование</t>
        </is>
      </c>
      <c r="E302" s="3" t="inlineStr">
        <is>
          <t>Оборудование — за квартал</t>
        </is>
      </c>
      <c r="F302" s="3" t="inlineStr">
        <is>
          <t>3 Объем закупок МП</t>
        </is>
      </c>
      <c r="G302" s="4" t="n">
        <v>5</v>
      </c>
      <c r="H302" s="4" t="n"/>
      <c r="I302" s="3" t="inlineStr">
        <is>
          <t>115-149</t>
        </is>
      </c>
      <c r="J302" s="4" t="n">
        <v>3</v>
      </c>
      <c r="K302" s="4" t="n"/>
      <c r="L302" s="4" t="n"/>
      <c r="M302" s="8" t="n">
        <v>0.02</v>
      </c>
      <c r="N302" s="4" t="inlineStr">
        <is>
          <t>%</t>
        </is>
      </c>
      <c r="O302" s="3" t="inlineStr">
        <is>
          <t>Богатовъ Торговый Дом, Челябинс</t>
        </is>
      </c>
      <c r="P302" s="3" t="inlineStr">
        <is>
          <t>G17</t>
        </is>
      </c>
      <c t="str" r="Q302" s="6">
        <f>A302&amp;"|"&amp;C302&amp;"|"&amp;D302&amp;"|"&amp;G302</f>
        <v>Богатовъ Торговый Дом, Челябинск|Шкала|Оборудование|5</v>
      </c>
      <c t="str" r="R302" s="6">
        <f>A302&amp;"|"&amp;C302&amp;"|"&amp;D302&amp;"|"&amp;J302</f>
        <v>Богатовъ Торговый Дом, Челябинск|Шкала|Оборудование|3</v>
      </c>
      <c t="str" r="S302" s="6">
        <f>A302&amp;"|"&amp;C302&amp;"|"&amp;D302&amp;"|"&amp;G302&amp;"|"&amp;J302</f>
        <v>Богатовъ Торговый Дом, Челябинск|Шкала|Оборудование|5|3</v>
      </c>
      <c t="str" r="T302" s="6">
        <f>A302&amp;"|"&amp;C302&amp;"|"&amp;G302</f>
        <v>Богатовъ Торговый Дом, Челябинск|Шкала|5</v>
      </c>
      <c t="str" r="U302" s="6">
        <f>IF(H302="да",A302&amp;"|"&amp;C302&amp;"|"&amp;D302&amp;"|"&amp;J302,"")</f>
        <v/>
      </c>
      <c t="str" r="V302" s="6">
        <f>IF(C302="План",A302&amp;"|"&amp;J302,"")</f>
        <v/>
      </c>
    </row>
    <row r="303">
      <c r="A303" s="3" t="inlineStr">
        <is>
          <t>Богатовъ Торговый Дом, Челябинск</t>
        </is>
      </c>
      <c r="B303" s="3" t="inlineStr">
        <is>
          <t>РФ</t>
        </is>
      </c>
      <c r="C303" s="3" t="inlineStr">
        <is>
          <t>Шкала</t>
        </is>
      </c>
      <c r="D303" s="3" t="inlineStr">
        <is>
          <t>Оборудование</t>
        </is>
      </c>
      <c r="E303" s="3" t="inlineStr">
        <is>
          <t>Оборудование — за квартал</t>
        </is>
      </c>
      <c r="F303" s="3" t="inlineStr">
        <is>
          <t>3 Объем закупок МП</t>
        </is>
      </c>
      <c r="G303" s="4" t="n">
        <v>5</v>
      </c>
      <c r="H303" s="4" t="n"/>
      <c r="I303" s="3" t="inlineStr">
        <is>
          <t>150-189</t>
        </is>
      </c>
      <c r="J303" s="4" t="n">
        <v>4</v>
      </c>
      <c r="K303" s="4" t="n"/>
      <c r="L303" s="4" t="n"/>
      <c r="M303" s="8" t="n">
        <v>0.03</v>
      </c>
      <c r="N303" s="4" t="inlineStr">
        <is>
          <t>%</t>
        </is>
      </c>
      <c r="O303" s="3" t="inlineStr">
        <is>
          <t>Богатовъ Торговый Дом, Челябинс</t>
        </is>
      </c>
      <c r="P303" s="3" t="inlineStr">
        <is>
          <t>H17</t>
        </is>
      </c>
      <c t="str" r="Q303" s="6">
        <f>A303&amp;"|"&amp;C303&amp;"|"&amp;D303&amp;"|"&amp;G303</f>
        <v>Богатовъ Торговый Дом, Челябинск|Шкала|Оборудование|5</v>
      </c>
      <c t="str" r="R303" s="6">
        <f>A303&amp;"|"&amp;C303&amp;"|"&amp;D303&amp;"|"&amp;J303</f>
        <v>Богатовъ Торговый Дом, Челябинск|Шкала|Оборудование|4</v>
      </c>
      <c t="str" r="S303" s="6">
        <f>A303&amp;"|"&amp;C303&amp;"|"&amp;D303&amp;"|"&amp;G303&amp;"|"&amp;J303</f>
        <v>Богатовъ Торговый Дом, Челябинск|Шкала|Оборудование|5|4</v>
      </c>
      <c t="str" r="T303" s="6">
        <f>A303&amp;"|"&amp;C303&amp;"|"&amp;G303</f>
        <v>Богатовъ Торговый Дом, Челябинск|Шкала|5</v>
      </c>
      <c t="str" r="U303" s="6">
        <f>IF(H303="да",A303&amp;"|"&amp;C303&amp;"|"&amp;D303&amp;"|"&amp;J303,"")</f>
        <v/>
      </c>
      <c t="str" r="V303" s="6">
        <f>IF(C303="План",A303&amp;"|"&amp;J303,"")</f>
        <v/>
      </c>
    </row>
    <row r="304">
      <c r="A304" s="3" t="inlineStr">
        <is>
          <t>Богатовъ Торговый Дом, Челябинск</t>
        </is>
      </c>
      <c r="B304" s="3" t="inlineStr">
        <is>
          <t>РФ</t>
        </is>
      </c>
      <c r="C304" s="3" t="inlineStr">
        <is>
          <t>Шкала</t>
        </is>
      </c>
      <c r="D304" s="3" t="inlineStr">
        <is>
          <t>Оборудование</t>
        </is>
      </c>
      <c r="E304" s="3" t="inlineStr">
        <is>
          <t>Оборудование — за квартал</t>
        </is>
      </c>
      <c r="F304" s="3" t="inlineStr">
        <is>
          <t>3 Объем закупок МП</t>
        </is>
      </c>
      <c r="G304" s="4" t="n">
        <v>5</v>
      </c>
      <c r="H304" s="4" t="n"/>
      <c r="I304" s="3" t="inlineStr">
        <is>
          <t>190-224</t>
        </is>
      </c>
      <c r="J304" s="4" t="n">
        <v>5</v>
      </c>
      <c r="K304" s="4" t="n"/>
      <c r="L304" s="4" t="n"/>
      <c r="M304" s="8" t="n">
        <v>0.04</v>
      </c>
      <c r="N304" s="4" t="inlineStr">
        <is>
          <t>%</t>
        </is>
      </c>
      <c r="O304" s="3" t="inlineStr">
        <is>
          <t>Богатовъ Торговый Дом, Челябинс</t>
        </is>
      </c>
      <c r="P304" s="3" t="inlineStr">
        <is>
          <t>I17</t>
        </is>
      </c>
      <c t="str" r="Q304" s="6">
        <f>A304&amp;"|"&amp;C304&amp;"|"&amp;D304&amp;"|"&amp;G304</f>
        <v>Богатовъ Торговый Дом, Челябинск|Шкала|Оборудование|5</v>
      </c>
      <c t="str" r="R304" s="6">
        <f>A304&amp;"|"&amp;C304&amp;"|"&amp;D304&amp;"|"&amp;J304</f>
        <v>Богатовъ Торговый Дом, Челябинск|Шкала|Оборудование|5</v>
      </c>
      <c t="str" r="S304" s="6">
        <f>A304&amp;"|"&amp;C304&amp;"|"&amp;D304&amp;"|"&amp;G304&amp;"|"&amp;J304</f>
        <v>Богатовъ Торговый Дом, Челябинск|Шкала|Оборудование|5|5</v>
      </c>
      <c t="str" r="T304" s="6">
        <f>A304&amp;"|"&amp;C304&amp;"|"&amp;G304</f>
        <v>Богатовъ Торговый Дом, Челябинск|Шкала|5</v>
      </c>
      <c t="str" r="U304" s="6">
        <f>IF(H304="да",A304&amp;"|"&amp;C304&amp;"|"&amp;D304&amp;"|"&amp;J304,"")</f>
        <v/>
      </c>
      <c t="str" r="V304" s="6">
        <f>IF(C304="План",A304&amp;"|"&amp;J304,"")</f>
        <v/>
      </c>
    </row>
    <row r="305">
      <c r="A305" s="3" t="inlineStr">
        <is>
          <t>Богатовъ Торговый Дом, Челябинск</t>
        </is>
      </c>
      <c r="B305" s="3" t="inlineStr">
        <is>
          <t>РФ</t>
        </is>
      </c>
      <c r="C305" s="3" t="inlineStr">
        <is>
          <t>Шкала</t>
        </is>
      </c>
      <c r="D305" s="3" t="inlineStr">
        <is>
          <t>Оборудование</t>
        </is>
      </c>
      <c r="E305" s="3" t="inlineStr">
        <is>
          <t>Оборудование — за квартал</t>
        </is>
      </c>
      <c r="F305" s="3" t="inlineStr">
        <is>
          <t>3 Объем закупок МП</t>
        </is>
      </c>
      <c r="G305" s="4" t="n">
        <v>5</v>
      </c>
      <c r="H305" s="4" t="n"/>
      <c r="I305" s="3" t="inlineStr">
        <is>
          <t>225 и более</t>
        </is>
      </c>
      <c r="J305" s="4" t="n">
        <v>6</v>
      </c>
      <c r="K305" s="4" t="n"/>
      <c r="L305" s="4" t="n"/>
      <c r="M305" s="8" t="n">
        <v>0.05</v>
      </c>
      <c r="N305" s="4" t="inlineStr">
        <is>
          <t>%</t>
        </is>
      </c>
      <c r="O305" s="3" t="inlineStr">
        <is>
          <t>Богатовъ Торговый Дом, Челябинс</t>
        </is>
      </c>
      <c r="P305" s="3" t="inlineStr">
        <is>
          <t>J17</t>
        </is>
      </c>
      <c t="str" r="Q305" s="6">
        <f>A305&amp;"|"&amp;C305&amp;"|"&amp;D305&amp;"|"&amp;G305</f>
        <v>Богатовъ Торговый Дом, Челябинск|Шкала|Оборудование|5</v>
      </c>
      <c t="str" r="R305" s="6">
        <f>A305&amp;"|"&amp;C305&amp;"|"&amp;D305&amp;"|"&amp;J305</f>
        <v>Богатовъ Торговый Дом, Челябинск|Шкала|Оборудование|6</v>
      </c>
      <c t="str" r="S305" s="6">
        <f>A305&amp;"|"&amp;C305&amp;"|"&amp;D305&amp;"|"&amp;G305&amp;"|"&amp;J305</f>
        <v>Богатовъ Торговый Дом, Челябинск|Шкала|Оборудование|5|6</v>
      </c>
      <c t="str" r="T305" s="6">
        <f>A305&amp;"|"&amp;C305&amp;"|"&amp;G305</f>
        <v>Богатовъ Торговый Дом, Челябинск|Шкала|5</v>
      </c>
      <c t="str" r="U305" s="6">
        <f>IF(H305="да",A305&amp;"|"&amp;C305&amp;"|"&amp;D305&amp;"|"&amp;J305,"")</f>
        <v/>
      </c>
      <c t="str" r="V305" s="6">
        <f>IF(C305="План",A305&amp;"|"&amp;J305,"")</f>
        <v/>
      </c>
    </row>
    <row r="306">
      <c r="A306" s="3" t="inlineStr">
        <is>
          <t>Богатовъ Торговый Дом, Челябинск</t>
        </is>
      </c>
      <c r="B306" s="3" t="inlineStr">
        <is>
          <t>РФ</t>
        </is>
      </c>
      <c r="C306" s="3" t="inlineStr">
        <is>
          <t>Шкала</t>
        </is>
      </c>
      <c r="D306" s="3" t="inlineStr">
        <is>
          <t>Оборудование</t>
        </is>
      </c>
      <c r="E306" s="3" t="inlineStr">
        <is>
          <t>Оборудование — за квартал</t>
        </is>
      </c>
      <c r="F306" s="3" t="inlineStr">
        <is>
          <t>ИТОГО по МП:</t>
        </is>
      </c>
      <c r="G306" s="4" t="n">
        <v>6</v>
      </c>
      <c r="H306" s="4" t="inlineStr">
        <is>
          <t>да</t>
        </is>
      </c>
      <c r="I306" s="3" t="inlineStr">
        <is>
          <t>до 75</t>
        </is>
      </c>
      <c r="J306" s="4" t="n">
        <v>1</v>
      </c>
      <c r="K306" s="4" t="n"/>
      <c r="L306" s="4" t="n"/>
      <c r="M306" s="8" t="n">
        <v>0.14</v>
      </c>
      <c r="N306" s="4" t="inlineStr">
        <is>
          <t>%</t>
        </is>
      </c>
      <c r="O306" s="3" t="inlineStr">
        <is>
          <t>Богатовъ Торговый Дом, Челябинс</t>
        </is>
      </c>
      <c r="P306" s="3" t="inlineStr">
        <is>
          <t>E18</t>
        </is>
      </c>
      <c t="str" r="Q306" s="6">
        <f>A306&amp;"|"&amp;C306&amp;"|"&amp;D306&amp;"|"&amp;G306</f>
        <v>Богатовъ Торговый Дом, Челябинск|Шкала|Оборудование|6</v>
      </c>
      <c t="str" r="R306" s="6">
        <f>A306&amp;"|"&amp;C306&amp;"|"&amp;D306&amp;"|"&amp;J306</f>
        <v>Богатовъ Торговый Дом, Челябинск|Шкала|Оборудование|1</v>
      </c>
      <c t="str" r="S306" s="6">
        <f>A306&amp;"|"&amp;C306&amp;"|"&amp;D306&amp;"|"&amp;G306&amp;"|"&amp;J306</f>
        <v>Богатовъ Торговый Дом, Челябинск|Шкала|Оборудование|6|1</v>
      </c>
      <c t="str" r="T306" s="6">
        <f>A306&amp;"|"&amp;C306&amp;"|"&amp;G306</f>
        <v>Богатовъ Торговый Дом, Челябинск|Шкала|6</v>
      </c>
      <c t="str" r="U306" s="6">
        <f>IF(H306="да",A306&amp;"|"&amp;C306&amp;"|"&amp;D306&amp;"|"&amp;J306,"")</f>
        <v>Богатовъ Торговый Дом, Челябинск|Шкала|Оборудование|1</v>
      </c>
      <c t="str" r="V306" s="6">
        <f>IF(C306="План",A306&amp;"|"&amp;J306,"")</f>
        <v/>
      </c>
    </row>
    <row r="307">
      <c r="A307" s="3" t="inlineStr">
        <is>
          <t>Богатовъ Торговый Дом, Челябинск</t>
        </is>
      </c>
      <c r="B307" s="3" t="inlineStr">
        <is>
          <t>РФ</t>
        </is>
      </c>
      <c r="C307" s="3" t="inlineStr">
        <is>
          <t>Шкала</t>
        </is>
      </c>
      <c r="D307" s="3" t="inlineStr">
        <is>
          <t>Оборудование</t>
        </is>
      </c>
      <c r="E307" s="3" t="inlineStr">
        <is>
          <t>Оборудование — за квартал</t>
        </is>
      </c>
      <c r="F307" s="3" t="inlineStr">
        <is>
          <t>ИТОГО по МП:</t>
        </is>
      </c>
      <c r="G307" s="4" t="n">
        <v>6</v>
      </c>
      <c r="H307" s="4" t="inlineStr">
        <is>
          <t>да</t>
        </is>
      </c>
      <c r="I307" s="3" t="inlineStr">
        <is>
          <t>75-114</t>
        </is>
      </c>
      <c r="J307" s="4" t="n">
        <v>2</v>
      </c>
      <c r="K307" s="4" t="n"/>
      <c r="L307" s="4" t="n"/>
      <c r="M307" s="8" t="n">
        <v>0.15</v>
      </c>
      <c r="N307" s="4" t="inlineStr">
        <is>
          <t>%</t>
        </is>
      </c>
      <c r="O307" s="3" t="inlineStr">
        <is>
          <t>Богатовъ Торговый Дом, Челябинс</t>
        </is>
      </c>
      <c r="P307" s="3" t="inlineStr">
        <is>
          <t>F18</t>
        </is>
      </c>
      <c t="str" r="Q307" s="6">
        <f>A307&amp;"|"&amp;C307&amp;"|"&amp;D307&amp;"|"&amp;G307</f>
        <v>Богатовъ Торговый Дом, Челябинск|Шкала|Оборудование|6</v>
      </c>
      <c t="str" r="R307" s="6">
        <f>A307&amp;"|"&amp;C307&amp;"|"&amp;D307&amp;"|"&amp;J307</f>
        <v>Богатовъ Торговый Дом, Челябинск|Шкала|Оборудование|2</v>
      </c>
      <c t="str" r="S307" s="6">
        <f>A307&amp;"|"&amp;C307&amp;"|"&amp;D307&amp;"|"&amp;G307&amp;"|"&amp;J307</f>
        <v>Богатовъ Торговый Дом, Челябинск|Шкала|Оборудование|6|2</v>
      </c>
      <c t="str" r="T307" s="6">
        <f>A307&amp;"|"&amp;C307&amp;"|"&amp;G307</f>
        <v>Богатовъ Торговый Дом, Челябинск|Шкала|6</v>
      </c>
      <c t="str" r="U307" s="6">
        <f>IF(H307="да",A307&amp;"|"&amp;C307&amp;"|"&amp;D307&amp;"|"&amp;J307,"")</f>
        <v>Богатовъ Торговый Дом, Челябинск|Шкала|Оборудование|2</v>
      </c>
      <c t="str" r="V307" s="6">
        <f>IF(C307="План",A307&amp;"|"&amp;J307,"")</f>
        <v/>
      </c>
    </row>
    <row r="308">
      <c r="A308" s="3" t="inlineStr">
        <is>
          <t>Богатовъ Торговый Дом, Челябинск</t>
        </is>
      </c>
      <c r="B308" s="3" t="inlineStr">
        <is>
          <t>РФ</t>
        </is>
      </c>
      <c r="C308" s="3" t="inlineStr">
        <is>
          <t>Шкала</t>
        </is>
      </c>
      <c r="D308" s="3" t="inlineStr">
        <is>
          <t>Оборудование</t>
        </is>
      </c>
      <c r="E308" s="3" t="inlineStr">
        <is>
          <t>Оборудование — за квартал</t>
        </is>
      </c>
      <c r="F308" s="3" t="inlineStr">
        <is>
          <t>ИТОГО по МП:</t>
        </is>
      </c>
      <c r="G308" s="4" t="n">
        <v>6</v>
      </c>
      <c r="H308" s="4" t="inlineStr">
        <is>
          <t>да</t>
        </is>
      </c>
      <c r="I308" s="3" t="inlineStr">
        <is>
          <t>115-149</t>
        </is>
      </c>
      <c r="J308" s="4" t="n">
        <v>3</v>
      </c>
      <c r="K308" s="4" t="n"/>
      <c r="L308" s="4" t="n"/>
      <c r="M308" s="8" t="n">
        <v>0.16</v>
      </c>
      <c r="N308" s="4" t="inlineStr">
        <is>
          <t>%</t>
        </is>
      </c>
      <c r="O308" s="3" t="inlineStr">
        <is>
          <t>Богатовъ Торговый Дом, Челябинс</t>
        </is>
      </c>
      <c r="P308" s="3" t="inlineStr">
        <is>
          <t>G18</t>
        </is>
      </c>
      <c t="str" r="Q308" s="6">
        <f>A308&amp;"|"&amp;C308&amp;"|"&amp;D308&amp;"|"&amp;G308</f>
        <v>Богатовъ Торговый Дом, Челябинск|Шкала|Оборудование|6</v>
      </c>
      <c t="str" r="R308" s="6">
        <f>A308&amp;"|"&amp;C308&amp;"|"&amp;D308&amp;"|"&amp;J308</f>
        <v>Богатовъ Торговый Дом, Челябинск|Шкала|Оборудование|3</v>
      </c>
      <c t="str" r="S308" s="6">
        <f>A308&amp;"|"&amp;C308&amp;"|"&amp;D308&amp;"|"&amp;G308&amp;"|"&amp;J308</f>
        <v>Богатовъ Торговый Дом, Челябинск|Шкала|Оборудование|6|3</v>
      </c>
      <c t="str" r="T308" s="6">
        <f>A308&amp;"|"&amp;C308&amp;"|"&amp;G308</f>
        <v>Богатовъ Торговый Дом, Челябинск|Шкала|6</v>
      </c>
      <c t="str" r="U308" s="6">
        <f>IF(H308="да",A308&amp;"|"&amp;C308&amp;"|"&amp;D308&amp;"|"&amp;J308,"")</f>
        <v>Богатовъ Торговый Дом, Челябинск|Шкала|Оборудование|3</v>
      </c>
      <c t="str" r="V308" s="6">
        <f>IF(C308="План",A308&amp;"|"&amp;J308,"")</f>
        <v/>
      </c>
    </row>
    <row r="309">
      <c r="A309" s="3" t="inlineStr">
        <is>
          <t>Богатовъ Торговый Дом, Челябинск</t>
        </is>
      </c>
      <c r="B309" s="3" t="inlineStr">
        <is>
          <t>РФ</t>
        </is>
      </c>
      <c r="C309" s="3" t="inlineStr">
        <is>
          <t>Шкала</t>
        </is>
      </c>
      <c r="D309" s="3" t="inlineStr">
        <is>
          <t>Оборудование</t>
        </is>
      </c>
      <c r="E309" s="3" t="inlineStr">
        <is>
          <t>Оборудование — за квартал</t>
        </is>
      </c>
      <c r="F309" s="3" t="inlineStr">
        <is>
          <t>ИТОГО по МП:</t>
        </is>
      </c>
      <c r="G309" s="4" t="n">
        <v>6</v>
      </c>
      <c r="H309" s="4" t="inlineStr">
        <is>
          <t>да</t>
        </is>
      </c>
      <c r="I309" s="3" t="inlineStr">
        <is>
          <t>150-189</t>
        </is>
      </c>
      <c r="J309" s="4" t="n">
        <v>4</v>
      </c>
      <c r="K309" s="4" t="n"/>
      <c r="L309" s="4" t="n"/>
      <c r="M309" s="8" t="n">
        <v>0.17</v>
      </c>
      <c r="N309" s="4" t="inlineStr">
        <is>
          <t>%</t>
        </is>
      </c>
      <c r="O309" s="3" t="inlineStr">
        <is>
          <t>Богатовъ Торговый Дом, Челябинс</t>
        </is>
      </c>
      <c r="P309" s="3" t="inlineStr">
        <is>
          <t>H18</t>
        </is>
      </c>
      <c t="str" r="Q309" s="6">
        <f>A309&amp;"|"&amp;C309&amp;"|"&amp;D309&amp;"|"&amp;G309</f>
        <v>Богатовъ Торговый Дом, Челябинск|Шкала|Оборудование|6</v>
      </c>
      <c t="str" r="R309" s="6">
        <f>A309&amp;"|"&amp;C309&amp;"|"&amp;D309&amp;"|"&amp;J309</f>
        <v>Богатовъ Торговый Дом, Челябинск|Шкала|Оборудование|4</v>
      </c>
      <c t="str" r="S309" s="6">
        <f>A309&amp;"|"&amp;C309&amp;"|"&amp;D309&amp;"|"&amp;G309&amp;"|"&amp;J309</f>
        <v>Богатовъ Торговый Дом, Челябинск|Шкала|Оборудование|6|4</v>
      </c>
      <c t="str" r="T309" s="6">
        <f>A309&amp;"|"&amp;C309&amp;"|"&amp;G309</f>
        <v>Богатовъ Торговый Дом, Челябинск|Шкала|6</v>
      </c>
      <c t="str" r="U309" s="6">
        <f>IF(H309="да",A309&amp;"|"&amp;C309&amp;"|"&amp;D309&amp;"|"&amp;J309,"")</f>
        <v>Богатовъ Торговый Дом, Челябинск|Шкала|Оборудование|4</v>
      </c>
      <c t="str" r="V309" s="6">
        <f>IF(C309="План",A309&amp;"|"&amp;J309,"")</f>
        <v/>
      </c>
    </row>
    <row r="310">
      <c r="A310" s="3" t="inlineStr">
        <is>
          <t>Богатовъ Торговый Дом, Челябинск</t>
        </is>
      </c>
      <c r="B310" s="3" t="inlineStr">
        <is>
          <t>РФ</t>
        </is>
      </c>
      <c r="C310" s="3" t="inlineStr">
        <is>
          <t>Шкала</t>
        </is>
      </c>
      <c r="D310" s="3" t="inlineStr">
        <is>
          <t>Оборудование</t>
        </is>
      </c>
      <c r="E310" s="3" t="inlineStr">
        <is>
          <t>Оборудование — за квартал</t>
        </is>
      </c>
      <c r="F310" s="3" t="inlineStr">
        <is>
          <t>ИТОГО по МП:</t>
        </is>
      </c>
      <c r="G310" s="4" t="n">
        <v>6</v>
      </c>
      <c r="H310" s="4" t="inlineStr">
        <is>
          <t>да</t>
        </is>
      </c>
      <c r="I310" s="3" t="inlineStr">
        <is>
          <t>190-224</t>
        </is>
      </c>
      <c r="J310" s="4" t="n">
        <v>5</v>
      </c>
      <c r="K310" s="4" t="n"/>
      <c r="L310" s="4" t="n"/>
      <c r="M310" s="8" t="n">
        <v>0.18</v>
      </c>
      <c r="N310" s="4" t="inlineStr">
        <is>
          <t>%</t>
        </is>
      </c>
      <c r="O310" s="3" t="inlineStr">
        <is>
          <t>Богатовъ Торговый Дом, Челябинс</t>
        </is>
      </c>
      <c r="P310" s="3" t="inlineStr">
        <is>
          <t>I18</t>
        </is>
      </c>
      <c t="str" r="Q310" s="6">
        <f>A310&amp;"|"&amp;C310&amp;"|"&amp;D310&amp;"|"&amp;G310</f>
        <v>Богатовъ Торговый Дом, Челябинск|Шкала|Оборудование|6</v>
      </c>
      <c t="str" r="R310" s="6">
        <f>A310&amp;"|"&amp;C310&amp;"|"&amp;D310&amp;"|"&amp;J310</f>
        <v>Богатовъ Торговый Дом, Челябинск|Шкала|Оборудование|5</v>
      </c>
      <c t="str" r="S310" s="6">
        <f>A310&amp;"|"&amp;C310&amp;"|"&amp;D310&amp;"|"&amp;G310&amp;"|"&amp;J310</f>
        <v>Богатовъ Торговый Дом, Челябинск|Шкала|Оборудование|6|5</v>
      </c>
      <c t="str" r="T310" s="6">
        <f>A310&amp;"|"&amp;C310&amp;"|"&amp;G310</f>
        <v>Богатовъ Торговый Дом, Челябинск|Шкала|6</v>
      </c>
      <c t="str" r="U310" s="6">
        <f>IF(H310="да",A310&amp;"|"&amp;C310&amp;"|"&amp;D310&amp;"|"&amp;J310,"")</f>
        <v>Богатовъ Торговый Дом, Челябинск|Шкала|Оборудование|5</v>
      </c>
      <c t="str" r="V310" s="6">
        <f>IF(C310="План",A310&amp;"|"&amp;J310,"")</f>
        <v/>
      </c>
    </row>
    <row r="311">
      <c r="A311" s="3" t="inlineStr">
        <is>
          <t>Богатовъ Торговый Дом, Челябинск</t>
        </is>
      </c>
      <c r="B311" s="3" t="inlineStr">
        <is>
          <t>РФ</t>
        </is>
      </c>
      <c r="C311" s="3" t="inlineStr">
        <is>
          <t>Шкала</t>
        </is>
      </c>
      <c r="D311" s="3" t="inlineStr">
        <is>
          <t>Оборудование</t>
        </is>
      </c>
      <c r="E311" s="3" t="inlineStr">
        <is>
          <t>Оборудование — за квартал</t>
        </is>
      </c>
      <c r="F311" s="3" t="inlineStr">
        <is>
          <t>ИТОГО по МП:</t>
        </is>
      </c>
      <c r="G311" s="4" t="n">
        <v>6</v>
      </c>
      <c r="H311" s="4" t="inlineStr">
        <is>
          <t>да</t>
        </is>
      </c>
      <c r="I311" s="3" t="inlineStr">
        <is>
          <t>225 и более</t>
        </is>
      </c>
      <c r="J311" s="4" t="n">
        <v>6</v>
      </c>
      <c r="K311" s="4" t="n"/>
      <c r="L311" s="4" t="n"/>
      <c r="M311" s="8" t="n">
        <v>0.19</v>
      </c>
      <c r="N311" s="4" t="inlineStr">
        <is>
          <t>%</t>
        </is>
      </c>
      <c r="O311" s="3" t="inlineStr">
        <is>
          <t>Богатовъ Торговый Дом, Челябинс</t>
        </is>
      </c>
      <c r="P311" s="3" t="inlineStr">
        <is>
          <t>J18</t>
        </is>
      </c>
      <c t="str" r="Q311" s="6">
        <f>A311&amp;"|"&amp;C311&amp;"|"&amp;D311&amp;"|"&amp;G311</f>
        <v>Богатовъ Торговый Дом, Челябинск|Шкала|Оборудование|6</v>
      </c>
      <c t="str" r="R311" s="6">
        <f>A311&amp;"|"&amp;C311&amp;"|"&amp;D311&amp;"|"&amp;J311</f>
        <v>Богатовъ Торговый Дом, Челябинск|Шкала|Оборудование|6</v>
      </c>
      <c t="str" r="S311" s="6">
        <f>A311&amp;"|"&amp;C311&amp;"|"&amp;D311&amp;"|"&amp;G311&amp;"|"&amp;J311</f>
        <v>Богатовъ Торговый Дом, Челябинск|Шкала|Оборудование|6|6</v>
      </c>
      <c t="str" r="T311" s="6">
        <f>A311&amp;"|"&amp;C311&amp;"|"&amp;G311</f>
        <v>Богатовъ Торговый Дом, Челябинск|Шкала|6</v>
      </c>
      <c t="str" r="U311" s="6">
        <f>IF(H311="да",A311&amp;"|"&amp;C311&amp;"|"&amp;D311&amp;"|"&amp;J311,"")</f>
        <v>Богатовъ Торговый Дом, Челябинск|Шкала|Оборудование|6</v>
      </c>
      <c t="str" r="V311" s="6">
        <f>IF(C311="План",A311&amp;"|"&amp;J311,"")</f>
        <v/>
      </c>
    </row>
    <row r="312">
      <c r="A312" s="3" t="inlineStr">
        <is>
          <t>Богатовъ Торговый Дом, Челябинск</t>
        </is>
      </c>
      <c r="B312" s="3" t="inlineStr">
        <is>
          <t>РФ</t>
        </is>
      </c>
      <c r="C312" s="3" t="inlineStr">
        <is>
          <t>Шкала</t>
        </is>
      </c>
      <c r="D312" s="3" t="inlineStr">
        <is>
          <t>Оборудование</t>
        </is>
      </c>
      <c r="E312" s="3" t="inlineStr">
        <is>
          <t>Оборудование — за квартал</t>
        </is>
      </c>
      <c r="F312" s="3" t="inlineStr">
        <is>
          <t>Наличие минимальных складских остатков по РМ (синхронизация отчета по остаткам с 1С КОМПО)</t>
        </is>
      </c>
      <c r="G312" s="4" t="n">
        <v>7</v>
      </c>
      <c r="H312" s="4" t="n"/>
      <c r="I312" s="3" t="inlineStr">
        <is>
          <t>до 75</t>
        </is>
      </c>
      <c r="J312" s="4" t="n">
        <v>1</v>
      </c>
      <c r="K312" s="4" t="n"/>
      <c r="L312" s="4" t="n"/>
      <c r="M312" s="8" t="n">
        <v>0.01</v>
      </c>
      <c r="N312" s="4" t="inlineStr">
        <is>
          <t>%</t>
        </is>
      </c>
      <c r="O312" s="3" t="inlineStr">
        <is>
          <t>Богатовъ Торговый Дом, Челябинс</t>
        </is>
      </c>
      <c r="P312" s="3" t="inlineStr">
        <is>
          <t>E20</t>
        </is>
      </c>
      <c t="str" r="Q312" s="6">
        <f>A312&amp;"|"&amp;C312&amp;"|"&amp;D312&amp;"|"&amp;G312</f>
        <v>Богатовъ Торговый Дом, Челябинск|Шкала|Оборудование|7</v>
      </c>
      <c t="str" r="R312" s="6">
        <f>A312&amp;"|"&amp;C312&amp;"|"&amp;D312&amp;"|"&amp;J312</f>
        <v>Богатовъ Торговый Дом, Челябинск|Шкала|Оборудование|1</v>
      </c>
      <c t="str" r="S312" s="6">
        <f>A312&amp;"|"&amp;C312&amp;"|"&amp;D312&amp;"|"&amp;G312&amp;"|"&amp;J312</f>
        <v>Богатовъ Торговый Дом, Челябинск|Шкала|Оборудование|7|1</v>
      </c>
      <c t="str" r="T312" s="6">
        <f>A312&amp;"|"&amp;C312&amp;"|"&amp;G312</f>
        <v>Богатовъ Торговый Дом, Челябинск|Шкала|7</v>
      </c>
      <c t="str" r="U312" s="6">
        <f>IF(H312="да",A312&amp;"|"&amp;C312&amp;"|"&amp;D312&amp;"|"&amp;J312,"")</f>
        <v/>
      </c>
      <c t="str" r="V312" s="6">
        <f>IF(C312="План",A312&amp;"|"&amp;J312,"")</f>
        <v/>
      </c>
    </row>
    <row r="313">
      <c r="A313" s="3" t="inlineStr">
        <is>
          <t>Богатовъ Торговый Дом, Челябинск</t>
        </is>
      </c>
      <c r="B313" s="3" t="inlineStr">
        <is>
          <t>РФ</t>
        </is>
      </c>
      <c r="C313" s="3" t="inlineStr">
        <is>
          <t>Шкала</t>
        </is>
      </c>
      <c r="D313" s="3" t="inlineStr">
        <is>
          <t>Оборудование</t>
        </is>
      </c>
      <c r="E313" s="3" t="inlineStr">
        <is>
          <t>Оборудование — за квартал</t>
        </is>
      </c>
      <c r="F313" s="3" t="inlineStr">
        <is>
          <t>Наличие минимальных складских остатков по РМ (синхронизация отчета по остаткам с 1С КОМПО)</t>
        </is>
      </c>
      <c r="G313" s="4" t="n">
        <v>7</v>
      </c>
      <c r="H313" s="4" t="n"/>
      <c r="I313" s="3" t="inlineStr">
        <is>
          <t>75-114</t>
        </is>
      </c>
      <c r="J313" s="4" t="n">
        <v>2</v>
      </c>
      <c r="K313" s="4" t="n"/>
      <c r="L313" s="4" t="n"/>
      <c r="M313" s="8" t="n">
        <v>0.01</v>
      </c>
      <c r="N313" s="4" t="inlineStr">
        <is>
          <t>%</t>
        </is>
      </c>
      <c r="O313" s="3" t="inlineStr">
        <is>
          <t>Богатовъ Торговый Дом, Челябинс</t>
        </is>
      </c>
      <c r="P313" s="3" t="inlineStr">
        <is>
          <t>F20</t>
        </is>
      </c>
      <c t="str" r="Q313" s="6">
        <f>A313&amp;"|"&amp;C313&amp;"|"&amp;D313&amp;"|"&amp;G313</f>
        <v>Богатовъ Торговый Дом, Челябинск|Шкала|Оборудование|7</v>
      </c>
      <c t="str" r="R313" s="6">
        <f>A313&amp;"|"&amp;C313&amp;"|"&amp;D313&amp;"|"&amp;J313</f>
        <v>Богатовъ Торговый Дом, Челябинск|Шкала|Оборудование|2</v>
      </c>
      <c t="str" r="S313" s="6">
        <f>A313&amp;"|"&amp;C313&amp;"|"&amp;D313&amp;"|"&amp;G313&amp;"|"&amp;J313</f>
        <v>Богатовъ Торговый Дом, Челябинск|Шкала|Оборудование|7|2</v>
      </c>
      <c t="str" r="T313" s="6">
        <f>A313&amp;"|"&amp;C313&amp;"|"&amp;G313</f>
        <v>Богатовъ Торговый Дом, Челябинск|Шкала|7</v>
      </c>
      <c t="str" r="U313" s="6">
        <f>IF(H313="да",A313&amp;"|"&amp;C313&amp;"|"&amp;D313&amp;"|"&amp;J313,"")</f>
        <v/>
      </c>
      <c t="str" r="V313" s="6">
        <f>IF(C313="План",A313&amp;"|"&amp;J313,"")</f>
        <v/>
      </c>
    </row>
    <row r="314">
      <c r="A314" s="3" t="inlineStr">
        <is>
          <t>Богатовъ Торговый Дом, Челябинск</t>
        </is>
      </c>
      <c r="B314" s="3" t="inlineStr">
        <is>
          <t>РФ</t>
        </is>
      </c>
      <c r="C314" s="3" t="inlineStr">
        <is>
          <t>Шкала</t>
        </is>
      </c>
      <c r="D314" s="3" t="inlineStr">
        <is>
          <t>Оборудование</t>
        </is>
      </c>
      <c r="E314" s="3" t="inlineStr">
        <is>
          <t>Оборудование — за квартал</t>
        </is>
      </c>
      <c r="F314" s="3" t="inlineStr">
        <is>
          <t>Наличие минимальных складских остатков по РМ (синхронизация отчета по остаткам с 1С КОМПО)</t>
        </is>
      </c>
      <c r="G314" s="4" t="n">
        <v>7</v>
      </c>
      <c r="H314" s="4" t="n"/>
      <c r="I314" s="3" t="inlineStr">
        <is>
          <t>115-149</t>
        </is>
      </c>
      <c r="J314" s="4" t="n">
        <v>3</v>
      </c>
      <c r="K314" s="4" t="n"/>
      <c r="L314" s="4" t="n"/>
      <c r="M314" s="8" t="n">
        <v>0.01</v>
      </c>
      <c r="N314" s="4" t="inlineStr">
        <is>
          <t>%</t>
        </is>
      </c>
      <c r="O314" s="3" t="inlineStr">
        <is>
          <t>Богатовъ Торговый Дом, Челябинс</t>
        </is>
      </c>
      <c r="P314" s="3" t="inlineStr">
        <is>
          <t>G20</t>
        </is>
      </c>
      <c t="str" r="Q314" s="6">
        <f>A314&amp;"|"&amp;C314&amp;"|"&amp;D314&amp;"|"&amp;G314</f>
        <v>Богатовъ Торговый Дом, Челябинск|Шкала|Оборудование|7</v>
      </c>
      <c t="str" r="R314" s="6">
        <f>A314&amp;"|"&amp;C314&amp;"|"&amp;D314&amp;"|"&amp;J314</f>
        <v>Богатовъ Торговый Дом, Челябинск|Шкала|Оборудование|3</v>
      </c>
      <c t="str" r="S314" s="6">
        <f>A314&amp;"|"&amp;C314&amp;"|"&amp;D314&amp;"|"&amp;G314&amp;"|"&amp;J314</f>
        <v>Богатовъ Торговый Дом, Челябинск|Шкала|Оборудование|7|3</v>
      </c>
      <c t="str" r="T314" s="6">
        <f>A314&amp;"|"&amp;C314&amp;"|"&amp;G314</f>
        <v>Богатовъ Торговый Дом, Челябинск|Шкала|7</v>
      </c>
      <c t="str" r="U314" s="6">
        <f>IF(H314="да",A314&amp;"|"&amp;C314&amp;"|"&amp;D314&amp;"|"&amp;J314,"")</f>
        <v/>
      </c>
      <c t="str" r="V314" s="6">
        <f>IF(C314="План",A314&amp;"|"&amp;J314,"")</f>
        <v/>
      </c>
    </row>
    <row r="315">
      <c r="A315" s="3" t="inlineStr">
        <is>
          <t>Богатовъ Торговый Дом, Челябинск</t>
        </is>
      </c>
      <c r="B315" s="3" t="inlineStr">
        <is>
          <t>РФ</t>
        </is>
      </c>
      <c r="C315" s="3" t="inlineStr">
        <is>
          <t>Шкала</t>
        </is>
      </c>
      <c r="D315" s="3" t="inlineStr">
        <is>
          <t>Оборудование</t>
        </is>
      </c>
      <c r="E315" s="3" t="inlineStr">
        <is>
          <t>Оборудование — за квартал</t>
        </is>
      </c>
      <c r="F315" s="3" t="inlineStr">
        <is>
          <t>Наличие минимальных складских остатков по РМ (синхронизация отчета по остаткам с 1С КОМПО)</t>
        </is>
      </c>
      <c r="G315" s="4" t="n">
        <v>7</v>
      </c>
      <c r="H315" s="4" t="n"/>
      <c r="I315" s="3" t="inlineStr">
        <is>
          <t>150-189</t>
        </is>
      </c>
      <c r="J315" s="4" t="n">
        <v>4</v>
      </c>
      <c r="K315" s="4" t="n"/>
      <c r="L315" s="4" t="n"/>
      <c r="M315" s="8" t="n">
        <v>0.01</v>
      </c>
      <c r="N315" s="4" t="inlineStr">
        <is>
          <t>%</t>
        </is>
      </c>
      <c r="O315" s="3" t="inlineStr">
        <is>
          <t>Богатовъ Торговый Дом, Челябинс</t>
        </is>
      </c>
      <c r="P315" s="3" t="inlineStr">
        <is>
          <t>H20</t>
        </is>
      </c>
      <c t="str" r="Q315" s="6">
        <f>A315&amp;"|"&amp;C315&amp;"|"&amp;D315&amp;"|"&amp;G315</f>
        <v>Богатовъ Торговый Дом, Челябинск|Шкала|Оборудование|7</v>
      </c>
      <c t="str" r="R315" s="6">
        <f>A315&amp;"|"&amp;C315&amp;"|"&amp;D315&amp;"|"&amp;J315</f>
        <v>Богатовъ Торговый Дом, Челябинск|Шкала|Оборудование|4</v>
      </c>
      <c t="str" r="S315" s="6">
        <f>A315&amp;"|"&amp;C315&amp;"|"&amp;D315&amp;"|"&amp;G315&amp;"|"&amp;J315</f>
        <v>Богатовъ Торговый Дом, Челябинск|Шкала|Оборудование|7|4</v>
      </c>
      <c t="str" r="T315" s="6">
        <f>A315&amp;"|"&amp;C315&amp;"|"&amp;G315</f>
        <v>Богатовъ Торговый Дом, Челябинск|Шкала|7</v>
      </c>
      <c t="str" r="U315" s="6">
        <f>IF(H315="да",A315&amp;"|"&amp;C315&amp;"|"&amp;D315&amp;"|"&amp;J315,"")</f>
        <v/>
      </c>
      <c t="str" r="V315" s="6">
        <f>IF(C315="План",A315&amp;"|"&amp;J315,"")</f>
        <v/>
      </c>
    </row>
    <row r="316">
      <c r="A316" s="3" t="inlineStr">
        <is>
          <t>Богатовъ Торговый Дом, Челябинск</t>
        </is>
      </c>
      <c r="B316" s="3" t="inlineStr">
        <is>
          <t>РФ</t>
        </is>
      </c>
      <c r="C316" s="3" t="inlineStr">
        <is>
          <t>Шкала</t>
        </is>
      </c>
      <c r="D316" s="3" t="inlineStr">
        <is>
          <t>Оборудование</t>
        </is>
      </c>
      <c r="E316" s="3" t="inlineStr">
        <is>
          <t>Оборудование — за квартал</t>
        </is>
      </c>
      <c r="F316" s="3" t="inlineStr">
        <is>
          <t>Наличие минимальных складских остатков по РМ (синхронизация отчета по остаткам с 1С КОМПО)</t>
        </is>
      </c>
      <c r="G316" s="4" t="n">
        <v>7</v>
      </c>
      <c r="H316" s="4" t="n"/>
      <c r="I316" s="3" t="inlineStr">
        <is>
          <t>190-224</t>
        </is>
      </c>
      <c r="J316" s="4" t="n">
        <v>5</v>
      </c>
      <c r="K316" s="4" t="n"/>
      <c r="L316" s="4" t="n"/>
      <c r="M316" s="8" t="n">
        <v>0.01</v>
      </c>
      <c r="N316" s="4" t="inlineStr">
        <is>
          <t>%</t>
        </is>
      </c>
      <c r="O316" s="3" t="inlineStr">
        <is>
          <t>Богатовъ Торговый Дом, Челябинс</t>
        </is>
      </c>
      <c r="P316" s="3" t="inlineStr">
        <is>
          <t>I20</t>
        </is>
      </c>
      <c t="str" r="Q316" s="6">
        <f>A316&amp;"|"&amp;C316&amp;"|"&amp;D316&amp;"|"&amp;G316</f>
        <v>Богатовъ Торговый Дом, Челябинск|Шкала|Оборудование|7</v>
      </c>
      <c t="str" r="R316" s="6">
        <f>A316&amp;"|"&amp;C316&amp;"|"&amp;D316&amp;"|"&amp;J316</f>
        <v>Богатовъ Торговый Дом, Челябинск|Шкала|Оборудование|5</v>
      </c>
      <c t="str" r="S316" s="6">
        <f>A316&amp;"|"&amp;C316&amp;"|"&amp;D316&amp;"|"&amp;G316&amp;"|"&amp;J316</f>
        <v>Богатовъ Торговый Дом, Челябинск|Шкала|Оборудование|7|5</v>
      </c>
      <c t="str" r="T316" s="6">
        <f>A316&amp;"|"&amp;C316&amp;"|"&amp;G316</f>
        <v>Богатовъ Торговый Дом, Челябинск|Шкала|7</v>
      </c>
      <c t="str" r="U316" s="6">
        <f>IF(H316="да",A316&amp;"|"&amp;C316&amp;"|"&amp;D316&amp;"|"&amp;J316,"")</f>
        <v/>
      </c>
      <c t="str" r="V316" s="6">
        <f>IF(C316="План",A316&amp;"|"&amp;J316,"")</f>
        <v/>
      </c>
    </row>
    <row r="317">
      <c r="A317" s="3" t="inlineStr">
        <is>
          <t>Богатовъ Торговый Дом, Челябинск</t>
        </is>
      </c>
      <c r="B317" s="3" t="inlineStr">
        <is>
          <t>РФ</t>
        </is>
      </c>
      <c r="C317" s="3" t="inlineStr">
        <is>
          <t>Шкала</t>
        </is>
      </c>
      <c r="D317" s="3" t="inlineStr">
        <is>
          <t>Оборудование</t>
        </is>
      </c>
      <c r="E317" s="3" t="inlineStr">
        <is>
          <t>Оборудование — за квартал</t>
        </is>
      </c>
      <c r="F317" s="3" t="inlineStr">
        <is>
          <t>Наличие минимальных складских остатков по РМ (синхронизация отчета по остаткам с 1С КОМПО)</t>
        </is>
      </c>
      <c r="G317" s="4" t="n">
        <v>7</v>
      </c>
      <c r="H317" s="4" t="n"/>
      <c r="I317" s="3" t="inlineStr">
        <is>
          <t>225 и более</t>
        </is>
      </c>
      <c r="J317" s="4" t="n">
        <v>6</v>
      </c>
      <c r="K317" s="4" t="n"/>
      <c r="L317" s="4" t="n"/>
      <c r="M317" s="8" t="n">
        <v>0.01</v>
      </c>
      <c r="N317" s="4" t="inlineStr">
        <is>
          <t>%</t>
        </is>
      </c>
      <c r="O317" s="3" t="inlineStr">
        <is>
          <t>Богатовъ Торговый Дом, Челябинс</t>
        </is>
      </c>
      <c r="P317" s="3" t="inlineStr">
        <is>
          <t>J20</t>
        </is>
      </c>
      <c t="str" r="Q317" s="6">
        <f>A317&amp;"|"&amp;C317&amp;"|"&amp;D317&amp;"|"&amp;G317</f>
        <v>Богатовъ Торговый Дом, Челябинск|Шкала|Оборудование|7</v>
      </c>
      <c t="str" r="R317" s="6">
        <f>A317&amp;"|"&amp;C317&amp;"|"&amp;D317&amp;"|"&amp;J317</f>
        <v>Богатовъ Торговый Дом, Челябинск|Шкала|Оборудование|6</v>
      </c>
      <c t="str" r="S317" s="6">
        <f>A317&amp;"|"&amp;C317&amp;"|"&amp;D317&amp;"|"&amp;G317&amp;"|"&amp;J317</f>
        <v>Богатовъ Торговый Дом, Челябинск|Шкала|Оборудование|7|6</v>
      </c>
      <c t="str" r="T317" s="6">
        <f>A317&amp;"|"&amp;C317&amp;"|"&amp;G317</f>
        <v>Богатовъ Торговый Дом, Челябинск|Шкала|7</v>
      </c>
      <c t="str" r="U317" s="6">
        <f>IF(H317="да",A317&amp;"|"&amp;C317&amp;"|"&amp;D317&amp;"|"&amp;J317,"")</f>
        <v/>
      </c>
      <c t="str" r="V317" s="6">
        <f>IF(C317="План",A317&amp;"|"&amp;J317,"")</f>
        <v/>
      </c>
    </row>
    <row r="318">
      <c r="A318" s="3" t="inlineStr">
        <is>
          <t>Богатовъ Торговый Дом, Челябинск</t>
        </is>
      </c>
      <c r="B318" s="3" t="inlineStr">
        <is>
          <t>РФ</t>
        </is>
      </c>
      <c r="C318" s="3" t="inlineStr">
        <is>
          <t>Шкала</t>
        </is>
      </c>
      <c r="D318" s="3" t="inlineStr">
        <is>
          <t>Оборудование</t>
        </is>
      </c>
      <c r="E318" s="3" t="inlineStr">
        <is>
          <t>Оборудование — за квартал</t>
        </is>
      </c>
      <c r="F318" s="3" t="inlineStr">
        <is>
          <t>Объем закупок РМ</t>
        </is>
      </c>
      <c r="G318" s="4" t="n">
        <v>8</v>
      </c>
      <c r="H318" s="4" t="n"/>
      <c r="I318" s="3" t="inlineStr">
        <is>
          <t>до 75</t>
        </is>
      </c>
      <c r="J318" s="4" t="n">
        <v>1</v>
      </c>
      <c r="K318" s="4" t="n"/>
      <c r="L318" s="4" t="n"/>
      <c r="M318" s="8" t="n">
        <v>0</v>
      </c>
      <c r="N318" s="4" t="inlineStr">
        <is>
          <t>%</t>
        </is>
      </c>
      <c r="O318" s="3" t="inlineStr">
        <is>
          <t>Богатовъ Торговый Дом, Челябинс</t>
        </is>
      </c>
      <c r="P318" s="3" t="inlineStr">
        <is>
          <t>E21</t>
        </is>
      </c>
      <c t="str" r="Q318" s="6">
        <f>A318&amp;"|"&amp;C318&amp;"|"&amp;D318&amp;"|"&amp;G318</f>
        <v>Богатовъ Торговый Дом, Челябинск|Шкала|Оборудование|8</v>
      </c>
      <c t="str" r="R318" s="6">
        <f>A318&amp;"|"&amp;C318&amp;"|"&amp;D318&amp;"|"&amp;J318</f>
        <v>Богатовъ Торговый Дом, Челябинск|Шкала|Оборудование|1</v>
      </c>
      <c t="str" r="S318" s="6">
        <f>A318&amp;"|"&amp;C318&amp;"|"&amp;D318&amp;"|"&amp;G318&amp;"|"&amp;J318</f>
        <v>Богатовъ Торговый Дом, Челябинск|Шкала|Оборудование|8|1</v>
      </c>
      <c t="str" r="T318" s="6">
        <f>A318&amp;"|"&amp;C318&amp;"|"&amp;G318</f>
        <v>Богатовъ Торговый Дом, Челябинск|Шкала|8</v>
      </c>
      <c t="str" r="U318" s="6">
        <f>IF(H318="да",A318&amp;"|"&amp;C318&amp;"|"&amp;D318&amp;"|"&amp;J318,"")</f>
        <v/>
      </c>
      <c t="str" r="V318" s="6">
        <f>IF(C318="План",A318&amp;"|"&amp;J318,"")</f>
        <v/>
      </c>
    </row>
    <row r="319">
      <c r="A319" s="3" t="inlineStr">
        <is>
          <t>Богатовъ Торговый Дом, Челябинск</t>
        </is>
      </c>
      <c r="B319" s="3" t="inlineStr">
        <is>
          <t>РФ</t>
        </is>
      </c>
      <c r="C319" s="3" t="inlineStr">
        <is>
          <t>Шкала</t>
        </is>
      </c>
      <c r="D319" s="3" t="inlineStr">
        <is>
          <t>Оборудование</t>
        </is>
      </c>
      <c r="E319" s="3" t="inlineStr">
        <is>
          <t>Оборудование — за квартал</t>
        </is>
      </c>
      <c r="F319" s="3" t="inlineStr">
        <is>
          <t>Объем закупок РМ</t>
        </is>
      </c>
      <c r="G319" s="4" t="n">
        <v>8</v>
      </c>
      <c r="H319" s="4" t="n"/>
      <c r="I319" s="3" t="inlineStr">
        <is>
          <t>75-114</t>
        </is>
      </c>
      <c r="J319" s="4" t="n">
        <v>2</v>
      </c>
      <c r="K319" s="4" t="n"/>
      <c r="L319" s="4" t="n"/>
      <c r="M319" s="8" t="n">
        <v>0.01</v>
      </c>
      <c r="N319" s="4" t="inlineStr">
        <is>
          <t>%</t>
        </is>
      </c>
      <c r="O319" s="3" t="inlineStr">
        <is>
          <t>Богатовъ Торговый Дом, Челябинс</t>
        </is>
      </c>
      <c r="P319" s="3" t="inlineStr">
        <is>
          <t>F21</t>
        </is>
      </c>
      <c t="str" r="Q319" s="6">
        <f>A319&amp;"|"&amp;C319&amp;"|"&amp;D319&amp;"|"&amp;G319</f>
        <v>Богатовъ Торговый Дом, Челябинск|Шкала|Оборудование|8</v>
      </c>
      <c t="str" r="R319" s="6">
        <f>A319&amp;"|"&amp;C319&amp;"|"&amp;D319&amp;"|"&amp;J319</f>
        <v>Богатовъ Торговый Дом, Челябинск|Шкала|Оборудование|2</v>
      </c>
      <c t="str" r="S319" s="6">
        <f>A319&amp;"|"&amp;C319&amp;"|"&amp;D319&amp;"|"&amp;G319&amp;"|"&amp;J319</f>
        <v>Богатовъ Торговый Дом, Челябинск|Шкала|Оборудование|8|2</v>
      </c>
      <c t="str" r="T319" s="6">
        <f>A319&amp;"|"&amp;C319&amp;"|"&amp;G319</f>
        <v>Богатовъ Торговый Дом, Челябинск|Шкала|8</v>
      </c>
      <c t="str" r="U319" s="6">
        <f>IF(H319="да",A319&amp;"|"&amp;C319&amp;"|"&amp;D319&amp;"|"&amp;J319,"")</f>
        <v/>
      </c>
      <c t="str" r="V319" s="6">
        <f>IF(C319="План",A319&amp;"|"&amp;J319,"")</f>
        <v/>
      </c>
    </row>
    <row r="320">
      <c r="A320" s="3" t="inlineStr">
        <is>
          <t>Богатовъ Торговый Дом, Челябинск</t>
        </is>
      </c>
      <c r="B320" s="3" t="inlineStr">
        <is>
          <t>РФ</t>
        </is>
      </c>
      <c r="C320" s="3" t="inlineStr">
        <is>
          <t>Шкала</t>
        </is>
      </c>
      <c r="D320" s="3" t="inlineStr">
        <is>
          <t>Оборудование</t>
        </is>
      </c>
      <c r="E320" s="3" t="inlineStr">
        <is>
          <t>Оборудование — за квартал</t>
        </is>
      </c>
      <c r="F320" s="3" t="inlineStr">
        <is>
          <t>Объем закупок РМ</t>
        </is>
      </c>
      <c r="G320" s="4" t="n">
        <v>8</v>
      </c>
      <c r="H320" s="4" t="n"/>
      <c r="I320" s="3" t="inlineStr">
        <is>
          <t>115-149</t>
        </is>
      </c>
      <c r="J320" s="4" t="n">
        <v>3</v>
      </c>
      <c r="K320" s="4" t="n"/>
      <c r="L320" s="4" t="n"/>
      <c r="M320" s="8" t="n">
        <v>0.02</v>
      </c>
      <c r="N320" s="4" t="inlineStr">
        <is>
          <t>%</t>
        </is>
      </c>
      <c r="O320" s="3" t="inlineStr">
        <is>
          <t>Богатовъ Торговый Дом, Челябинс</t>
        </is>
      </c>
      <c r="P320" s="3" t="inlineStr">
        <is>
          <t>G21</t>
        </is>
      </c>
      <c t="str" r="Q320" s="6">
        <f>A320&amp;"|"&amp;C320&amp;"|"&amp;D320&amp;"|"&amp;G320</f>
        <v>Богатовъ Торговый Дом, Челябинск|Шкала|Оборудование|8</v>
      </c>
      <c t="str" r="R320" s="6">
        <f>A320&amp;"|"&amp;C320&amp;"|"&amp;D320&amp;"|"&amp;J320</f>
        <v>Богатовъ Торговый Дом, Челябинск|Шкала|Оборудование|3</v>
      </c>
      <c t="str" r="S320" s="6">
        <f>A320&amp;"|"&amp;C320&amp;"|"&amp;D320&amp;"|"&amp;G320&amp;"|"&amp;J320</f>
        <v>Богатовъ Торговый Дом, Челябинск|Шкала|Оборудование|8|3</v>
      </c>
      <c t="str" r="T320" s="6">
        <f>A320&amp;"|"&amp;C320&amp;"|"&amp;G320</f>
        <v>Богатовъ Торговый Дом, Челябинск|Шкала|8</v>
      </c>
      <c t="str" r="U320" s="6">
        <f>IF(H320="да",A320&amp;"|"&amp;C320&amp;"|"&amp;D320&amp;"|"&amp;J320,"")</f>
        <v/>
      </c>
      <c t="str" r="V320" s="6">
        <f>IF(C320="План",A320&amp;"|"&amp;J320,"")</f>
        <v/>
      </c>
    </row>
    <row r="321">
      <c r="A321" s="3" t="inlineStr">
        <is>
          <t>Богатовъ Торговый Дом, Челябинск</t>
        </is>
      </c>
      <c r="B321" s="3" t="inlineStr">
        <is>
          <t>РФ</t>
        </is>
      </c>
      <c r="C321" s="3" t="inlineStr">
        <is>
          <t>Шкала</t>
        </is>
      </c>
      <c r="D321" s="3" t="inlineStr">
        <is>
          <t>Оборудование</t>
        </is>
      </c>
      <c r="E321" s="3" t="inlineStr">
        <is>
          <t>Оборудование — за квартал</t>
        </is>
      </c>
      <c r="F321" s="3" t="inlineStr">
        <is>
          <t>Объем закупок РМ</t>
        </is>
      </c>
      <c r="G321" s="4" t="n">
        <v>8</v>
      </c>
      <c r="H321" s="4" t="n"/>
      <c r="I321" s="3" t="inlineStr">
        <is>
          <t>150-189</t>
        </is>
      </c>
      <c r="J321" s="4" t="n">
        <v>4</v>
      </c>
      <c r="K321" s="4" t="n"/>
      <c r="L321" s="4" t="n"/>
      <c r="M321" s="8" t="n">
        <v>0.03</v>
      </c>
      <c r="N321" s="4" t="inlineStr">
        <is>
          <t>%</t>
        </is>
      </c>
      <c r="O321" s="3" t="inlineStr">
        <is>
          <t>Богатовъ Торговый Дом, Челябинс</t>
        </is>
      </c>
      <c r="P321" s="3" t="inlineStr">
        <is>
          <t>H21</t>
        </is>
      </c>
      <c t="str" r="Q321" s="6">
        <f>A321&amp;"|"&amp;C321&amp;"|"&amp;D321&amp;"|"&amp;G321</f>
        <v>Богатовъ Торговый Дом, Челябинск|Шкала|Оборудование|8</v>
      </c>
      <c t="str" r="R321" s="6">
        <f>A321&amp;"|"&amp;C321&amp;"|"&amp;D321&amp;"|"&amp;J321</f>
        <v>Богатовъ Торговый Дом, Челябинск|Шкала|Оборудование|4</v>
      </c>
      <c t="str" r="S321" s="6">
        <f>A321&amp;"|"&amp;C321&amp;"|"&amp;D321&amp;"|"&amp;G321&amp;"|"&amp;J321</f>
        <v>Богатовъ Торговый Дом, Челябинск|Шкала|Оборудование|8|4</v>
      </c>
      <c t="str" r="T321" s="6">
        <f>A321&amp;"|"&amp;C321&amp;"|"&amp;G321</f>
        <v>Богатовъ Торговый Дом, Челябинск|Шкала|8</v>
      </c>
      <c t="str" r="U321" s="6">
        <f>IF(H321="да",A321&amp;"|"&amp;C321&amp;"|"&amp;D321&amp;"|"&amp;J321,"")</f>
        <v/>
      </c>
      <c t="str" r="V321" s="6">
        <f>IF(C321="План",A321&amp;"|"&amp;J321,"")</f>
        <v/>
      </c>
    </row>
    <row r="322">
      <c r="A322" s="3" t="inlineStr">
        <is>
          <t>Богатовъ Торговый Дом, Челябинск</t>
        </is>
      </c>
      <c r="B322" s="3" t="inlineStr">
        <is>
          <t>РФ</t>
        </is>
      </c>
      <c r="C322" s="3" t="inlineStr">
        <is>
          <t>Шкала</t>
        </is>
      </c>
      <c r="D322" s="3" t="inlineStr">
        <is>
          <t>Оборудование</t>
        </is>
      </c>
      <c r="E322" s="3" t="inlineStr">
        <is>
          <t>Оборудование — за квартал</t>
        </is>
      </c>
      <c r="F322" s="3" t="inlineStr">
        <is>
          <t>Объем закупок РМ</t>
        </is>
      </c>
      <c r="G322" s="4" t="n">
        <v>8</v>
      </c>
      <c r="H322" s="4" t="n"/>
      <c r="I322" s="3" t="inlineStr">
        <is>
          <t>190-224</t>
        </is>
      </c>
      <c r="J322" s="4" t="n">
        <v>5</v>
      </c>
      <c r="K322" s="4" t="n"/>
      <c r="L322" s="4" t="n"/>
      <c r="M322" s="8" t="n">
        <v>0.04</v>
      </c>
      <c r="N322" s="4" t="inlineStr">
        <is>
          <t>%</t>
        </is>
      </c>
      <c r="O322" s="3" t="inlineStr">
        <is>
          <t>Богатовъ Торговый Дом, Челябинс</t>
        </is>
      </c>
      <c r="P322" s="3" t="inlineStr">
        <is>
          <t>I21</t>
        </is>
      </c>
      <c t="str" r="Q322" s="6">
        <f>A322&amp;"|"&amp;C322&amp;"|"&amp;D322&amp;"|"&amp;G322</f>
        <v>Богатовъ Торговый Дом, Челябинск|Шкала|Оборудование|8</v>
      </c>
      <c t="str" r="R322" s="6">
        <f>A322&amp;"|"&amp;C322&amp;"|"&amp;D322&amp;"|"&amp;J322</f>
        <v>Богатовъ Торговый Дом, Челябинск|Шкала|Оборудование|5</v>
      </c>
      <c t="str" r="S322" s="6">
        <f>A322&amp;"|"&amp;C322&amp;"|"&amp;D322&amp;"|"&amp;G322&amp;"|"&amp;J322</f>
        <v>Богатовъ Торговый Дом, Челябинск|Шкала|Оборудование|8|5</v>
      </c>
      <c t="str" r="T322" s="6">
        <f>A322&amp;"|"&amp;C322&amp;"|"&amp;G322</f>
        <v>Богатовъ Торговый Дом, Челябинск|Шкала|8</v>
      </c>
      <c t="str" r="U322" s="6">
        <f>IF(H322="да",A322&amp;"|"&amp;C322&amp;"|"&amp;D322&amp;"|"&amp;J322,"")</f>
        <v/>
      </c>
      <c t="str" r="V322" s="6">
        <f>IF(C322="План",A322&amp;"|"&amp;J322,"")</f>
        <v/>
      </c>
    </row>
    <row r="323">
      <c r="A323" s="3" t="inlineStr">
        <is>
          <t>Богатовъ Торговый Дом, Челябинск</t>
        </is>
      </c>
      <c r="B323" s="3" t="inlineStr">
        <is>
          <t>РФ</t>
        </is>
      </c>
      <c r="C323" s="3" t="inlineStr">
        <is>
          <t>Шкала</t>
        </is>
      </c>
      <c r="D323" s="3" t="inlineStr">
        <is>
          <t>Оборудование</t>
        </is>
      </c>
      <c r="E323" s="3" t="inlineStr">
        <is>
          <t>Оборудование — за квартал</t>
        </is>
      </c>
      <c r="F323" s="3" t="inlineStr">
        <is>
          <t>Объем закупок РМ</t>
        </is>
      </c>
      <c r="G323" s="4" t="n">
        <v>8</v>
      </c>
      <c r="H323" s="4" t="n"/>
      <c r="I323" s="3" t="inlineStr">
        <is>
          <t>225 и более</t>
        </is>
      </c>
      <c r="J323" s="4" t="n">
        <v>6</v>
      </c>
      <c r="K323" s="4" t="n"/>
      <c r="L323" s="4" t="n"/>
      <c r="M323" s="8" t="n">
        <v>0.05</v>
      </c>
      <c r="N323" s="4" t="inlineStr">
        <is>
          <t>%</t>
        </is>
      </c>
      <c r="O323" s="3" t="inlineStr">
        <is>
          <t>Богатовъ Торговый Дом, Челябинс</t>
        </is>
      </c>
      <c r="P323" s="3" t="inlineStr">
        <is>
          <t>J21</t>
        </is>
      </c>
      <c t="str" r="Q323" s="6">
        <f>A323&amp;"|"&amp;C323&amp;"|"&amp;D323&amp;"|"&amp;G323</f>
        <v>Богатовъ Торговый Дом, Челябинск|Шкала|Оборудование|8</v>
      </c>
      <c t="str" r="R323" s="6">
        <f>A323&amp;"|"&amp;C323&amp;"|"&amp;D323&amp;"|"&amp;J323</f>
        <v>Богатовъ Торговый Дом, Челябинск|Шкала|Оборудование|6</v>
      </c>
      <c t="str" r="S323" s="6">
        <f>A323&amp;"|"&amp;C323&amp;"|"&amp;D323&amp;"|"&amp;G323&amp;"|"&amp;J323</f>
        <v>Богатовъ Торговый Дом, Челябинск|Шкала|Оборудование|8|6</v>
      </c>
      <c t="str" r="T323" s="6">
        <f>A323&amp;"|"&amp;C323&amp;"|"&amp;G323</f>
        <v>Богатовъ Торговый Дом, Челябинск|Шкала|8</v>
      </c>
      <c t="str" r="U323" s="6">
        <f>IF(H323="да",A323&amp;"|"&amp;C323&amp;"|"&amp;D323&amp;"|"&amp;J323,"")</f>
        <v/>
      </c>
      <c t="str" r="V323" s="6">
        <f>IF(C323="План",A323&amp;"|"&amp;J323,"")</f>
        <v/>
      </c>
    </row>
    <row r="324">
      <c r="A324" s="3" t="inlineStr">
        <is>
          <t>Богатовъ Торговый Дом, Челябинск</t>
        </is>
      </c>
      <c r="B324" s="3" t="inlineStr">
        <is>
          <t>РФ</t>
        </is>
      </c>
      <c r="C324" s="3" t="inlineStr">
        <is>
          <t>Шкала</t>
        </is>
      </c>
      <c r="D324" s="3" t="inlineStr">
        <is>
          <t>Расходные материалы</t>
        </is>
      </c>
      <c r="E324" s="3" t="inlineStr">
        <is>
          <t>Расходные материалы — за квартал</t>
        </is>
      </c>
      <c r="F324" s="3" t="inlineStr">
        <is>
          <t>Наличие минимальных складских остатков по РМ (синхронизация отчета по остаткам с 1С КОМПО)</t>
        </is>
      </c>
      <c r="G324" s="4" t="n">
        <v>1</v>
      </c>
      <c r="H324" s="4" t="n"/>
      <c r="I324" s="3" t="inlineStr">
        <is>
          <t>до 75</t>
        </is>
      </c>
      <c r="J324" s="4" t="n">
        <v>1</v>
      </c>
      <c r="K324" s="4" t="n"/>
      <c r="L324" s="4" t="n"/>
      <c r="M324" s="8" t="n">
        <v>0.01</v>
      </c>
      <c r="N324" s="4" t="inlineStr">
        <is>
          <t>%</t>
        </is>
      </c>
      <c r="O324" s="3" t="inlineStr">
        <is>
          <t>Богатовъ Торговый Дом, Челябинс</t>
        </is>
      </c>
      <c r="P324" s="3" t="inlineStr">
        <is>
          <t>E20</t>
        </is>
      </c>
      <c t="str" r="Q324" s="6">
        <f>A324&amp;"|"&amp;C324&amp;"|"&amp;D324&amp;"|"&amp;G324</f>
        <v>Богатовъ Торговый Дом, Челябинск|Шкала|Расходные материалы|1</v>
      </c>
      <c t="str" r="R324" s="6">
        <f>A324&amp;"|"&amp;C324&amp;"|"&amp;D324&amp;"|"&amp;J324</f>
        <v>Богатовъ Торговый Дом, Челябинск|Шкала|Расходные материалы|1</v>
      </c>
      <c t="str" r="S324" s="6">
        <f>A324&amp;"|"&amp;C324&amp;"|"&amp;D324&amp;"|"&amp;G324&amp;"|"&amp;J324</f>
        <v>Богатовъ Торговый Дом, Челябинск|Шкала|Расходные материалы|1|1</v>
      </c>
      <c t="str" r="T324" s="6">
        <f>A324&amp;"|"&amp;C324&amp;"|"&amp;G324</f>
        <v>Богатовъ Торговый Дом, Челябинск|Шкала|1</v>
      </c>
      <c t="str" r="U324" s="6">
        <f>IF(H324="да",A324&amp;"|"&amp;C324&amp;"|"&amp;D324&amp;"|"&amp;J324,"")</f>
        <v/>
      </c>
      <c t="str" r="V324" s="6">
        <f>IF(C324="План",A324&amp;"|"&amp;J324,"")</f>
        <v/>
      </c>
    </row>
    <row r="325">
      <c r="A325" s="3" t="inlineStr">
        <is>
          <t>Богатовъ Торговый Дом, Челябинск</t>
        </is>
      </c>
      <c r="B325" s="3" t="inlineStr">
        <is>
          <t>РФ</t>
        </is>
      </c>
      <c r="C325" s="3" t="inlineStr">
        <is>
          <t>Шкала</t>
        </is>
      </c>
      <c r="D325" s="3" t="inlineStr">
        <is>
          <t>Расходные материалы</t>
        </is>
      </c>
      <c r="E325" s="3" t="inlineStr">
        <is>
          <t>Расходные материалы — за квартал</t>
        </is>
      </c>
      <c r="F325" s="3" t="inlineStr">
        <is>
          <t>Наличие минимальных складских остатков по РМ (синхронизация отчета по остаткам с 1С КОМПО)</t>
        </is>
      </c>
      <c r="G325" s="4" t="n">
        <v>1</v>
      </c>
      <c r="H325" s="4" t="n"/>
      <c r="I325" s="3" t="inlineStr">
        <is>
          <t>75-115</t>
        </is>
      </c>
      <c r="J325" s="4" t="n">
        <v>2</v>
      </c>
      <c r="K325" s="4" t="n"/>
      <c r="L325" s="4" t="n"/>
      <c r="M325" s="8" t="n">
        <v>0.01</v>
      </c>
      <c r="N325" s="4" t="inlineStr">
        <is>
          <t>%</t>
        </is>
      </c>
      <c r="O325" s="3" t="inlineStr">
        <is>
          <t>Богатовъ Торговый Дом, Челябинс</t>
        </is>
      </c>
      <c r="P325" s="3" t="inlineStr">
        <is>
          <t>F20</t>
        </is>
      </c>
      <c t="str" r="Q325" s="6">
        <f>A325&amp;"|"&amp;C325&amp;"|"&amp;D325&amp;"|"&amp;G325</f>
        <v>Богатовъ Торговый Дом, Челябинск|Шкала|Расходные материалы|1</v>
      </c>
      <c t="str" r="R325" s="6">
        <f>A325&amp;"|"&amp;C325&amp;"|"&amp;D325&amp;"|"&amp;J325</f>
        <v>Богатовъ Торговый Дом, Челябинск|Шкала|Расходные материалы|2</v>
      </c>
      <c t="str" r="S325" s="6">
        <f>A325&amp;"|"&amp;C325&amp;"|"&amp;D325&amp;"|"&amp;G325&amp;"|"&amp;J325</f>
        <v>Богатовъ Торговый Дом, Челябинск|Шкала|Расходные материалы|1|2</v>
      </c>
      <c t="str" r="T325" s="6">
        <f>A325&amp;"|"&amp;C325&amp;"|"&amp;G325</f>
        <v>Богатовъ Торговый Дом, Челябинск|Шкала|1</v>
      </c>
      <c t="str" r="U325" s="6">
        <f>IF(H325="да",A325&amp;"|"&amp;C325&amp;"|"&amp;D325&amp;"|"&amp;J325,"")</f>
        <v/>
      </c>
      <c t="str" r="V325" s="6">
        <f>IF(C325="План",A325&amp;"|"&amp;J325,"")</f>
        <v/>
      </c>
    </row>
    <row r="326">
      <c r="A326" s="3" t="inlineStr">
        <is>
          <t>Богатовъ Торговый Дом, Челябинск</t>
        </is>
      </c>
      <c r="B326" s="3" t="inlineStr">
        <is>
          <t>РФ</t>
        </is>
      </c>
      <c r="C326" s="3" t="inlineStr">
        <is>
          <t>Шкала</t>
        </is>
      </c>
      <c r="D326" s="3" t="inlineStr">
        <is>
          <t>Расходные материалы</t>
        </is>
      </c>
      <c r="E326" s="3" t="inlineStr">
        <is>
          <t>Расходные материалы — за квартал</t>
        </is>
      </c>
      <c r="F326" s="3" t="inlineStr">
        <is>
          <t>Наличие минимальных складских остатков по РМ (синхронизация отчета по остаткам с 1С КОМПО)</t>
        </is>
      </c>
      <c r="G326" s="4" t="n">
        <v>1</v>
      </c>
      <c r="H326" s="4" t="n"/>
      <c r="I326" s="3" t="inlineStr">
        <is>
          <t>115-150</t>
        </is>
      </c>
      <c r="J326" s="4" t="n">
        <v>3</v>
      </c>
      <c r="K326" s="4" t="n"/>
      <c r="L326" s="4" t="n"/>
      <c r="M326" s="8" t="n">
        <v>0.01</v>
      </c>
      <c r="N326" s="4" t="inlineStr">
        <is>
          <t>%</t>
        </is>
      </c>
      <c r="O326" s="3" t="inlineStr">
        <is>
          <t>Богатовъ Торговый Дом, Челябинс</t>
        </is>
      </c>
      <c r="P326" s="3" t="inlineStr">
        <is>
          <t>G20</t>
        </is>
      </c>
      <c t="str" r="Q326" s="6">
        <f>A326&amp;"|"&amp;C326&amp;"|"&amp;D326&amp;"|"&amp;G326</f>
        <v>Богатовъ Торговый Дом, Челябинск|Шкала|Расходные материалы|1</v>
      </c>
      <c t="str" r="R326" s="6">
        <f>A326&amp;"|"&amp;C326&amp;"|"&amp;D326&amp;"|"&amp;J326</f>
        <v>Богатовъ Торговый Дом, Челябинск|Шкала|Расходные материалы|3</v>
      </c>
      <c t="str" r="S326" s="6">
        <f>A326&amp;"|"&amp;C326&amp;"|"&amp;D326&amp;"|"&amp;G326&amp;"|"&amp;J326</f>
        <v>Богатовъ Торговый Дом, Челябинск|Шкала|Расходные материалы|1|3</v>
      </c>
      <c t="str" r="T326" s="6">
        <f>A326&amp;"|"&amp;C326&amp;"|"&amp;G326</f>
        <v>Богатовъ Торговый Дом, Челябинск|Шкала|1</v>
      </c>
      <c t="str" r="U326" s="6">
        <f>IF(H326="да",A326&amp;"|"&amp;C326&amp;"|"&amp;D326&amp;"|"&amp;J326,"")</f>
        <v/>
      </c>
      <c t="str" r="V326" s="6">
        <f>IF(C326="План",A326&amp;"|"&amp;J326,"")</f>
        <v/>
      </c>
    </row>
    <row r="327">
      <c r="A327" s="3" t="inlineStr">
        <is>
          <t>Богатовъ Торговый Дом, Челябинск</t>
        </is>
      </c>
      <c r="B327" s="3" t="inlineStr">
        <is>
          <t>РФ</t>
        </is>
      </c>
      <c r="C327" s="3" t="inlineStr">
        <is>
          <t>Шкала</t>
        </is>
      </c>
      <c r="D327" s="3" t="inlineStr">
        <is>
          <t>Расходные материалы</t>
        </is>
      </c>
      <c r="E327" s="3" t="inlineStr">
        <is>
          <t>Расходные материалы — за квартал</t>
        </is>
      </c>
      <c r="F327" s="3" t="inlineStr">
        <is>
          <t>Наличие минимальных складских остатков по РМ (синхронизация отчета по остаткам с 1С КОМПО)</t>
        </is>
      </c>
      <c r="G327" s="4" t="n">
        <v>1</v>
      </c>
      <c r="H327" s="4" t="n"/>
      <c r="I327" s="3" t="inlineStr">
        <is>
          <t>150-190</t>
        </is>
      </c>
      <c r="J327" s="4" t="n">
        <v>4</v>
      </c>
      <c r="K327" s="4" t="n"/>
      <c r="L327" s="4" t="n"/>
      <c r="M327" s="8" t="n">
        <v>0.01</v>
      </c>
      <c r="N327" s="4" t="inlineStr">
        <is>
          <t>%</t>
        </is>
      </c>
      <c r="O327" s="3" t="inlineStr">
        <is>
          <t>Богатовъ Торговый Дом, Челябинс</t>
        </is>
      </c>
      <c r="P327" s="3" t="inlineStr">
        <is>
          <t>H20</t>
        </is>
      </c>
      <c t="str" r="Q327" s="6">
        <f>A327&amp;"|"&amp;C327&amp;"|"&amp;D327&amp;"|"&amp;G327</f>
        <v>Богатовъ Торговый Дом, Челябинск|Шкала|Расходные материалы|1</v>
      </c>
      <c t="str" r="R327" s="6">
        <f>A327&amp;"|"&amp;C327&amp;"|"&amp;D327&amp;"|"&amp;J327</f>
        <v>Богатовъ Торговый Дом, Челябинск|Шкала|Расходные материалы|4</v>
      </c>
      <c t="str" r="S327" s="6">
        <f>A327&amp;"|"&amp;C327&amp;"|"&amp;D327&amp;"|"&amp;G327&amp;"|"&amp;J327</f>
        <v>Богатовъ Торговый Дом, Челябинск|Шкала|Расходные материалы|1|4</v>
      </c>
      <c t="str" r="T327" s="6">
        <f>A327&amp;"|"&amp;C327&amp;"|"&amp;G327</f>
        <v>Богатовъ Торговый Дом, Челябинск|Шкала|1</v>
      </c>
      <c t="str" r="U327" s="6">
        <f>IF(H327="да",A327&amp;"|"&amp;C327&amp;"|"&amp;D327&amp;"|"&amp;J327,"")</f>
        <v/>
      </c>
      <c t="str" r="V327" s="6">
        <f>IF(C327="План",A327&amp;"|"&amp;J327,"")</f>
        <v/>
      </c>
    </row>
    <row r="328">
      <c r="A328" s="3" t="inlineStr">
        <is>
          <t>Богатовъ Торговый Дом, Челябинск</t>
        </is>
      </c>
      <c r="B328" s="3" t="inlineStr">
        <is>
          <t>РФ</t>
        </is>
      </c>
      <c r="C328" s="3" t="inlineStr">
        <is>
          <t>Шкала</t>
        </is>
      </c>
      <c r="D328" s="3" t="inlineStr">
        <is>
          <t>Расходные материалы</t>
        </is>
      </c>
      <c r="E328" s="3" t="inlineStr">
        <is>
          <t>Расходные материалы — за квартал</t>
        </is>
      </c>
      <c r="F328" s="3" t="inlineStr">
        <is>
          <t>Наличие минимальных складских остатков по РМ (синхронизация отчета по остаткам с 1С КОМПО)</t>
        </is>
      </c>
      <c r="G328" s="4" t="n">
        <v>1</v>
      </c>
      <c r="H328" s="4" t="n"/>
      <c r="I328" s="3" t="inlineStr">
        <is>
          <t>190-225</t>
        </is>
      </c>
      <c r="J328" s="4" t="n">
        <v>5</v>
      </c>
      <c r="K328" s="4" t="n"/>
      <c r="L328" s="4" t="n"/>
      <c r="M328" s="8" t="n">
        <v>0.01</v>
      </c>
      <c r="N328" s="4" t="inlineStr">
        <is>
          <t>%</t>
        </is>
      </c>
      <c r="O328" s="3" t="inlineStr">
        <is>
          <t>Богатовъ Торговый Дом, Челябинс</t>
        </is>
      </c>
      <c r="P328" s="3" t="inlineStr">
        <is>
          <t>I20</t>
        </is>
      </c>
      <c t="str" r="Q328" s="6">
        <f>A328&amp;"|"&amp;C328&amp;"|"&amp;D328&amp;"|"&amp;G328</f>
        <v>Богатовъ Торговый Дом, Челябинск|Шкала|Расходные материалы|1</v>
      </c>
      <c t="str" r="R328" s="6">
        <f>A328&amp;"|"&amp;C328&amp;"|"&amp;D328&amp;"|"&amp;J328</f>
        <v>Богатовъ Торговый Дом, Челябинск|Шкала|Расходные материалы|5</v>
      </c>
      <c t="str" r="S328" s="6">
        <f>A328&amp;"|"&amp;C328&amp;"|"&amp;D328&amp;"|"&amp;G328&amp;"|"&amp;J328</f>
        <v>Богатовъ Торговый Дом, Челябинск|Шкала|Расходные материалы|1|5</v>
      </c>
      <c t="str" r="T328" s="6">
        <f>A328&amp;"|"&amp;C328&amp;"|"&amp;G328</f>
        <v>Богатовъ Торговый Дом, Челябинск|Шкала|1</v>
      </c>
      <c t="str" r="U328" s="6">
        <f>IF(H328="да",A328&amp;"|"&amp;C328&amp;"|"&amp;D328&amp;"|"&amp;J328,"")</f>
        <v/>
      </c>
      <c t="str" r="V328" s="6">
        <f>IF(C328="План",A328&amp;"|"&amp;J328,"")</f>
        <v/>
      </c>
    </row>
    <row r="329">
      <c r="A329" s="3" t="inlineStr">
        <is>
          <t>Богатовъ Торговый Дом, Челябинск</t>
        </is>
      </c>
      <c r="B329" s="3" t="inlineStr">
        <is>
          <t>РФ</t>
        </is>
      </c>
      <c r="C329" s="3" t="inlineStr">
        <is>
          <t>Шкала</t>
        </is>
      </c>
      <c r="D329" s="3" t="inlineStr">
        <is>
          <t>Расходные материалы</t>
        </is>
      </c>
      <c r="E329" s="3" t="inlineStr">
        <is>
          <t>Расходные материалы — за квартал</t>
        </is>
      </c>
      <c r="F329" s="3" t="inlineStr">
        <is>
          <t>Наличие минимальных складских остатков по РМ (синхронизация отчета по остаткам с 1С КОМПО)</t>
        </is>
      </c>
      <c r="G329" s="4" t="n">
        <v>1</v>
      </c>
      <c r="H329" s="4" t="n"/>
      <c r="I329" s="3" t="inlineStr">
        <is>
          <t>225 и более</t>
        </is>
      </c>
      <c r="J329" s="4" t="n">
        <v>6</v>
      </c>
      <c r="K329" s="4" t="n"/>
      <c r="L329" s="4" t="n"/>
      <c r="M329" s="8" t="n">
        <v>0.01</v>
      </c>
      <c r="N329" s="4" t="inlineStr">
        <is>
          <t>%</t>
        </is>
      </c>
      <c r="O329" s="3" t="inlineStr">
        <is>
          <t>Богатовъ Торговый Дом, Челябинс</t>
        </is>
      </c>
      <c r="P329" s="3" t="inlineStr">
        <is>
          <t>J20</t>
        </is>
      </c>
      <c t="str" r="Q329" s="6">
        <f>A329&amp;"|"&amp;C329&amp;"|"&amp;D329&amp;"|"&amp;G329</f>
        <v>Богатовъ Торговый Дом, Челябинск|Шкала|Расходные материалы|1</v>
      </c>
      <c t="str" r="R329" s="6">
        <f>A329&amp;"|"&amp;C329&amp;"|"&amp;D329&amp;"|"&amp;J329</f>
        <v>Богатовъ Торговый Дом, Челябинск|Шкала|Расходные материалы|6</v>
      </c>
      <c t="str" r="S329" s="6">
        <f>A329&amp;"|"&amp;C329&amp;"|"&amp;D329&amp;"|"&amp;G329&amp;"|"&amp;J329</f>
        <v>Богатовъ Торговый Дом, Челябинск|Шкала|Расходные материалы|1|6</v>
      </c>
      <c t="str" r="T329" s="6">
        <f>A329&amp;"|"&amp;C329&amp;"|"&amp;G329</f>
        <v>Богатовъ Торговый Дом, Челябинск|Шкала|1</v>
      </c>
      <c t="str" r="U329" s="6">
        <f>IF(H329="да",A329&amp;"|"&amp;C329&amp;"|"&amp;D329&amp;"|"&amp;J329,"")</f>
        <v/>
      </c>
      <c t="str" r="V329" s="6">
        <f>IF(C329="План",A329&amp;"|"&amp;J329,"")</f>
        <v/>
      </c>
    </row>
    <row r="330">
      <c r="A330" s="3" t="inlineStr">
        <is>
          <t>Богатовъ Торговый Дом, Челябинск</t>
        </is>
      </c>
      <c r="B330" s="3" t="inlineStr">
        <is>
          <t>РФ</t>
        </is>
      </c>
      <c r="C330" s="3" t="inlineStr">
        <is>
          <t>Шкала</t>
        </is>
      </c>
      <c r="D330" s="3" t="inlineStr">
        <is>
          <t>Расходные материалы</t>
        </is>
      </c>
      <c r="E330" s="3" t="inlineStr">
        <is>
          <t>Расходные материалы — за квартал</t>
        </is>
      </c>
      <c r="F330" s="3" t="inlineStr">
        <is>
          <t>Объем закупок РМ</t>
        </is>
      </c>
      <c r="G330" s="4" t="n">
        <v>2</v>
      </c>
      <c r="H330" s="4" t="n"/>
      <c r="I330" s="3" t="inlineStr">
        <is>
          <t>до 75</t>
        </is>
      </c>
      <c r="J330" s="4" t="n">
        <v>1</v>
      </c>
      <c r="K330" s="4" t="n"/>
      <c r="L330" s="4" t="n"/>
      <c r="M330" s="8" t="n">
        <v>0</v>
      </c>
      <c r="N330" s="4" t="inlineStr">
        <is>
          <t>%</t>
        </is>
      </c>
      <c r="O330" s="3" t="inlineStr">
        <is>
          <t>Богатовъ Торговый Дом, Челябинс</t>
        </is>
      </c>
      <c r="P330" s="3" t="inlineStr">
        <is>
          <t>E21</t>
        </is>
      </c>
      <c t="str" r="Q330" s="6">
        <f>A330&amp;"|"&amp;C330&amp;"|"&amp;D330&amp;"|"&amp;G330</f>
        <v>Богатовъ Торговый Дом, Челябинск|Шкала|Расходные материалы|2</v>
      </c>
      <c t="str" r="R330" s="6">
        <f>A330&amp;"|"&amp;C330&amp;"|"&amp;D330&amp;"|"&amp;J330</f>
        <v>Богатовъ Торговый Дом, Челябинск|Шкала|Расходные материалы|1</v>
      </c>
      <c t="str" r="S330" s="6">
        <f>A330&amp;"|"&amp;C330&amp;"|"&amp;D330&amp;"|"&amp;G330&amp;"|"&amp;J330</f>
        <v>Богатовъ Торговый Дом, Челябинск|Шкала|Расходные материалы|2|1</v>
      </c>
      <c t="str" r="T330" s="6">
        <f>A330&amp;"|"&amp;C330&amp;"|"&amp;G330</f>
        <v>Богатовъ Торговый Дом, Челябинск|Шкала|2</v>
      </c>
      <c t="str" r="U330" s="6">
        <f>IF(H330="да",A330&amp;"|"&amp;C330&amp;"|"&amp;D330&amp;"|"&amp;J330,"")</f>
        <v/>
      </c>
      <c t="str" r="V330" s="6">
        <f>IF(C330="План",A330&amp;"|"&amp;J330,"")</f>
        <v/>
      </c>
    </row>
    <row r="331">
      <c r="A331" s="3" t="inlineStr">
        <is>
          <t>Богатовъ Торговый Дом, Челябинск</t>
        </is>
      </c>
      <c r="B331" s="3" t="inlineStr">
        <is>
          <t>РФ</t>
        </is>
      </c>
      <c r="C331" s="3" t="inlineStr">
        <is>
          <t>Шкала</t>
        </is>
      </c>
      <c r="D331" s="3" t="inlineStr">
        <is>
          <t>Расходные материалы</t>
        </is>
      </c>
      <c r="E331" s="3" t="inlineStr">
        <is>
          <t>Расходные материалы — за квартал</t>
        </is>
      </c>
      <c r="F331" s="3" t="inlineStr">
        <is>
          <t>Объем закупок РМ</t>
        </is>
      </c>
      <c r="G331" s="4" t="n">
        <v>2</v>
      </c>
      <c r="H331" s="4" t="n"/>
      <c r="I331" s="3" t="inlineStr">
        <is>
          <t>75-115</t>
        </is>
      </c>
      <c r="J331" s="4" t="n">
        <v>2</v>
      </c>
      <c r="K331" s="4" t="n"/>
      <c r="L331" s="4" t="n"/>
      <c r="M331" s="8" t="n">
        <v>0.01</v>
      </c>
      <c r="N331" s="4" t="inlineStr">
        <is>
          <t>%</t>
        </is>
      </c>
      <c r="O331" s="3" t="inlineStr">
        <is>
          <t>Богатовъ Торговый Дом, Челябинс</t>
        </is>
      </c>
      <c r="P331" s="3" t="inlineStr">
        <is>
          <t>F21</t>
        </is>
      </c>
      <c t="str" r="Q331" s="6">
        <f>A331&amp;"|"&amp;C331&amp;"|"&amp;D331&amp;"|"&amp;G331</f>
        <v>Богатовъ Торговый Дом, Челябинск|Шкала|Расходные материалы|2</v>
      </c>
      <c t="str" r="R331" s="6">
        <f>A331&amp;"|"&amp;C331&amp;"|"&amp;D331&amp;"|"&amp;J331</f>
        <v>Богатовъ Торговый Дом, Челябинск|Шкала|Расходные материалы|2</v>
      </c>
      <c t="str" r="S331" s="6">
        <f>A331&amp;"|"&amp;C331&amp;"|"&amp;D331&amp;"|"&amp;G331&amp;"|"&amp;J331</f>
        <v>Богатовъ Торговый Дом, Челябинск|Шкала|Расходные материалы|2|2</v>
      </c>
      <c t="str" r="T331" s="6">
        <f>A331&amp;"|"&amp;C331&amp;"|"&amp;G331</f>
        <v>Богатовъ Торговый Дом, Челябинск|Шкала|2</v>
      </c>
      <c t="str" r="U331" s="6">
        <f>IF(H331="да",A331&amp;"|"&amp;C331&amp;"|"&amp;D331&amp;"|"&amp;J331,"")</f>
        <v/>
      </c>
      <c t="str" r="V331" s="6">
        <f>IF(C331="План",A331&amp;"|"&amp;J331,"")</f>
        <v/>
      </c>
    </row>
    <row r="332">
      <c r="A332" s="3" t="inlineStr">
        <is>
          <t>Богатовъ Торговый Дом, Челябинск</t>
        </is>
      </c>
      <c r="B332" s="3" t="inlineStr">
        <is>
          <t>РФ</t>
        </is>
      </c>
      <c r="C332" s="3" t="inlineStr">
        <is>
          <t>Шкала</t>
        </is>
      </c>
      <c r="D332" s="3" t="inlineStr">
        <is>
          <t>Расходные материалы</t>
        </is>
      </c>
      <c r="E332" s="3" t="inlineStr">
        <is>
          <t>Расходные материалы — за квартал</t>
        </is>
      </c>
      <c r="F332" s="3" t="inlineStr">
        <is>
          <t>Объем закупок РМ</t>
        </is>
      </c>
      <c r="G332" s="4" t="n">
        <v>2</v>
      </c>
      <c r="H332" s="4" t="n"/>
      <c r="I332" s="3" t="inlineStr">
        <is>
          <t>115-150</t>
        </is>
      </c>
      <c r="J332" s="4" t="n">
        <v>3</v>
      </c>
      <c r="K332" s="4" t="n"/>
      <c r="L332" s="4" t="n"/>
      <c r="M332" s="8" t="n">
        <v>0.02</v>
      </c>
      <c r="N332" s="4" t="inlineStr">
        <is>
          <t>%</t>
        </is>
      </c>
      <c r="O332" s="3" t="inlineStr">
        <is>
          <t>Богатовъ Торговый Дом, Челябинс</t>
        </is>
      </c>
      <c r="P332" s="3" t="inlineStr">
        <is>
          <t>G21</t>
        </is>
      </c>
      <c t="str" r="Q332" s="6">
        <f>A332&amp;"|"&amp;C332&amp;"|"&amp;D332&amp;"|"&amp;G332</f>
        <v>Богатовъ Торговый Дом, Челябинск|Шкала|Расходные материалы|2</v>
      </c>
      <c t="str" r="R332" s="6">
        <f>A332&amp;"|"&amp;C332&amp;"|"&amp;D332&amp;"|"&amp;J332</f>
        <v>Богатовъ Торговый Дом, Челябинск|Шкала|Расходные материалы|3</v>
      </c>
      <c t="str" r="S332" s="6">
        <f>A332&amp;"|"&amp;C332&amp;"|"&amp;D332&amp;"|"&amp;G332&amp;"|"&amp;J332</f>
        <v>Богатовъ Торговый Дом, Челябинск|Шкала|Расходные материалы|2|3</v>
      </c>
      <c t="str" r="T332" s="6">
        <f>A332&amp;"|"&amp;C332&amp;"|"&amp;G332</f>
        <v>Богатовъ Торговый Дом, Челябинск|Шкала|2</v>
      </c>
      <c t="str" r="U332" s="6">
        <f>IF(H332="да",A332&amp;"|"&amp;C332&amp;"|"&amp;D332&amp;"|"&amp;J332,"")</f>
        <v/>
      </c>
      <c t="str" r="V332" s="6">
        <f>IF(C332="План",A332&amp;"|"&amp;J332,"")</f>
        <v/>
      </c>
    </row>
    <row r="333">
      <c r="A333" s="3" t="inlineStr">
        <is>
          <t>Богатовъ Торговый Дом, Челябинск</t>
        </is>
      </c>
      <c r="B333" s="3" t="inlineStr">
        <is>
          <t>РФ</t>
        </is>
      </c>
      <c r="C333" s="3" t="inlineStr">
        <is>
          <t>Шкала</t>
        </is>
      </c>
      <c r="D333" s="3" t="inlineStr">
        <is>
          <t>Расходные материалы</t>
        </is>
      </c>
      <c r="E333" s="3" t="inlineStr">
        <is>
          <t>Расходные материалы — за квартал</t>
        </is>
      </c>
      <c r="F333" s="3" t="inlineStr">
        <is>
          <t>Объем закупок РМ</t>
        </is>
      </c>
      <c r="G333" s="4" t="n">
        <v>2</v>
      </c>
      <c r="H333" s="4" t="n"/>
      <c r="I333" s="3" t="inlineStr">
        <is>
          <t>150-190</t>
        </is>
      </c>
      <c r="J333" s="4" t="n">
        <v>4</v>
      </c>
      <c r="K333" s="4" t="n"/>
      <c r="L333" s="4" t="n"/>
      <c r="M333" s="8" t="n">
        <v>0.03</v>
      </c>
      <c r="N333" s="4" t="inlineStr">
        <is>
          <t>%</t>
        </is>
      </c>
      <c r="O333" s="3" t="inlineStr">
        <is>
          <t>Богатовъ Торговый Дом, Челябинс</t>
        </is>
      </c>
      <c r="P333" s="3" t="inlineStr">
        <is>
          <t>H21</t>
        </is>
      </c>
      <c t="str" r="Q333" s="6">
        <f>A333&amp;"|"&amp;C333&amp;"|"&amp;D333&amp;"|"&amp;G333</f>
        <v>Богатовъ Торговый Дом, Челябинск|Шкала|Расходные материалы|2</v>
      </c>
      <c t="str" r="R333" s="6">
        <f>A333&amp;"|"&amp;C333&amp;"|"&amp;D333&amp;"|"&amp;J333</f>
        <v>Богатовъ Торговый Дом, Челябинск|Шкала|Расходные материалы|4</v>
      </c>
      <c t="str" r="S333" s="6">
        <f>A333&amp;"|"&amp;C333&amp;"|"&amp;D333&amp;"|"&amp;G333&amp;"|"&amp;J333</f>
        <v>Богатовъ Торговый Дом, Челябинск|Шкала|Расходные материалы|2|4</v>
      </c>
      <c t="str" r="T333" s="6">
        <f>A333&amp;"|"&amp;C333&amp;"|"&amp;G333</f>
        <v>Богатовъ Торговый Дом, Челябинск|Шкала|2</v>
      </c>
      <c t="str" r="U333" s="6">
        <f>IF(H333="да",A333&amp;"|"&amp;C333&amp;"|"&amp;D333&amp;"|"&amp;J333,"")</f>
        <v/>
      </c>
      <c t="str" r="V333" s="6">
        <f>IF(C333="План",A333&amp;"|"&amp;J333,"")</f>
        <v/>
      </c>
    </row>
    <row r="334">
      <c r="A334" s="3" t="inlineStr">
        <is>
          <t>Богатовъ Торговый Дом, Челябинск</t>
        </is>
      </c>
      <c r="B334" s="3" t="inlineStr">
        <is>
          <t>РФ</t>
        </is>
      </c>
      <c r="C334" s="3" t="inlineStr">
        <is>
          <t>Шкала</t>
        </is>
      </c>
      <c r="D334" s="3" t="inlineStr">
        <is>
          <t>Расходные материалы</t>
        </is>
      </c>
      <c r="E334" s="3" t="inlineStr">
        <is>
          <t>Расходные материалы — за квартал</t>
        </is>
      </c>
      <c r="F334" s="3" t="inlineStr">
        <is>
          <t>Объем закупок РМ</t>
        </is>
      </c>
      <c r="G334" s="4" t="n">
        <v>2</v>
      </c>
      <c r="H334" s="4" t="n"/>
      <c r="I334" s="3" t="inlineStr">
        <is>
          <t>190-225</t>
        </is>
      </c>
      <c r="J334" s="4" t="n">
        <v>5</v>
      </c>
      <c r="K334" s="4" t="n"/>
      <c r="L334" s="4" t="n"/>
      <c r="M334" s="8" t="n">
        <v>0.04</v>
      </c>
      <c r="N334" s="4" t="inlineStr">
        <is>
          <t>%</t>
        </is>
      </c>
      <c r="O334" s="3" t="inlineStr">
        <is>
          <t>Богатовъ Торговый Дом, Челябинс</t>
        </is>
      </c>
      <c r="P334" s="3" t="inlineStr">
        <is>
          <t>I21</t>
        </is>
      </c>
      <c t="str" r="Q334" s="6">
        <f>A334&amp;"|"&amp;C334&amp;"|"&amp;D334&amp;"|"&amp;G334</f>
        <v>Богатовъ Торговый Дом, Челябинск|Шкала|Расходные материалы|2</v>
      </c>
      <c t="str" r="R334" s="6">
        <f>A334&amp;"|"&amp;C334&amp;"|"&amp;D334&amp;"|"&amp;J334</f>
        <v>Богатовъ Торговый Дом, Челябинск|Шкала|Расходные материалы|5</v>
      </c>
      <c t="str" r="S334" s="6">
        <f>A334&amp;"|"&amp;C334&amp;"|"&amp;D334&amp;"|"&amp;G334&amp;"|"&amp;J334</f>
        <v>Богатовъ Торговый Дом, Челябинск|Шкала|Расходные материалы|2|5</v>
      </c>
      <c t="str" r="T334" s="6">
        <f>A334&amp;"|"&amp;C334&amp;"|"&amp;G334</f>
        <v>Богатовъ Торговый Дом, Челябинск|Шкала|2</v>
      </c>
      <c t="str" r="U334" s="6">
        <f>IF(H334="да",A334&amp;"|"&amp;C334&amp;"|"&amp;D334&amp;"|"&amp;J334,"")</f>
        <v/>
      </c>
      <c t="str" r="V334" s="6">
        <f>IF(C334="План",A334&amp;"|"&amp;J334,"")</f>
        <v/>
      </c>
    </row>
    <row r="335">
      <c r="A335" s="3" t="inlineStr">
        <is>
          <t>Богатовъ Торговый Дом, Челябинск</t>
        </is>
      </c>
      <c r="B335" s="3" t="inlineStr">
        <is>
          <t>РФ</t>
        </is>
      </c>
      <c r="C335" s="3" t="inlineStr">
        <is>
          <t>Шкала</t>
        </is>
      </c>
      <c r="D335" s="3" t="inlineStr">
        <is>
          <t>Расходные материалы</t>
        </is>
      </c>
      <c r="E335" s="3" t="inlineStr">
        <is>
          <t>Расходные материалы — за квартал</t>
        </is>
      </c>
      <c r="F335" s="3" t="inlineStr">
        <is>
          <t>Объем закупок РМ</t>
        </is>
      </c>
      <c r="G335" s="4" t="n">
        <v>2</v>
      </c>
      <c r="H335" s="4" t="n"/>
      <c r="I335" s="3" t="inlineStr">
        <is>
          <t>225 и более</t>
        </is>
      </c>
      <c r="J335" s="4" t="n">
        <v>6</v>
      </c>
      <c r="K335" s="4" t="n"/>
      <c r="L335" s="4" t="n"/>
      <c r="M335" s="8" t="n">
        <v>0.05</v>
      </c>
      <c r="N335" s="4" t="inlineStr">
        <is>
          <t>%</t>
        </is>
      </c>
      <c r="O335" s="3" t="inlineStr">
        <is>
          <t>Богатовъ Торговый Дом, Челябинс</t>
        </is>
      </c>
      <c r="P335" s="3" t="inlineStr">
        <is>
          <t>J21</t>
        </is>
      </c>
      <c t="str" r="Q335" s="6">
        <f>A335&amp;"|"&amp;C335&amp;"|"&amp;D335&amp;"|"&amp;G335</f>
        <v>Богатовъ Торговый Дом, Челябинск|Шкала|Расходные материалы|2</v>
      </c>
      <c t="str" r="R335" s="6">
        <f>A335&amp;"|"&amp;C335&amp;"|"&amp;D335&amp;"|"&amp;J335</f>
        <v>Богатовъ Торговый Дом, Челябинск|Шкала|Расходные материалы|6</v>
      </c>
      <c t="str" r="S335" s="6">
        <f>A335&amp;"|"&amp;C335&amp;"|"&amp;D335&amp;"|"&amp;G335&amp;"|"&amp;J335</f>
        <v>Богатовъ Торговый Дом, Челябинск|Шкала|Расходные материалы|2|6</v>
      </c>
      <c t="str" r="T335" s="6">
        <f>A335&amp;"|"&amp;C335&amp;"|"&amp;G335</f>
        <v>Богатовъ Торговый Дом, Челябинск|Шкала|2</v>
      </c>
      <c t="str" r="U335" s="6">
        <f>IF(H335="да",A335&amp;"|"&amp;C335&amp;"|"&amp;D335&amp;"|"&amp;J335,"")</f>
        <v/>
      </c>
      <c t="str" r="V335" s="6">
        <f>IF(C335="План",A335&amp;"|"&amp;J335,"")</f>
        <v/>
      </c>
    </row>
    <row r="336">
      <c r="A336" s="3" t="inlineStr">
        <is>
          <t>Богатовъ Торговый Дом, Челябинск</t>
        </is>
      </c>
      <c r="B336" s="3" t="inlineStr">
        <is>
          <t>РФ</t>
        </is>
      </c>
      <c r="C336" s="3" t="inlineStr">
        <is>
          <t>Шкала</t>
        </is>
      </c>
      <c r="D336" s="3" t="inlineStr">
        <is>
          <t>Сервис (ЗЧ)</t>
        </is>
      </c>
      <c r="E336" s="3" t="inlineStr">
        <is>
          <t>Сервис (ЗЧ) — расчёт по парку оборудования</t>
        </is>
      </c>
      <c r="F336" s="3" t="inlineStr">
        <is>
          <t>Скидка по сервису</t>
        </is>
      </c>
      <c r="G336" s="4" t="n">
        <v>1</v>
      </c>
      <c r="H336" s="4" t="inlineStr">
        <is>
          <t>да</t>
        </is>
      </c>
      <c r="I336" s="3" t="inlineStr">
        <is>
          <t>0–500</t>
        </is>
      </c>
      <c r="J336" s="4" t="n">
        <v>1</v>
      </c>
      <c r="K336" s="4" t="n">
        <v>0</v>
      </c>
      <c r="L336" s="4" t="n">
        <v>500</v>
      </c>
      <c r="M336" s="8" t="n">
        <v>0.19</v>
      </c>
      <c r="N336" s="4" t="inlineStr">
        <is>
          <t>%</t>
        </is>
      </c>
      <c r="O336" s="3" t="inlineStr">
        <is>
          <t>Богатовъ Торговый Дом, Челябинс</t>
        </is>
      </c>
      <c r="P336" s="3" t="inlineStr">
        <is>
          <t>F26</t>
        </is>
      </c>
      <c t="str" r="Q336" s="6">
        <f>A336&amp;"|"&amp;C336&amp;"|"&amp;D336&amp;"|"&amp;G336</f>
        <v>Богатовъ Торговый Дом, Челябинск|Шкала|Сервис (ЗЧ)|1</v>
      </c>
      <c t="str" r="R336" s="6">
        <f>A336&amp;"|"&amp;C336&amp;"|"&amp;D336&amp;"|"&amp;J336</f>
        <v>Богатовъ Торговый Дом, Челябинск|Шкала|Сервис (ЗЧ)|1</v>
      </c>
      <c t="str" r="S336" s="6">
        <f>A336&amp;"|"&amp;C336&amp;"|"&amp;D336&amp;"|"&amp;G336&amp;"|"&amp;J336</f>
        <v>Богатовъ Торговый Дом, Челябинск|Шкала|Сервис (ЗЧ)|1|1</v>
      </c>
      <c t="str" r="T336" s="6">
        <f>A336&amp;"|"&amp;C336&amp;"|"&amp;G336</f>
        <v>Богатовъ Торговый Дом, Челябинск|Шкала|1</v>
      </c>
      <c t="str" r="U336" s="6">
        <f>IF(H336="да",A336&amp;"|"&amp;C336&amp;"|"&amp;D336&amp;"|"&amp;J336,"")</f>
        <v>Богатовъ Торговый Дом, Челябинск|Шкала|Сервис (ЗЧ)|1</v>
      </c>
      <c t="str" r="V336" s="6">
        <f>IF(C336="План",A336&amp;"|"&amp;J336,"")</f>
        <v/>
      </c>
    </row>
    <row r="337">
      <c r="A337" s="3" t="inlineStr">
        <is>
          <t>Богатовъ Торговый Дом, Челябинск</t>
        </is>
      </c>
      <c r="B337" s="3" t="inlineStr">
        <is>
          <t>РФ</t>
        </is>
      </c>
      <c r="C337" s="3" t="inlineStr">
        <is>
          <t>Шкала</t>
        </is>
      </c>
      <c r="D337" s="3" t="inlineStr">
        <is>
          <t>Сервис (ЗЧ)</t>
        </is>
      </c>
      <c r="E337" s="3" t="inlineStr">
        <is>
          <t>Сервис (ЗЧ) — расчёт по парку оборудования</t>
        </is>
      </c>
      <c r="F337" s="3" t="inlineStr">
        <is>
          <t>Скидка по сервису</t>
        </is>
      </c>
      <c r="G337" s="4" t="n">
        <v>1</v>
      </c>
      <c r="H337" s="4" t="inlineStr">
        <is>
          <t>да</t>
        </is>
      </c>
      <c r="I337" s="3" t="inlineStr">
        <is>
          <t>501–1000</t>
        </is>
      </c>
      <c r="J337" s="4" t="n">
        <v>2</v>
      </c>
      <c r="K337" s="4" t="n">
        <v>501</v>
      </c>
      <c r="L337" s="4" t="n">
        <v>1000</v>
      </c>
      <c r="M337" s="8" t="n">
        <v>0.21</v>
      </c>
      <c r="N337" s="4" t="inlineStr">
        <is>
          <t>%</t>
        </is>
      </c>
      <c r="O337" s="3" t="inlineStr">
        <is>
          <t>Богатовъ Торговый Дом, Челябинс</t>
        </is>
      </c>
      <c r="P337" s="3" t="inlineStr">
        <is>
          <t>F27</t>
        </is>
      </c>
      <c t="str" r="Q337" s="6">
        <f>A337&amp;"|"&amp;C337&amp;"|"&amp;D337&amp;"|"&amp;G337</f>
        <v>Богатовъ Торговый Дом, Челябинск|Шкала|Сервис (ЗЧ)|1</v>
      </c>
      <c t="str" r="R337" s="6">
        <f>A337&amp;"|"&amp;C337&amp;"|"&amp;D337&amp;"|"&amp;J337</f>
        <v>Богатовъ Торговый Дом, Челябинск|Шкала|Сервис (ЗЧ)|2</v>
      </c>
      <c t="str" r="S337" s="6">
        <f>A337&amp;"|"&amp;C337&amp;"|"&amp;D337&amp;"|"&amp;G337&amp;"|"&amp;J337</f>
        <v>Богатовъ Торговый Дом, Челябинск|Шкала|Сервис (ЗЧ)|1|2</v>
      </c>
      <c t="str" r="T337" s="6">
        <f>A337&amp;"|"&amp;C337&amp;"|"&amp;G337</f>
        <v>Богатовъ Торговый Дом, Челябинск|Шкала|1</v>
      </c>
      <c t="str" r="U337" s="6">
        <f>IF(H337="да",A337&amp;"|"&amp;C337&amp;"|"&amp;D337&amp;"|"&amp;J337,"")</f>
        <v>Богатовъ Торговый Дом, Челябинск|Шкала|Сервис (ЗЧ)|2</v>
      </c>
      <c t="str" r="V337" s="6">
        <f>IF(C337="План",A337&amp;"|"&amp;J337,"")</f>
        <v/>
      </c>
    </row>
    <row r="338">
      <c r="A338" s="3" t="inlineStr">
        <is>
          <t>Богатовъ Торговый Дом, Челябинск</t>
        </is>
      </c>
      <c r="B338" s="3" t="inlineStr">
        <is>
          <t>РФ</t>
        </is>
      </c>
      <c r="C338" s="3" t="inlineStr">
        <is>
          <t>Шкала</t>
        </is>
      </c>
      <c r="D338" s="3" t="inlineStr">
        <is>
          <t>Сервис (ЗЧ)</t>
        </is>
      </c>
      <c r="E338" s="3" t="inlineStr">
        <is>
          <t>Сервис (ЗЧ) — расчёт по парку оборудования</t>
        </is>
      </c>
      <c r="F338" s="3" t="inlineStr">
        <is>
          <t>Скидка по сервису</t>
        </is>
      </c>
      <c r="G338" s="4" t="n">
        <v>1</v>
      </c>
      <c r="H338" s="4" t="inlineStr">
        <is>
          <t>да</t>
        </is>
      </c>
      <c r="I338" s="3" t="inlineStr">
        <is>
          <t>1001–1800</t>
        </is>
      </c>
      <c r="J338" s="4" t="n">
        <v>3</v>
      </c>
      <c r="K338" s="4" t="n">
        <v>1001</v>
      </c>
      <c r="L338" s="4" t="n">
        <v>1800</v>
      </c>
      <c r="M338" s="8" t="n">
        <v>0.23</v>
      </c>
      <c r="N338" s="4" t="inlineStr">
        <is>
          <t>%</t>
        </is>
      </c>
      <c r="O338" s="3" t="inlineStr">
        <is>
          <t>Богатовъ Торговый Дом, Челябинс</t>
        </is>
      </c>
      <c r="P338" s="3" t="inlineStr">
        <is>
          <t>F28</t>
        </is>
      </c>
      <c t="str" r="Q338" s="6">
        <f>A338&amp;"|"&amp;C338&amp;"|"&amp;D338&amp;"|"&amp;G338</f>
        <v>Богатовъ Торговый Дом, Челябинск|Шкала|Сервис (ЗЧ)|1</v>
      </c>
      <c t="str" r="R338" s="6">
        <f>A338&amp;"|"&amp;C338&amp;"|"&amp;D338&amp;"|"&amp;J338</f>
        <v>Богатовъ Торговый Дом, Челябинск|Шкала|Сервис (ЗЧ)|3</v>
      </c>
      <c t="str" r="S338" s="6">
        <f>A338&amp;"|"&amp;C338&amp;"|"&amp;D338&amp;"|"&amp;G338&amp;"|"&amp;J338</f>
        <v>Богатовъ Торговый Дом, Челябинск|Шкала|Сервис (ЗЧ)|1|3</v>
      </c>
      <c t="str" r="T338" s="6">
        <f>A338&amp;"|"&amp;C338&amp;"|"&amp;G338</f>
        <v>Богатовъ Торговый Дом, Челябинск|Шкала|1</v>
      </c>
      <c t="str" r="U338" s="6">
        <f>IF(H338="да",A338&amp;"|"&amp;C338&amp;"|"&amp;D338&amp;"|"&amp;J338,"")</f>
        <v>Богатовъ Торговый Дом, Челябинск|Шкала|Сервис (ЗЧ)|3</v>
      </c>
      <c t="str" r="V338" s="6">
        <f>IF(C338="План",A338&amp;"|"&amp;J338,"")</f>
        <v/>
      </c>
    </row>
    <row r="339">
      <c r="A339" s="3" t="inlineStr">
        <is>
          <t>Богатовъ Торговый Дом, Челябинск</t>
        </is>
      </c>
      <c r="B339" s="3" t="inlineStr">
        <is>
          <t>РФ</t>
        </is>
      </c>
      <c r="C339" s="3" t="inlineStr">
        <is>
          <t>Шкала</t>
        </is>
      </c>
      <c r="D339" s="3" t="inlineStr">
        <is>
          <t>Сервис (ЗЧ)</t>
        </is>
      </c>
      <c r="E339" s="3" t="inlineStr">
        <is>
          <t>Сервис (ЗЧ) — расчёт по парку оборудования</t>
        </is>
      </c>
      <c r="F339" s="3" t="inlineStr">
        <is>
          <t>Скидка по сервису</t>
        </is>
      </c>
      <c r="G339" s="4" t="n">
        <v>1</v>
      </c>
      <c r="H339" s="4" t="inlineStr">
        <is>
          <t>да</t>
        </is>
      </c>
      <c r="I339" s="3" t="inlineStr">
        <is>
          <t>1801–2400</t>
        </is>
      </c>
      <c r="J339" s="4" t="n">
        <v>4</v>
      </c>
      <c r="K339" s="4" t="n">
        <v>1801</v>
      </c>
      <c r="L339" s="4" t="n">
        <v>2400</v>
      </c>
      <c r="M339" s="8" t="n">
        <v>0.25</v>
      </c>
      <c r="N339" s="4" t="inlineStr">
        <is>
          <t>%</t>
        </is>
      </c>
      <c r="O339" s="3" t="inlineStr">
        <is>
          <t>Богатовъ Торговый Дом, Челябинс</t>
        </is>
      </c>
      <c r="P339" s="3" t="inlineStr">
        <is>
          <t>F29</t>
        </is>
      </c>
      <c t="str" r="Q339" s="6">
        <f>A339&amp;"|"&amp;C339&amp;"|"&amp;D339&amp;"|"&amp;G339</f>
        <v>Богатовъ Торговый Дом, Челябинск|Шкала|Сервис (ЗЧ)|1</v>
      </c>
      <c t="str" r="R339" s="6">
        <f>A339&amp;"|"&amp;C339&amp;"|"&amp;D339&amp;"|"&amp;J339</f>
        <v>Богатовъ Торговый Дом, Челябинск|Шкала|Сервис (ЗЧ)|4</v>
      </c>
      <c t="str" r="S339" s="6">
        <f>A339&amp;"|"&amp;C339&amp;"|"&amp;D339&amp;"|"&amp;G339&amp;"|"&amp;J339</f>
        <v>Богатовъ Торговый Дом, Челябинск|Шкала|Сервис (ЗЧ)|1|4</v>
      </c>
      <c t="str" r="T339" s="6">
        <f>A339&amp;"|"&amp;C339&amp;"|"&amp;G339</f>
        <v>Богатовъ Торговый Дом, Челябинск|Шкала|1</v>
      </c>
      <c t="str" r="U339" s="6">
        <f>IF(H339="да",A339&amp;"|"&amp;C339&amp;"|"&amp;D339&amp;"|"&amp;J339,"")</f>
        <v>Богатовъ Торговый Дом, Челябинск|Шкала|Сервис (ЗЧ)|4</v>
      </c>
      <c t="str" r="V339" s="6">
        <f>IF(C339="План",A339&amp;"|"&amp;J339,"")</f>
        <v/>
      </c>
    </row>
    <row r="340">
      <c r="A340" s="3" t="inlineStr">
        <is>
          <t>Богатовъ Торговый Дом, Челябинск</t>
        </is>
      </c>
      <c r="B340" s="3" t="inlineStr">
        <is>
          <t>РФ</t>
        </is>
      </c>
      <c r="C340" s="3" t="inlineStr">
        <is>
          <t>Шкала</t>
        </is>
      </c>
      <c r="D340" s="3" t="inlineStr">
        <is>
          <t>Сервис (ЗЧ)</t>
        </is>
      </c>
      <c r="E340" s="3" t="inlineStr">
        <is>
          <t>Сервис (ЗЧ) — расчёт по парку оборудования</t>
        </is>
      </c>
      <c r="F340" s="3" t="inlineStr">
        <is>
          <t>Скидка по сервису</t>
        </is>
      </c>
      <c r="G340" s="4" t="n">
        <v>1</v>
      </c>
      <c r="H340" s="4" t="inlineStr">
        <is>
          <t>да</t>
        </is>
      </c>
      <c r="I340" s="3" t="inlineStr">
        <is>
          <t>2401–3000</t>
        </is>
      </c>
      <c r="J340" s="4" t="n">
        <v>5</v>
      </c>
      <c r="K340" s="4" t="n">
        <v>2401</v>
      </c>
      <c r="L340" s="4" t="n">
        <v>3000</v>
      </c>
      <c r="M340" s="8" t="n">
        <v>0.27</v>
      </c>
      <c r="N340" s="4" t="inlineStr">
        <is>
          <t>%</t>
        </is>
      </c>
      <c r="O340" s="3" t="inlineStr">
        <is>
          <t>Богатовъ Торговый Дом, Челябинс</t>
        </is>
      </c>
      <c r="P340" s="3" t="inlineStr">
        <is>
          <t>F30</t>
        </is>
      </c>
      <c t="str" r="Q340" s="6">
        <f>A340&amp;"|"&amp;C340&amp;"|"&amp;D340&amp;"|"&amp;G340</f>
        <v>Богатовъ Торговый Дом, Челябинск|Шкала|Сервис (ЗЧ)|1</v>
      </c>
      <c t="str" r="R340" s="6">
        <f>A340&amp;"|"&amp;C340&amp;"|"&amp;D340&amp;"|"&amp;J340</f>
        <v>Богатовъ Торговый Дом, Челябинск|Шкала|Сервис (ЗЧ)|5</v>
      </c>
      <c t="str" r="S340" s="6">
        <f>A340&amp;"|"&amp;C340&amp;"|"&amp;D340&amp;"|"&amp;G340&amp;"|"&amp;J340</f>
        <v>Богатовъ Торговый Дом, Челябинск|Шкала|Сервис (ЗЧ)|1|5</v>
      </c>
      <c t="str" r="T340" s="6">
        <f>A340&amp;"|"&amp;C340&amp;"|"&amp;G340</f>
        <v>Богатовъ Торговый Дом, Челябинск|Шкала|1</v>
      </c>
      <c t="str" r="U340" s="6">
        <f>IF(H340="да",A340&amp;"|"&amp;C340&amp;"|"&amp;D340&amp;"|"&amp;J340,"")</f>
        <v>Богатовъ Торговый Дом, Челябинск|Шкала|Сервис (ЗЧ)|5</v>
      </c>
      <c t="str" r="V340" s="6">
        <f>IF(C340="План",A340&amp;"|"&amp;J340,"")</f>
        <v/>
      </c>
    </row>
    <row r="341">
      <c r="A341" s="3" t="inlineStr">
        <is>
          <t>Богатовъ Торговый Дом, Челябинск</t>
        </is>
      </c>
      <c r="B341" s="3" t="inlineStr">
        <is>
          <t>РФ</t>
        </is>
      </c>
      <c r="C341" s="3" t="inlineStr">
        <is>
          <t>Шкала</t>
        </is>
      </c>
      <c r="D341" s="3" t="inlineStr">
        <is>
          <t>Сервис (ЗЧ)</t>
        </is>
      </c>
      <c r="E341" s="3" t="inlineStr">
        <is>
          <t>Сервис (ЗЧ) — расчёт по парку оборудования</t>
        </is>
      </c>
      <c r="F341" s="3" t="inlineStr">
        <is>
          <t>Скидка по сервису</t>
        </is>
      </c>
      <c r="G341" s="4" t="n">
        <v>1</v>
      </c>
      <c r="H341" s="4" t="inlineStr">
        <is>
          <t>да</t>
        </is>
      </c>
      <c r="I341" s="3" t="inlineStr">
        <is>
          <t>3001+</t>
        </is>
      </c>
      <c r="J341" s="4" t="n">
        <v>6</v>
      </c>
      <c r="K341" s="4" t="n">
        <v>3001</v>
      </c>
      <c r="L341" s="4" t="n"/>
      <c r="M341" s="8" t="n">
        <v>0.3</v>
      </c>
      <c r="N341" s="4" t="inlineStr">
        <is>
          <t>%</t>
        </is>
      </c>
      <c r="O341" s="3" t="inlineStr">
        <is>
          <t>Богатовъ Торговый Дом, Челябинс</t>
        </is>
      </c>
      <c r="P341" s="3" t="inlineStr">
        <is>
          <t>F31</t>
        </is>
      </c>
      <c t="str" r="Q341" s="6">
        <f>A341&amp;"|"&amp;C341&amp;"|"&amp;D341&amp;"|"&amp;G341</f>
        <v>Богатовъ Торговый Дом, Челябинск|Шкала|Сервис (ЗЧ)|1</v>
      </c>
      <c t="str" r="R341" s="6">
        <f>A341&amp;"|"&amp;C341&amp;"|"&amp;D341&amp;"|"&amp;J341</f>
        <v>Богатовъ Торговый Дом, Челябинск|Шкала|Сервис (ЗЧ)|6</v>
      </c>
      <c t="str" r="S341" s="6">
        <f>A341&amp;"|"&amp;C341&amp;"|"&amp;D341&amp;"|"&amp;G341&amp;"|"&amp;J341</f>
        <v>Богатовъ Торговый Дом, Челябинск|Шкала|Сервис (ЗЧ)|1|6</v>
      </c>
      <c t="str" r="T341" s="6">
        <f>A341&amp;"|"&amp;C341&amp;"|"&amp;G341</f>
        <v>Богатовъ Торговый Дом, Челябинск|Шкала|1</v>
      </c>
      <c t="str" r="U341" s="6">
        <f>IF(H341="да",A341&amp;"|"&amp;C341&amp;"|"&amp;D341&amp;"|"&amp;J341,"")</f>
        <v>Богатовъ Торговый Дом, Челябинск|Шкала|Сервис (ЗЧ)|6</v>
      </c>
      <c t="str" r="V341" s="6">
        <f>IF(C341="План",A341&amp;"|"&amp;J341,"")</f>
        <v/>
      </c>
    </row>
    <row r="342">
      <c r="A342" s="3" t="inlineStr">
        <is>
          <t>ASIAN BUSINESS SOLUTIONS, Узбекистан</t>
        </is>
      </c>
      <c r="B342" s="3" t="inlineStr">
        <is>
          <t>Заруб</t>
        </is>
      </c>
      <c r="C342" s="3" t="inlineStr">
        <is>
          <t>План</t>
        </is>
      </c>
      <c r="D342" s="3" t="inlineStr">
        <is>
          <t>Итого по дилеру</t>
        </is>
      </c>
      <c r="E342" s="3" t="inlineStr">
        <is>
          <t>План и бонусы</t>
        </is>
      </c>
      <c r="F342" s="3" t="inlineStr">
        <is>
          <t>Выручка 2024</t>
        </is>
      </c>
      <c r="G342" s="4" t="n">
        <v>1</v>
      </c>
      <c r="H342" s="4" t="n"/>
      <c r="I342" s="3" t="n"/>
      <c r="J342" s="4" t="n">
        <v>1</v>
      </c>
      <c r="K342" s="4" t="n"/>
      <c r="L342" s="4" t="n"/>
      <c r="M342" s="5" t="n">
        <v>420647</v>
      </c>
      <c r="N342" s="4" t="inlineStr">
        <is>
          <t>EUR</t>
        </is>
      </c>
      <c r="O342" s="3" t="inlineStr">
        <is>
          <t>ABS</t>
        </is>
      </c>
      <c r="P342" s="3" t="inlineStr">
        <is>
          <t>D4</t>
        </is>
      </c>
      <c t="str" r="Q342" s="6">
        <f>A342&amp;"|"&amp;C342&amp;"|"&amp;D342&amp;"|"&amp;G342</f>
        <v>ASIAN BUSINESS SOLUTIONS, Узбекистан|План|Итого по дилеру|1</v>
      </c>
      <c t="str" r="R342" s="6">
        <f>A342&amp;"|"&amp;C342&amp;"|"&amp;D342&amp;"|"&amp;J342</f>
        <v>ASIAN BUSINESS SOLUTIONS, Узбекистан|План|Итого по дилеру|1</v>
      </c>
      <c t="str" r="S342" s="6">
        <f>A342&amp;"|"&amp;C342&amp;"|"&amp;D342&amp;"|"&amp;G342&amp;"|"&amp;J342</f>
        <v>ASIAN BUSINESS SOLUTIONS, Узбекистан|План|Итого по дилеру|1|1</v>
      </c>
      <c t="str" r="T342" s="6">
        <f>A342&amp;"|"&amp;C342&amp;"|"&amp;G342</f>
        <v>ASIAN BUSINESS SOLUTIONS, Узбекистан|План|1</v>
      </c>
      <c t="str" r="U342" s="6">
        <f>IF(H342="да",A342&amp;"|"&amp;C342&amp;"|"&amp;D342&amp;"|"&amp;J342,"")</f>
        <v/>
      </c>
      <c t="str" r="V342" s="6">
        <f>IF(C342="План",A342&amp;"|"&amp;J342,"")</f>
        <v>ASIAN BUSINESS SOLUTIONS, Узбекистан|1</v>
      </c>
    </row>
    <row r="343">
      <c r="A343" s="3" t="inlineStr">
        <is>
          <t>ASIAN BUSINESS SOLUTIONS, Узбекистан</t>
        </is>
      </c>
      <c r="B343" s="3" t="inlineStr">
        <is>
          <t>Заруб</t>
        </is>
      </c>
      <c r="C343" s="3" t="inlineStr">
        <is>
          <t>План</t>
        </is>
      </c>
      <c r="D343" s="3" t="inlineStr">
        <is>
          <t>Итого по дилеру</t>
        </is>
      </c>
      <c r="E343" s="3" t="inlineStr">
        <is>
          <t>План и бонусы</t>
        </is>
      </c>
      <c r="F343" s="3" t="inlineStr">
        <is>
          <t>Выручка 2025</t>
        </is>
      </c>
      <c r="G343" s="4" t="n">
        <v>1</v>
      </c>
      <c r="H343" s="4" t="n"/>
      <c r="I343" s="3" t="n"/>
      <c r="J343" s="4" t="n">
        <v>2</v>
      </c>
      <c r="K343" s="4" t="n"/>
      <c r="L343" s="4" t="n"/>
      <c r="M343" s="5" t="n">
        <v>851259</v>
      </c>
      <c r="N343" s="4" t="inlineStr">
        <is>
          <t>EUR</t>
        </is>
      </c>
      <c r="O343" s="3" t="inlineStr">
        <is>
          <t>ABS</t>
        </is>
      </c>
      <c r="P343" s="3" t="inlineStr">
        <is>
          <t>E4</t>
        </is>
      </c>
      <c t="str" r="Q343" s="6">
        <f>A343&amp;"|"&amp;C343&amp;"|"&amp;D343&amp;"|"&amp;G343</f>
        <v>ASIAN BUSINESS SOLUTIONS, Узбекистан|План|Итого по дилеру|1</v>
      </c>
      <c t="str" r="R343" s="6">
        <f>A343&amp;"|"&amp;C343&amp;"|"&amp;D343&amp;"|"&amp;J343</f>
        <v>ASIAN BUSINESS SOLUTIONS, Узбекистан|План|Итого по дилеру|2</v>
      </c>
      <c t="str" r="S343" s="6">
        <f>A343&amp;"|"&amp;C343&amp;"|"&amp;D343&amp;"|"&amp;G343&amp;"|"&amp;J343</f>
        <v>ASIAN BUSINESS SOLUTIONS, Узбекистан|План|Итого по дилеру|1|2</v>
      </c>
      <c t="str" r="T343" s="6">
        <f>A343&amp;"|"&amp;C343&amp;"|"&amp;G343</f>
        <v>ASIAN BUSINESS SOLUTIONS, Узбекистан|План|1</v>
      </c>
      <c t="str" r="U343" s="6">
        <f>IF(H343="да",A343&amp;"|"&amp;C343&amp;"|"&amp;D343&amp;"|"&amp;J343,"")</f>
        <v/>
      </c>
      <c t="str" r="V343" s="6">
        <f>IF(C343="План",A343&amp;"|"&amp;J343,"")</f>
        <v>ASIAN BUSINESS SOLUTIONS, Узбекистан|2</v>
      </c>
    </row>
    <row r="344">
      <c r="A344" s="3" t="inlineStr">
        <is>
          <t>ASIAN BUSINESS SOLUTIONS, Узбекистан</t>
        </is>
      </c>
      <c r="B344" s="3" t="inlineStr">
        <is>
          <t>Заруб</t>
        </is>
      </c>
      <c r="C344" s="3" t="inlineStr">
        <is>
          <t>План</t>
        </is>
      </c>
      <c r="D344" s="3" t="inlineStr">
        <is>
          <t>Итого по дилеру</t>
        </is>
      </c>
      <c r="E344" s="3" t="inlineStr">
        <is>
          <t>План и бонусы</t>
        </is>
      </c>
      <c r="F344" s="3" t="inlineStr">
        <is>
          <t>План 2026</t>
        </is>
      </c>
      <c r="G344" s="4" t="n">
        <v>1</v>
      </c>
      <c r="H344" s="4" t="n"/>
      <c r="I344" s="3" t="n"/>
      <c r="J344" s="4" t="n">
        <v>3</v>
      </c>
      <c r="K344" s="4" t="n"/>
      <c r="L344" s="4" t="n"/>
      <c r="M344" s="5" t="n">
        <v>1175000</v>
      </c>
      <c r="N344" s="4" t="inlineStr">
        <is>
          <t>EUR</t>
        </is>
      </c>
      <c r="O344" s="3" t="inlineStr">
        <is>
          <t>ABS</t>
        </is>
      </c>
      <c r="P344" s="3" t="inlineStr">
        <is>
          <t>F4</t>
        </is>
      </c>
      <c t="str" r="Q344" s="6">
        <f>A344&amp;"|"&amp;C344&amp;"|"&amp;D344&amp;"|"&amp;G344</f>
        <v>ASIAN BUSINESS SOLUTIONS, Узбекистан|План|Итого по дилеру|1</v>
      </c>
      <c t="str" r="R344" s="6">
        <f>A344&amp;"|"&amp;C344&amp;"|"&amp;D344&amp;"|"&amp;J344</f>
        <v>ASIAN BUSINESS SOLUTIONS, Узбекистан|План|Итого по дилеру|3</v>
      </c>
      <c t="str" r="S344" s="6">
        <f>A344&amp;"|"&amp;C344&amp;"|"&amp;D344&amp;"|"&amp;G344&amp;"|"&amp;J344</f>
        <v>ASIAN BUSINESS SOLUTIONS, Узбекистан|План|Итого по дилеру|1|3</v>
      </c>
      <c t="str" r="T344" s="6">
        <f>A344&amp;"|"&amp;C344&amp;"|"&amp;G344</f>
        <v>ASIAN BUSINESS SOLUTIONS, Узбекистан|План|1</v>
      </c>
      <c t="str" r="U344" s="6">
        <f>IF(H344="да",A344&amp;"|"&amp;C344&amp;"|"&amp;D344&amp;"|"&amp;J344,"")</f>
        <v/>
      </c>
      <c t="str" r="V344" s="6">
        <f>IF(C344="План",A344&amp;"|"&amp;J344,"")</f>
        <v>ASIAN BUSINESS SOLUTIONS, Узбекистан|3</v>
      </c>
    </row>
    <row r="345">
      <c r="A345" s="3" t="inlineStr">
        <is>
          <t>ASIAN BUSINESS SOLUTIONS, Узбекистан</t>
        </is>
      </c>
      <c r="B345" s="3" t="inlineStr">
        <is>
          <t>Заруб</t>
        </is>
      </c>
      <c r="C345" s="3" t="inlineStr">
        <is>
          <t>План</t>
        </is>
      </c>
      <c r="D345" s="3" t="inlineStr">
        <is>
          <t>Итого по дилеру</t>
        </is>
      </c>
      <c r="E345" s="3" t="inlineStr">
        <is>
          <t>План и бонусы</t>
        </is>
      </c>
      <c r="F345" s="3" t="inlineStr">
        <is>
          <t>Прирост П/Ф</t>
        </is>
      </c>
      <c r="G345" s="4" t="n">
        <v>1</v>
      </c>
      <c r="H345" s="4" t="n"/>
      <c r="I345" s="3" t="n"/>
      <c r="J345" s="4" t="n">
        <v>4</v>
      </c>
      <c r="K345" s="4" t="n"/>
      <c r="L345" s="4" t="n"/>
      <c r="M345" s="7" t="n">
        <v>0.3803084607622358</v>
      </c>
      <c r="N345" s="4" t="inlineStr">
        <is>
          <t>%</t>
        </is>
      </c>
      <c r="O345" s="3" t="inlineStr">
        <is>
          <t>ABS</t>
        </is>
      </c>
      <c r="P345" s="3" t="inlineStr">
        <is>
          <t>G4</t>
        </is>
      </c>
      <c t="str" r="Q345" s="6">
        <f>A345&amp;"|"&amp;C345&amp;"|"&amp;D345&amp;"|"&amp;G345</f>
        <v>ASIAN BUSINESS SOLUTIONS, Узбекистан|План|Итого по дилеру|1</v>
      </c>
      <c t="str" r="R345" s="6">
        <f>A345&amp;"|"&amp;C345&amp;"|"&amp;D345&amp;"|"&amp;J345</f>
        <v>ASIAN BUSINESS SOLUTIONS, Узбекистан|План|Итого по дилеру|4</v>
      </c>
      <c t="str" r="S345" s="6">
        <f>A345&amp;"|"&amp;C345&amp;"|"&amp;D345&amp;"|"&amp;G345&amp;"|"&amp;J345</f>
        <v>ASIAN BUSINESS SOLUTIONS, Узбекистан|План|Итого по дилеру|1|4</v>
      </c>
      <c t="str" r="T345" s="6">
        <f>A345&amp;"|"&amp;C345&amp;"|"&amp;G345</f>
        <v>ASIAN BUSINESS SOLUTIONS, Узбекистан|План|1</v>
      </c>
      <c t="str" r="U345" s="6">
        <f>IF(H345="да",A345&amp;"|"&amp;C345&amp;"|"&amp;D345&amp;"|"&amp;J345,"")</f>
        <v/>
      </c>
      <c t="str" r="V345" s="6">
        <f>IF(C345="План",A345&amp;"|"&amp;J345,"")</f>
        <v>ASIAN BUSINESS SOLUTIONS, Узбекистан|4</v>
      </c>
    </row>
    <row r="346">
      <c r="A346" s="3" t="inlineStr">
        <is>
          <t>ASIAN BUSINESS SOLUTIONS, Узбекистан</t>
        </is>
      </c>
      <c r="B346" s="3" t="inlineStr">
        <is>
          <t>Заруб</t>
        </is>
      </c>
      <c r="C346" s="3" t="inlineStr">
        <is>
          <t>План</t>
        </is>
      </c>
      <c r="D346" s="3" t="inlineStr">
        <is>
          <t>Сервис</t>
        </is>
      </c>
      <c r="E346" s="3" t="inlineStr">
        <is>
          <t>План и бонусы</t>
        </is>
      </c>
      <c r="F346" s="3" t="inlineStr">
        <is>
          <t>Выручка 2024</t>
        </is>
      </c>
      <c r="G346" s="4" t="n">
        <v>2</v>
      </c>
      <c r="H346" s="4" t="n"/>
      <c r="I346" s="3" t="n"/>
      <c r="J346" s="4" t="n">
        <v>1</v>
      </c>
      <c r="K346" s="4" t="n"/>
      <c r="L346" s="4" t="n"/>
      <c r="M346" s="5" t="n">
        <v>38796</v>
      </c>
      <c r="N346" s="4" t="inlineStr">
        <is>
          <t>EUR</t>
        </is>
      </c>
      <c r="O346" s="3" t="inlineStr">
        <is>
          <t>ABS</t>
        </is>
      </c>
      <c r="P346" s="3" t="inlineStr">
        <is>
          <t>D5</t>
        </is>
      </c>
      <c t="str" r="Q346" s="6">
        <f>A346&amp;"|"&amp;C346&amp;"|"&amp;D346&amp;"|"&amp;G346</f>
        <v>ASIAN BUSINESS SOLUTIONS, Узбекистан|План|Сервис|2</v>
      </c>
      <c t="str" r="R346" s="6">
        <f>A346&amp;"|"&amp;C346&amp;"|"&amp;D346&amp;"|"&amp;J346</f>
        <v>ASIAN BUSINESS SOLUTIONS, Узбекистан|План|Сервис|1</v>
      </c>
      <c t="str" r="S346" s="6">
        <f>A346&amp;"|"&amp;C346&amp;"|"&amp;D346&amp;"|"&amp;G346&amp;"|"&amp;J346</f>
        <v>ASIAN BUSINESS SOLUTIONS, Узбекистан|План|Сервис|2|1</v>
      </c>
      <c t="str" r="T346" s="6">
        <f>A346&amp;"|"&amp;C346&amp;"|"&amp;G346</f>
        <v>ASIAN BUSINESS SOLUTIONS, Узбекистан|План|2</v>
      </c>
      <c t="str" r="U346" s="6">
        <f>IF(H346="да",A346&amp;"|"&amp;C346&amp;"|"&amp;D346&amp;"|"&amp;J346,"")</f>
        <v/>
      </c>
      <c t="str" r="V346" s="6">
        <f>IF(C346="План",A346&amp;"|"&amp;J346,"")</f>
        <v>ASIAN BUSINESS SOLUTIONS, Узбекистан|1</v>
      </c>
    </row>
    <row r="347">
      <c r="A347" s="3" t="inlineStr">
        <is>
          <t>ASIAN BUSINESS SOLUTIONS, Узбекистан</t>
        </is>
      </c>
      <c r="B347" s="3" t="inlineStr">
        <is>
          <t>Заруб</t>
        </is>
      </c>
      <c r="C347" s="3" t="inlineStr">
        <is>
          <t>План</t>
        </is>
      </c>
      <c r="D347" s="3" t="inlineStr">
        <is>
          <t>Сервис</t>
        </is>
      </c>
      <c r="E347" s="3" t="inlineStr">
        <is>
          <t>План и бонусы</t>
        </is>
      </c>
      <c r="F347" s="3" t="inlineStr">
        <is>
          <t>Выручка 2025</t>
        </is>
      </c>
      <c r="G347" s="4" t="n">
        <v>2</v>
      </c>
      <c r="H347" s="4" t="n"/>
      <c r="I347" s="3" t="n"/>
      <c r="J347" s="4" t="n">
        <v>2</v>
      </c>
      <c r="K347" s="4" t="n"/>
      <c r="L347" s="4" t="n"/>
      <c r="M347" s="5" t="n">
        <v>46254</v>
      </c>
      <c r="N347" s="4" t="inlineStr">
        <is>
          <t>EUR</t>
        </is>
      </c>
      <c r="O347" s="3" t="inlineStr">
        <is>
          <t>ABS</t>
        </is>
      </c>
      <c r="P347" s="3" t="inlineStr">
        <is>
          <t>E5</t>
        </is>
      </c>
      <c t="str" r="Q347" s="6">
        <f>A347&amp;"|"&amp;C347&amp;"|"&amp;D347&amp;"|"&amp;G347</f>
        <v>ASIAN BUSINESS SOLUTIONS, Узбекистан|План|Сервис|2</v>
      </c>
      <c t="str" r="R347" s="6">
        <f>A347&amp;"|"&amp;C347&amp;"|"&amp;D347&amp;"|"&amp;J347</f>
        <v>ASIAN BUSINESS SOLUTIONS, Узбекистан|План|Сервис|2</v>
      </c>
      <c t="str" r="S347" s="6">
        <f>A347&amp;"|"&amp;C347&amp;"|"&amp;D347&amp;"|"&amp;G347&amp;"|"&amp;J347</f>
        <v>ASIAN BUSINESS SOLUTIONS, Узбекистан|План|Сервис|2|2</v>
      </c>
      <c t="str" r="T347" s="6">
        <f>A347&amp;"|"&amp;C347&amp;"|"&amp;G347</f>
        <v>ASIAN BUSINESS SOLUTIONS, Узбекистан|План|2</v>
      </c>
      <c t="str" r="U347" s="6">
        <f>IF(H347="да",A347&amp;"|"&amp;C347&amp;"|"&amp;D347&amp;"|"&amp;J347,"")</f>
        <v/>
      </c>
      <c t="str" r="V347" s="6">
        <f>IF(C347="План",A347&amp;"|"&amp;J347,"")</f>
        <v>ASIAN BUSINESS SOLUTIONS, Узбекистан|2</v>
      </c>
    </row>
    <row r="348">
      <c r="A348" s="3" t="inlineStr">
        <is>
          <t>ASIAN BUSINESS SOLUTIONS, Узбекистан</t>
        </is>
      </c>
      <c r="B348" s="3" t="inlineStr">
        <is>
          <t>Заруб</t>
        </is>
      </c>
      <c r="C348" s="3" t="inlineStr">
        <is>
          <t>План</t>
        </is>
      </c>
      <c r="D348" s="3" t="inlineStr">
        <is>
          <t>Сервис</t>
        </is>
      </c>
      <c r="E348" s="3" t="inlineStr">
        <is>
          <t>План и бонусы</t>
        </is>
      </c>
      <c r="F348" s="3" t="inlineStr">
        <is>
          <t>План 2026</t>
        </is>
      </c>
      <c r="G348" s="4" t="n">
        <v>2</v>
      </c>
      <c r="H348" s="4" t="n"/>
      <c r="I348" s="3" t="n"/>
      <c r="J348" s="4" t="n">
        <v>3</v>
      </c>
      <c r="K348" s="4" t="n"/>
      <c r="L348" s="4" t="n"/>
      <c r="M348" s="5" t="n">
        <v>75000</v>
      </c>
      <c r="N348" s="4" t="inlineStr">
        <is>
          <t>EUR</t>
        </is>
      </c>
      <c r="O348" s="3" t="inlineStr">
        <is>
          <t>ABS</t>
        </is>
      </c>
      <c r="P348" s="3" t="inlineStr">
        <is>
          <t>F5</t>
        </is>
      </c>
      <c t="str" r="Q348" s="6">
        <f>A348&amp;"|"&amp;C348&amp;"|"&amp;D348&amp;"|"&amp;G348</f>
        <v>ASIAN BUSINESS SOLUTIONS, Узбекистан|План|Сервис|2</v>
      </c>
      <c t="str" r="R348" s="6">
        <f>A348&amp;"|"&amp;C348&amp;"|"&amp;D348&amp;"|"&amp;J348</f>
        <v>ASIAN BUSINESS SOLUTIONS, Узбекистан|План|Сервис|3</v>
      </c>
      <c t="str" r="S348" s="6">
        <f>A348&amp;"|"&amp;C348&amp;"|"&amp;D348&amp;"|"&amp;G348&amp;"|"&amp;J348</f>
        <v>ASIAN BUSINESS SOLUTIONS, Узбекистан|План|Сервис|2|3</v>
      </c>
      <c t="str" r="T348" s="6">
        <f>A348&amp;"|"&amp;C348&amp;"|"&amp;G348</f>
        <v>ASIAN BUSINESS SOLUTIONS, Узбекистан|План|2</v>
      </c>
      <c t="str" r="U348" s="6">
        <f>IF(H348="да",A348&amp;"|"&amp;C348&amp;"|"&amp;D348&amp;"|"&amp;J348,"")</f>
        <v/>
      </c>
      <c t="str" r="V348" s="6">
        <f>IF(C348="План",A348&amp;"|"&amp;J348,"")</f>
        <v>ASIAN BUSINESS SOLUTIONS, Узбекистан|3</v>
      </c>
    </row>
    <row r="349">
      <c r="A349" s="3" t="inlineStr">
        <is>
          <t>ASIAN BUSINESS SOLUTIONS, Узбекистан</t>
        </is>
      </c>
      <c r="B349" s="3" t="inlineStr">
        <is>
          <t>Заруб</t>
        </is>
      </c>
      <c r="C349" s="3" t="inlineStr">
        <is>
          <t>План</t>
        </is>
      </c>
      <c r="D349" s="3" t="inlineStr">
        <is>
          <t>Сервис</t>
        </is>
      </c>
      <c r="E349" s="3" t="inlineStr">
        <is>
          <t>План и бонусы</t>
        </is>
      </c>
      <c r="F349" s="3" t="inlineStr">
        <is>
          <t>Размер бонуса по итогам 2026 г</t>
        </is>
      </c>
      <c r="G349" s="4" t="n">
        <v>2</v>
      </c>
      <c r="H349" s="4" t="n"/>
      <c r="I349" s="3" t="n"/>
      <c r="J349" s="4" t="n">
        <v>5</v>
      </c>
      <c r="K349" s="4" t="n"/>
      <c r="L349" s="4" t="n"/>
      <c r="M349" s="7" t="n">
        <v>0.01</v>
      </c>
      <c r="N349" s="4" t="inlineStr">
        <is>
          <t>%</t>
        </is>
      </c>
      <c r="O349" s="3" t="inlineStr">
        <is>
          <t>ABS</t>
        </is>
      </c>
      <c r="P349" s="3" t="inlineStr">
        <is>
          <t>H5</t>
        </is>
      </c>
      <c t="str" r="Q349" s="6">
        <f>A349&amp;"|"&amp;C349&amp;"|"&amp;D349&amp;"|"&amp;G349</f>
        <v>ASIAN BUSINESS SOLUTIONS, Узбекистан|План|Сервис|2</v>
      </c>
      <c t="str" r="R349" s="6">
        <f>A349&amp;"|"&amp;C349&amp;"|"&amp;D349&amp;"|"&amp;J349</f>
        <v>ASIAN BUSINESS SOLUTIONS, Узбекистан|План|Сервис|5</v>
      </c>
      <c t="str" r="S349" s="6">
        <f>A349&amp;"|"&amp;C349&amp;"|"&amp;D349&amp;"|"&amp;G349&amp;"|"&amp;J349</f>
        <v>ASIAN BUSINESS SOLUTIONS, Узбекистан|План|Сервис|2|5</v>
      </c>
      <c t="str" r="T349" s="6">
        <f>A349&amp;"|"&amp;C349&amp;"|"&amp;G349</f>
        <v>ASIAN BUSINESS SOLUTIONS, Узбекистан|План|2</v>
      </c>
      <c t="str" r="U349" s="6">
        <f>IF(H349="да",A349&amp;"|"&amp;C349&amp;"|"&amp;D349&amp;"|"&amp;J349,"")</f>
        <v/>
      </c>
      <c t="str" r="V349" s="6">
        <f>IF(C349="План",A349&amp;"|"&amp;J349,"")</f>
        <v>ASIAN BUSINESS SOLUTIONS, Узбекистан|5</v>
      </c>
    </row>
    <row r="350">
      <c r="A350" s="3" t="inlineStr">
        <is>
          <t>ASIAN BUSINESS SOLUTIONS, Узбекистан</t>
        </is>
      </c>
      <c r="B350" s="3" t="inlineStr">
        <is>
          <t>Заруб</t>
        </is>
      </c>
      <c r="C350" s="3" t="inlineStr">
        <is>
          <t>План</t>
        </is>
      </c>
      <c r="D350" s="3" t="inlineStr">
        <is>
          <t>Сервис</t>
        </is>
      </c>
      <c r="E350" s="3" t="inlineStr">
        <is>
          <t>План и бонусы</t>
        </is>
      </c>
      <c r="F350" s="3" t="inlineStr">
        <is>
          <t>Скидка в 1 кв. 2026 ф.г.*</t>
        </is>
      </c>
      <c r="G350" s="4" t="n">
        <v>2</v>
      </c>
      <c r="H350" s="4" t="n"/>
      <c r="I350" s="3" t="n"/>
      <c r="J350" s="4" t="n">
        <v>6</v>
      </c>
      <c r="K350" s="4" t="n"/>
      <c r="L350" s="4" t="n"/>
      <c r="M350" s="8" t="n">
        <v>0.16</v>
      </c>
      <c r="N350" s="4" t="inlineStr">
        <is>
          <t>%</t>
        </is>
      </c>
      <c r="O350" s="3" t="inlineStr">
        <is>
          <t>ABS</t>
        </is>
      </c>
      <c r="P350" s="3" t="inlineStr">
        <is>
          <t>I5</t>
        </is>
      </c>
      <c t="str" r="Q350" s="6">
        <f>A350&amp;"|"&amp;C350&amp;"|"&amp;D350&amp;"|"&amp;G350</f>
        <v>ASIAN BUSINESS SOLUTIONS, Узбекистан|План|Сервис|2</v>
      </c>
      <c t="str" r="R350" s="6">
        <f>A350&amp;"|"&amp;C350&amp;"|"&amp;D350&amp;"|"&amp;J350</f>
        <v>ASIAN BUSINESS SOLUTIONS, Узбекистан|План|Сервис|6</v>
      </c>
      <c t="str" r="S350" s="6">
        <f>A350&amp;"|"&amp;C350&amp;"|"&amp;D350&amp;"|"&amp;G350&amp;"|"&amp;J350</f>
        <v>ASIAN BUSINESS SOLUTIONS, Узбекистан|План|Сервис|2|6</v>
      </c>
      <c t="str" r="T350" s="6">
        <f>A350&amp;"|"&amp;C350&amp;"|"&amp;G350</f>
        <v>ASIAN BUSINESS SOLUTIONS, Узбекистан|План|2</v>
      </c>
      <c t="str" r="U350" s="6">
        <f>IF(H350="да",A350&amp;"|"&amp;C350&amp;"|"&amp;D350&amp;"|"&amp;J350,"")</f>
        <v/>
      </c>
      <c t="str" r="V350" s="6">
        <f>IF(C350="План",A350&amp;"|"&amp;J350,"")</f>
        <v>ASIAN BUSINESS SOLUTIONS, Узбекистан|6</v>
      </c>
    </row>
    <row r="351">
      <c r="A351" s="3" t="inlineStr">
        <is>
          <t>ASIAN BUSINESS SOLUTIONS, Узбекистан</t>
        </is>
      </c>
      <c r="B351" s="3" t="inlineStr">
        <is>
          <t>Заруб</t>
        </is>
      </c>
      <c r="C351" s="3" t="inlineStr">
        <is>
          <t>План</t>
        </is>
      </c>
      <c r="D351" s="3" t="inlineStr">
        <is>
          <t>Оборудование</t>
        </is>
      </c>
      <c r="E351" s="3" t="inlineStr">
        <is>
          <t>План и бонусы</t>
        </is>
      </c>
      <c r="F351" s="3" t="inlineStr">
        <is>
          <t>Выручка 2024</t>
        </is>
      </c>
      <c r="G351" s="4" t="n">
        <v>3</v>
      </c>
      <c r="H351" s="4" t="n"/>
      <c r="I351" s="3" t="n"/>
      <c r="J351" s="4" t="n">
        <v>1</v>
      </c>
      <c r="K351" s="4" t="n"/>
      <c r="L351" s="4" t="n"/>
      <c r="M351" s="5" t="n">
        <v>88690</v>
      </c>
      <c r="N351" s="4" t="inlineStr">
        <is>
          <t>EUR</t>
        </is>
      </c>
      <c r="O351" s="3" t="inlineStr">
        <is>
          <t>ABS</t>
        </is>
      </c>
      <c r="P351" s="3" t="inlineStr">
        <is>
          <t>D6</t>
        </is>
      </c>
      <c t="str" r="Q351" s="6">
        <f>A351&amp;"|"&amp;C351&amp;"|"&amp;D351&amp;"|"&amp;G351</f>
        <v>ASIAN BUSINESS SOLUTIONS, Узбекистан|План|Оборудование|3</v>
      </c>
      <c t="str" r="R351" s="6">
        <f>A351&amp;"|"&amp;C351&amp;"|"&amp;D351&amp;"|"&amp;J351</f>
        <v>ASIAN BUSINESS SOLUTIONS, Узбекистан|План|Оборудование|1</v>
      </c>
      <c t="str" r="S351" s="6">
        <f>A351&amp;"|"&amp;C351&amp;"|"&amp;D351&amp;"|"&amp;G351&amp;"|"&amp;J351</f>
        <v>ASIAN BUSINESS SOLUTIONS, Узбекистан|План|Оборудование|3|1</v>
      </c>
      <c t="str" r="T351" s="6">
        <f>A351&amp;"|"&amp;C351&amp;"|"&amp;G351</f>
        <v>ASIAN BUSINESS SOLUTIONS, Узбекистан|План|3</v>
      </c>
      <c t="str" r="U351" s="6">
        <f>IF(H351="да",A351&amp;"|"&amp;C351&amp;"|"&amp;D351&amp;"|"&amp;J351,"")</f>
        <v/>
      </c>
      <c t="str" r="V351" s="6">
        <f>IF(C351="План",A351&amp;"|"&amp;J351,"")</f>
        <v>ASIAN BUSINESS SOLUTIONS, Узбекистан|1</v>
      </c>
    </row>
    <row r="352">
      <c r="A352" s="3" t="inlineStr">
        <is>
          <t>ASIAN BUSINESS SOLUTIONS, Узбекистан</t>
        </is>
      </c>
      <c r="B352" s="3" t="inlineStr">
        <is>
          <t>Заруб</t>
        </is>
      </c>
      <c r="C352" s="3" t="inlineStr">
        <is>
          <t>План</t>
        </is>
      </c>
      <c r="D352" s="3" t="inlineStr">
        <is>
          <t>Оборудование</t>
        </is>
      </c>
      <c r="E352" s="3" t="inlineStr">
        <is>
          <t>План и бонусы</t>
        </is>
      </c>
      <c r="F352" s="3" t="inlineStr">
        <is>
          <t>Выручка 2025</t>
        </is>
      </c>
      <c r="G352" s="4" t="n">
        <v>3</v>
      </c>
      <c r="H352" s="4" t="n"/>
      <c r="I352" s="3" t="n"/>
      <c r="J352" s="4" t="n">
        <v>2</v>
      </c>
      <c r="K352" s="4" t="n"/>
      <c r="L352" s="4" t="n"/>
      <c r="M352" s="5" t="n">
        <v>443411</v>
      </c>
      <c r="N352" s="4" t="inlineStr">
        <is>
          <t>EUR</t>
        </is>
      </c>
      <c r="O352" s="3" t="inlineStr">
        <is>
          <t>ABS</t>
        </is>
      </c>
      <c r="P352" s="3" t="inlineStr">
        <is>
          <t>E6</t>
        </is>
      </c>
      <c t="str" r="Q352" s="6">
        <f>A352&amp;"|"&amp;C352&amp;"|"&amp;D352&amp;"|"&amp;G352</f>
        <v>ASIAN BUSINESS SOLUTIONS, Узбекистан|План|Оборудование|3</v>
      </c>
      <c t="str" r="R352" s="6">
        <f>A352&amp;"|"&amp;C352&amp;"|"&amp;D352&amp;"|"&amp;J352</f>
        <v>ASIAN BUSINESS SOLUTIONS, Узбекистан|План|Оборудование|2</v>
      </c>
      <c t="str" r="S352" s="6">
        <f>A352&amp;"|"&amp;C352&amp;"|"&amp;D352&amp;"|"&amp;G352&amp;"|"&amp;J352</f>
        <v>ASIAN BUSINESS SOLUTIONS, Узбекистан|План|Оборудование|3|2</v>
      </c>
      <c t="str" r="T352" s="6">
        <f>A352&amp;"|"&amp;C352&amp;"|"&amp;G352</f>
        <v>ASIAN BUSINESS SOLUTIONS, Узбекистан|План|3</v>
      </c>
      <c t="str" r="U352" s="6">
        <f>IF(H352="да",A352&amp;"|"&amp;C352&amp;"|"&amp;D352&amp;"|"&amp;J352,"")</f>
        <v/>
      </c>
      <c t="str" r="V352" s="6">
        <f>IF(C352="План",A352&amp;"|"&amp;J352,"")</f>
        <v>ASIAN BUSINESS SOLUTIONS, Узбекистан|2</v>
      </c>
    </row>
    <row r="353">
      <c r="A353" s="3" t="inlineStr">
        <is>
          <t>ASIAN BUSINESS SOLUTIONS, Узбекистан</t>
        </is>
      </c>
      <c r="B353" s="3" t="inlineStr">
        <is>
          <t>Заруб</t>
        </is>
      </c>
      <c r="C353" s="3" t="inlineStr">
        <is>
          <t>План</t>
        </is>
      </c>
      <c r="D353" s="3" t="inlineStr">
        <is>
          <t>Оборудование</t>
        </is>
      </c>
      <c r="E353" s="3" t="inlineStr">
        <is>
          <t>План и бонусы</t>
        </is>
      </c>
      <c r="F353" s="3" t="inlineStr">
        <is>
          <t>План 2026</t>
        </is>
      </c>
      <c r="G353" s="4" t="n">
        <v>3</v>
      </c>
      <c r="H353" s="4" t="n"/>
      <c r="I353" s="3" t="n"/>
      <c r="J353" s="4" t="n">
        <v>3</v>
      </c>
      <c r="K353" s="4" t="n"/>
      <c r="L353" s="4" t="n"/>
      <c r="M353" s="5" t="n">
        <v>700000</v>
      </c>
      <c r="N353" s="4" t="inlineStr">
        <is>
          <t>EUR</t>
        </is>
      </c>
      <c r="O353" s="3" t="inlineStr">
        <is>
          <t>ABS</t>
        </is>
      </c>
      <c r="P353" s="3" t="inlineStr">
        <is>
          <t>F6</t>
        </is>
      </c>
      <c t="str" r="Q353" s="6">
        <f>A353&amp;"|"&amp;C353&amp;"|"&amp;D353&amp;"|"&amp;G353</f>
        <v>ASIAN BUSINESS SOLUTIONS, Узбекистан|План|Оборудование|3</v>
      </c>
      <c t="str" r="R353" s="6">
        <f>A353&amp;"|"&amp;C353&amp;"|"&amp;D353&amp;"|"&amp;J353</f>
        <v>ASIAN BUSINESS SOLUTIONS, Узбекистан|План|Оборудование|3</v>
      </c>
      <c t="str" r="S353" s="6">
        <f>A353&amp;"|"&amp;C353&amp;"|"&amp;D353&amp;"|"&amp;G353&amp;"|"&amp;J353</f>
        <v>ASIAN BUSINESS SOLUTIONS, Узбекистан|План|Оборудование|3|3</v>
      </c>
      <c t="str" r="T353" s="6">
        <f>A353&amp;"|"&amp;C353&amp;"|"&amp;G353</f>
        <v>ASIAN BUSINESS SOLUTIONS, Узбекистан|План|3</v>
      </c>
      <c t="str" r="U353" s="6">
        <f>IF(H353="да",A353&amp;"|"&amp;C353&amp;"|"&amp;D353&amp;"|"&amp;J353,"")</f>
        <v/>
      </c>
      <c t="str" r="V353" s="6">
        <f>IF(C353="План",A353&amp;"|"&amp;J353,"")</f>
        <v>ASIAN BUSINESS SOLUTIONS, Узбекистан|3</v>
      </c>
    </row>
    <row r="354">
      <c r="A354" s="3" t="inlineStr">
        <is>
          <t>ASIAN BUSINESS SOLUTIONS, Узбекистан</t>
        </is>
      </c>
      <c r="B354" s="3" t="inlineStr">
        <is>
          <t>Заруб</t>
        </is>
      </c>
      <c r="C354" s="3" t="inlineStr">
        <is>
          <t>План</t>
        </is>
      </c>
      <c r="D354" s="3" t="inlineStr">
        <is>
          <t>Оборудование</t>
        </is>
      </c>
      <c r="E354" s="3" t="inlineStr">
        <is>
          <t>План и бонусы</t>
        </is>
      </c>
      <c r="F354" s="3" t="inlineStr">
        <is>
          <t>Размер бонуса по итогам 2026 г</t>
        </is>
      </c>
      <c r="G354" s="4" t="n">
        <v>3</v>
      </c>
      <c r="H354" s="4" t="n"/>
      <c r="I354" s="3" t="n"/>
      <c r="J354" s="4" t="n">
        <v>5</v>
      </c>
      <c r="K354" s="4" t="n"/>
      <c r="L354" s="4" t="n"/>
      <c r="M354" s="7" t="n">
        <v>0.015</v>
      </c>
      <c r="N354" s="4" t="inlineStr">
        <is>
          <t>%</t>
        </is>
      </c>
      <c r="O354" s="3" t="inlineStr">
        <is>
          <t>ABS</t>
        </is>
      </c>
      <c r="P354" s="3" t="inlineStr">
        <is>
          <t>H6</t>
        </is>
      </c>
      <c t="str" r="Q354" s="6">
        <f>A354&amp;"|"&amp;C354&amp;"|"&amp;D354&amp;"|"&amp;G354</f>
        <v>ASIAN BUSINESS SOLUTIONS, Узбекистан|План|Оборудование|3</v>
      </c>
      <c t="str" r="R354" s="6">
        <f>A354&amp;"|"&amp;C354&amp;"|"&amp;D354&amp;"|"&amp;J354</f>
        <v>ASIAN BUSINESS SOLUTIONS, Узбекистан|План|Оборудование|5</v>
      </c>
      <c t="str" r="S354" s="6">
        <f>A354&amp;"|"&amp;C354&amp;"|"&amp;D354&amp;"|"&amp;G354&amp;"|"&amp;J354</f>
        <v>ASIAN BUSINESS SOLUTIONS, Узбекистан|План|Оборудование|3|5</v>
      </c>
      <c t="str" r="T354" s="6">
        <f>A354&amp;"|"&amp;C354&amp;"|"&amp;G354</f>
        <v>ASIAN BUSINESS SOLUTIONS, Узбекистан|План|3</v>
      </c>
      <c t="str" r="U354" s="6">
        <f>IF(H354="да",A354&amp;"|"&amp;C354&amp;"|"&amp;D354&amp;"|"&amp;J354,"")</f>
        <v/>
      </c>
      <c t="str" r="V354" s="6">
        <f>IF(C354="План",A354&amp;"|"&amp;J354,"")</f>
        <v>ASIAN BUSINESS SOLUTIONS, Узбекистан|5</v>
      </c>
    </row>
    <row r="355">
      <c r="A355" s="3" t="inlineStr">
        <is>
          <t>ASIAN BUSINESS SOLUTIONS, Узбекистан</t>
        </is>
      </c>
      <c r="B355" s="3" t="inlineStr">
        <is>
          <t>Заруб</t>
        </is>
      </c>
      <c r="C355" s="3" t="inlineStr">
        <is>
          <t>План</t>
        </is>
      </c>
      <c r="D355" s="3" t="inlineStr">
        <is>
          <t>Оборудование</t>
        </is>
      </c>
      <c r="E355" s="3" t="inlineStr">
        <is>
          <t>План и бонусы</t>
        </is>
      </c>
      <c r="F355" s="3" t="inlineStr">
        <is>
          <t>Скидка в 1 кв. 2026 ф.г.*</t>
        </is>
      </c>
      <c r="G355" s="4" t="n">
        <v>3</v>
      </c>
      <c r="H355" s="4" t="n"/>
      <c r="I355" s="3" t="n"/>
      <c r="J355" s="4" t="n">
        <v>6</v>
      </c>
      <c r="K355" s="4" t="n"/>
      <c r="L355" s="4" t="n"/>
      <c r="M355" s="8" t="n">
        <v>0.2</v>
      </c>
      <c r="N355" s="4" t="inlineStr">
        <is>
          <t>%</t>
        </is>
      </c>
      <c r="O355" s="3" t="inlineStr">
        <is>
          <t>ABS</t>
        </is>
      </c>
      <c r="P355" s="3" t="inlineStr">
        <is>
          <t>I6</t>
        </is>
      </c>
      <c t="str" r="Q355" s="6">
        <f>A355&amp;"|"&amp;C355&amp;"|"&amp;D355&amp;"|"&amp;G355</f>
        <v>ASIAN BUSINESS SOLUTIONS, Узбекистан|План|Оборудование|3</v>
      </c>
      <c t="str" r="R355" s="6">
        <f>A355&amp;"|"&amp;C355&amp;"|"&amp;D355&amp;"|"&amp;J355</f>
        <v>ASIAN BUSINESS SOLUTIONS, Узбекистан|План|Оборудование|6</v>
      </c>
      <c t="str" r="S355" s="6">
        <f>A355&amp;"|"&amp;C355&amp;"|"&amp;D355&amp;"|"&amp;G355&amp;"|"&amp;J355</f>
        <v>ASIAN BUSINESS SOLUTIONS, Узбекистан|План|Оборудование|3|6</v>
      </c>
      <c t="str" r="T355" s="6">
        <f>A355&amp;"|"&amp;C355&amp;"|"&amp;G355</f>
        <v>ASIAN BUSINESS SOLUTIONS, Узбекистан|План|3</v>
      </c>
      <c t="str" r="U355" s="6">
        <f>IF(H355="да",A355&amp;"|"&amp;C355&amp;"|"&amp;D355&amp;"|"&amp;J355,"")</f>
        <v/>
      </c>
      <c t="str" r="V355" s="6">
        <f>IF(C355="План",A355&amp;"|"&amp;J355,"")</f>
        <v>ASIAN BUSINESS SOLUTIONS, Узбекистан|6</v>
      </c>
    </row>
    <row r="356">
      <c r="A356" s="3" t="inlineStr">
        <is>
          <t>ASIAN BUSINESS SOLUTIONS, Узбекистан</t>
        </is>
      </c>
      <c r="B356" s="3" t="inlineStr">
        <is>
          <t>Заруб</t>
        </is>
      </c>
      <c r="C356" s="3" t="inlineStr">
        <is>
          <t>План</t>
        </is>
      </c>
      <c r="D356" s="3" t="inlineStr">
        <is>
          <t>Расходные материалы</t>
        </is>
      </c>
      <c r="E356" s="3" t="inlineStr">
        <is>
          <t>План и бонусы</t>
        </is>
      </c>
      <c r="F356" s="3" t="inlineStr">
        <is>
          <t>Выручка 2024</t>
        </is>
      </c>
      <c r="G356" s="4" t="n">
        <v>4</v>
      </c>
      <c r="H356" s="4" t="n"/>
      <c r="I356" s="3" t="n"/>
      <c r="J356" s="4" t="n">
        <v>1</v>
      </c>
      <c r="K356" s="4" t="n"/>
      <c r="L356" s="4" t="n"/>
      <c r="M356" s="5" t="n">
        <v>293161</v>
      </c>
      <c r="N356" s="4" t="inlineStr">
        <is>
          <t>EUR</t>
        </is>
      </c>
      <c r="O356" s="3" t="inlineStr">
        <is>
          <t>ABS</t>
        </is>
      </c>
      <c r="P356" s="3" t="inlineStr">
        <is>
          <t>D7</t>
        </is>
      </c>
      <c t="str" r="Q356" s="6">
        <f>A356&amp;"|"&amp;C356&amp;"|"&amp;D356&amp;"|"&amp;G356</f>
        <v>ASIAN BUSINESS SOLUTIONS, Узбекистан|План|Расходные материалы|4</v>
      </c>
      <c t="str" r="R356" s="6">
        <f>A356&amp;"|"&amp;C356&amp;"|"&amp;D356&amp;"|"&amp;J356</f>
        <v>ASIAN BUSINESS SOLUTIONS, Узбекистан|План|Расходные материалы|1</v>
      </c>
      <c t="str" r="S356" s="6">
        <f>A356&amp;"|"&amp;C356&amp;"|"&amp;D356&amp;"|"&amp;G356&amp;"|"&amp;J356</f>
        <v>ASIAN BUSINESS SOLUTIONS, Узбекистан|План|Расходные материалы|4|1</v>
      </c>
      <c t="str" r="T356" s="6">
        <f>A356&amp;"|"&amp;C356&amp;"|"&amp;G356</f>
        <v>ASIAN BUSINESS SOLUTIONS, Узбекистан|План|4</v>
      </c>
      <c t="str" r="U356" s="6">
        <f>IF(H356="да",A356&amp;"|"&amp;C356&amp;"|"&amp;D356&amp;"|"&amp;J356,"")</f>
        <v/>
      </c>
      <c t="str" r="V356" s="6">
        <f>IF(C356="План",A356&amp;"|"&amp;J356,"")</f>
        <v>ASIAN BUSINESS SOLUTIONS, Узбекистан|1</v>
      </c>
    </row>
    <row r="357">
      <c r="A357" s="3" t="inlineStr">
        <is>
          <t>ASIAN BUSINESS SOLUTIONS, Узбекистан</t>
        </is>
      </c>
      <c r="B357" s="3" t="inlineStr">
        <is>
          <t>Заруб</t>
        </is>
      </c>
      <c r="C357" s="3" t="inlineStr">
        <is>
          <t>План</t>
        </is>
      </c>
      <c r="D357" s="3" t="inlineStr">
        <is>
          <t>Расходные материалы</t>
        </is>
      </c>
      <c r="E357" s="3" t="inlineStr">
        <is>
          <t>План и бонусы</t>
        </is>
      </c>
      <c r="F357" s="3" t="inlineStr">
        <is>
          <t>Выручка 2025</t>
        </is>
      </c>
      <c r="G357" s="4" t="n">
        <v>4</v>
      </c>
      <c r="H357" s="4" t="n"/>
      <c r="I357" s="3" t="n"/>
      <c r="J357" s="4" t="n">
        <v>2</v>
      </c>
      <c r="K357" s="4" t="n"/>
      <c r="L357" s="4" t="n"/>
      <c r="M357" s="5" t="n">
        <v>361594</v>
      </c>
      <c r="N357" s="4" t="inlineStr">
        <is>
          <t>EUR</t>
        </is>
      </c>
      <c r="O357" s="3" t="inlineStr">
        <is>
          <t>ABS</t>
        </is>
      </c>
      <c r="P357" s="3" t="inlineStr">
        <is>
          <t>E7</t>
        </is>
      </c>
      <c t="str" r="Q357" s="6">
        <f>A357&amp;"|"&amp;C357&amp;"|"&amp;D357&amp;"|"&amp;G357</f>
        <v>ASIAN BUSINESS SOLUTIONS, Узбекистан|План|Расходные материалы|4</v>
      </c>
      <c t="str" r="R357" s="6">
        <f>A357&amp;"|"&amp;C357&amp;"|"&amp;D357&amp;"|"&amp;J357</f>
        <v>ASIAN BUSINESS SOLUTIONS, Узбекистан|План|Расходные материалы|2</v>
      </c>
      <c t="str" r="S357" s="6">
        <f>A357&amp;"|"&amp;C357&amp;"|"&amp;D357&amp;"|"&amp;G357&amp;"|"&amp;J357</f>
        <v>ASIAN BUSINESS SOLUTIONS, Узбекистан|План|Расходные материалы|4|2</v>
      </c>
      <c t="str" r="T357" s="6">
        <f>A357&amp;"|"&amp;C357&amp;"|"&amp;G357</f>
        <v>ASIAN BUSINESS SOLUTIONS, Узбекистан|План|4</v>
      </c>
      <c t="str" r="U357" s="6">
        <f>IF(H357="да",A357&amp;"|"&amp;C357&amp;"|"&amp;D357&amp;"|"&amp;J357,"")</f>
        <v/>
      </c>
      <c t="str" r="V357" s="6">
        <f>IF(C357="План",A357&amp;"|"&amp;J357,"")</f>
        <v>ASIAN BUSINESS SOLUTIONS, Узбекистан|2</v>
      </c>
    </row>
    <row r="358">
      <c r="A358" s="3" t="inlineStr">
        <is>
          <t>ASIAN BUSINESS SOLUTIONS, Узбекистан</t>
        </is>
      </c>
      <c r="B358" s="3" t="inlineStr">
        <is>
          <t>Заруб</t>
        </is>
      </c>
      <c r="C358" s="3" t="inlineStr">
        <is>
          <t>План</t>
        </is>
      </c>
      <c r="D358" s="3" t="inlineStr">
        <is>
          <t>Расходные материалы</t>
        </is>
      </c>
      <c r="E358" s="3" t="inlineStr">
        <is>
          <t>План и бонусы</t>
        </is>
      </c>
      <c r="F358" s="3" t="inlineStr">
        <is>
          <t>План 2026</t>
        </is>
      </c>
      <c r="G358" s="4" t="n">
        <v>4</v>
      </c>
      <c r="H358" s="4" t="n"/>
      <c r="I358" s="3" t="n"/>
      <c r="J358" s="4" t="n">
        <v>3</v>
      </c>
      <c r="K358" s="4" t="n"/>
      <c r="L358" s="4" t="n"/>
      <c r="M358" s="5" t="n">
        <v>400000</v>
      </c>
      <c r="N358" s="4" t="inlineStr">
        <is>
          <t>EUR</t>
        </is>
      </c>
      <c r="O358" s="3" t="inlineStr">
        <is>
          <t>ABS</t>
        </is>
      </c>
      <c r="P358" s="3" t="inlineStr">
        <is>
          <t>F7</t>
        </is>
      </c>
      <c t="str" r="Q358" s="6">
        <f>A358&amp;"|"&amp;C358&amp;"|"&amp;D358&amp;"|"&amp;G358</f>
        <v>ASIAN BUSINESS SOLUTIONS, Узбекистан|План|Расходные материалы|4</v>
      </c>
      <c t="str" r="R358" s="6">
        <f>A358&amp;"|"&amp;C358&amp;"|"&amp;D358&amp;"|"&amp;J358</f>
        <v>ASIAN BUSINESS SOLUTIONS, Узбекистан|План|Расходные материалы|3</v>
      </c>
      <c t="str" r="S358" s="6">
        <f>A358&amp;"|"&amp;C358&amp;"|"&amp;D358&amp;"|"&amp;G358&amp;"|"&amp;J358</f>
        <v>ASIAN BUSINESS SOLUTIONS, Узбекистан|План|Расходные материалы|4|3</v>
      </c>
      <c t="str" r="T358" s="6">
        <f>A358&amp;"|"&amp;C358&amp;"|"&amp;G358</f>
        <v>ASIAN BUSINESS SOLUTIONS, Узбекистан|План|4</v>
      </c>
      <c t="str" r="U358" s="6">
        <f>IF(H358="да",A358&amp;"|"&amp;C358&amp;"|"&amp;D358&amp;"|"&amp;J358,"")</f>
        <v/>
      </c>
      <c t="str" r="V358" s="6">
        <f>IF(C358="План",A358&amp;"|"&amp;J358,"")</f>
        <v>ASIAN BUSINESS SOLUTIONS, Узбекистан|3</v>
      </c>
    </row>
    <row r="359">
      <c r="A359" s="3" t="inlineStr">
        <is>
          <t>ASIAN BUSINESS SOLUTIONS, Узбекистан</t>
        </is>
      </c>
      <c r="B359" s="3" t="inlineStr">
        <is>
          <t>Заруб</t>
        </is>
      </c>
      <c r="C359" s="3" t="inlineStr">
        <is>
          <t>План</t>
        </is>
      </c>
      <c r="D359" s="3" t="inlineStr">
        <is>
          <t>Расходные материалы</t>
        </is>
      </c>
      <c r="E359" s="3" t="inlineStr">
        <is>
          <t>План и бонусы</t>
        </is>
      </c>
      <c r="F359" s="3" t="inlineStr">
        <is>
          <t>Размер бонуса по итогам 2026 г</t>
        </is>
      </c>
      <c r="G359" s="4" t="n">
        <v>4</v>
      </c>
      <c r="H359" s="4" t="n"/>
      <c r="I359" s="3" t="n"/>
      <c r="J359" s="4" t="n">
        <v>5</v>
      </c>
      <c r="K359" s="4" t="n"/>
      <c r="L359" s="4" t="n"/>
      <c r="M359" s="7" t="n">
        <v>0.005</v>
      </c>
      <c r="N359" s="4" t="inlineStr">
        <is>
          <t>%</t>
        </is>
      </c>
      <c r="O359" s="3" t="inlineStr">
        <is>
          <t>ABS</t>
        </is>
      </c>
      <c r="P359" s="3" t="inlineStr">
        <is>
          <t>H7</t>
        </is>
      </c>
      <c t="str" r="Q359" s="6">
        <f>A359&amp;"|"&amp;C359&amp;"|"&amp;D359&amp;"|"&amp;G359</f>
        <v>ASIAN BUSINESS SOLUTIONS, Узбекистан|План|Расходные материалы|4</v>
      </c>
      <c t="str" r="R359" s="6">
        <f>A359&amp;"|"&amp;C359&amp;"|"&amp;D359&amp;"|"&amp;J359</f>
        <v>ASIAN BUSINESS SOLUTIONS, Узбекистан|План|Расходные материалы|5</v>
      </c>
      <c t="str" r="S359" s="6">
        <f>A359&amp;"|"&amp;C359&amp;"|"&amp;D359&amp;"|"&amp;G359&amp;"|"&amp;J359</f>
        <v>ASIAN BUSINESS SOLUTIONS, Узбекистан|План|Расходные материалы|4|5</v>
      </c>
      <c t="str" r="T359" s="6">
        <f>A359&amp;"|"&amp;C359&amp;"|"&amp;G359</f>
        <v>ASIAN BUSINESS SOLUTIONS, Узбекистан|План|4</v>
      </c>
      <c t="str" r="U359" s="6">
        <f>IF(H359="да",A359&amp;"|"&amp;C359&amp;"|"&amp;D359&amp;"|"&amp;J359,"")</f>
        <v/>
      </c>
      <c t="str" r="V359" s="6">
        <f>IF(C359="План",A359&amp;"|"&amp;J359,"")</f>
        <v>ASIAN BUSINESS SOLUTIONS, Узбекистан|5</v>
      </c>
    </row>
    <row r="360">
      <c r="A360" s="3" t="inlineStr">
        <is>
          <t>ASIAN BUSINESS SOLUTIONS, Узбекистан</t>
        </is>
      </c>
      <c r="B360" s="3" t="inlineStr">
        <is>
          <t>Заруб</t>
        </is>
      </c>
      <c r="C360" s="3" t="inlineStr">
        <is>
          <t>План</t>
        </is>
      </c>
      <c r="D360" s="3" t="inlineStr">
        <is>
          <t>Расходные материалы</t>
        </is>
      </c>
      <c r="E360" s="3" t="inlineStr">
        <is>
          <t>План и бонусы</t>
        </is>
      </c>
      <c r="F360" s="3" t="inlineStr">
        <is>
          <t>Скидка в 1 кв. 2026 ф.г.*</t>
        </is>
      </c>
      <c r="G360" s="4" t="n">
        <v>4</v>
      </c>
      <c r="H360" s="4" t="n"/>
      <c r="I360" s="3" t="n"/>
      <c r="J360" s="4" t="n">
        <v>6</v>
      </c>
      <c r="K360" s="4" t="n"/>
      <c r="L360" s="4" t="n"/>
      <c r="M360" s="8" t="n">
        <v>0.1</v>
      </c>
      <c r="N360" s="4" t="inlineStr">
        <is>
          <t>%</t>
        </is>
      </c>
      <c r="O360" s="3" t="inlineStr">
        <is>
          <t>ABS</t>
        </is>
      </c>
      <c r="P360" s="3" t="inlineStr">
        <is>
          <t>I7</t>
        </is>
      </c>
      <c t="str" r="Q360" s="6">
        <f>A360&amp;"|"&amp;C360&amp;"|"&amp;D360&amp;"|"&amp;G360</f>
        <v>ASIAN BUSINESS SOLUTIONS, Узбекистан|План|Расходные материалы|4</v>
      </c>
      <c t="str" r="R360" s="6">
        <f>A360&amp;"|"&amp;C360&amp;"|"&amp;D360&amp;"|"&amp;J360</f>
        <v>ASIAN BUSINESS SOLUTIONS, Узбекистан|План|Расходные материалы|6</v>
      </c>
      <c t="str" r="S360" s="6">
        <f>A360&amp;"|"&amp;C360&amp;"|"&amp;D360&amp;"|"&amp;G360&amp;"|"&amp;J360</f>
        <v>ASIAN BUSINESS SOLUTIONS, Узбекистан|План|Расходные материалы|4|6</v>
      </c>
      <c t="str" r="T360" s="6">
        <f>A360&amp;"|"&amp;C360&amp;"|"&amp;G360</f>
        <v>ASIAN BUSINESS SOLUTIONS, Узбекистан|План|4</v>
      </c>
      <c t="str" r="U360" s="6">
        <f>IF(H360="да",A360&amp;"|"&amp;C360&amp;"|"&amp;D360&amp;"|"&amp;J360,"")</f>
        <v/>
      </c>
      <c t="str" r="V360" s="6">
        <f>IF(C360="План",A360&amp;"|"&amp;J360,"")</f>
        <v>ASIAN BUSINESS SOLUTIONS, Узбекистан|6</v>
      </c>
    </row>
    <row r="361">
      <c r="A361" s="3" t="inlineStr">
        <is>
          <t>ASIAN BUSINESS SOLUTIONS, Узбекистан</t>
        </is>
      </c>
      <c r="B361" s="3" t="inlineStr">
        <is>
          <t>Заруб</t>
        </is>
      </c>
      <c r="C361" s="3" t="inlineStr">
        <is>
          <t>Шкала</t>
        </is>
      </c>
      <c r="D361" s="3" t="inlineStr">
        <is>
          <t>Оборудование</t>
        </is>
      </c>
      <c r="E361" s="3" t="inlineStr">
        <is>
          <t>Оборудование — за полугодие</t>
        </is>
      </c>
      <c r="F361" s="3" t="inlineStr">
        <is>
          <t>Базовое вознаграждение за Дилерский договор</t>
        </is>
      </c>
      <c r="G361" s="4" t="n">
        <v>1</v>
      </c>
      <c r="H361" s="4" t="n"/>
      <c r="I361" s="3" t="inlineStr">
        <is>
          <t>до 75</t>
        </is>
      </c>
      <c r="J361" s="4" t="n">
        <v>1</v>
      </c>
      <c r="K361" s="4" t="n"/>
      <c r="L361" s="4" t="n"/>
      <c r="M361" s="8" t="n">
        <v>0.06</v>
      </c>
      <c r="N361" s="4" t="inlineStr">
        <is>
          <t>%</t>
        </is>
      </c>
      <c r="O361" s="3" t="inlineStr">
        <is>
          <t>ABS</t>
        </is>
      </c>
      <c r="P361" s="3" t="inlineStr">
        <is>
          <t>E14</t>
        </is>
      </c>
      <c t="str" r="Q361" s="6">
        <f>A361&amp;"|"&amp;C361&amp;"|"&amp;D361&amp;"|"&amp;G361</f>
        <v>ASIAN BUSINESS SOLUTIONS, Узбекистан|Шкала|Оборудование|1</v>
      </c>
      <c t="str" r="R361" s="6">
        <f>A361&amp;"|"&amp;C361&amp;"|"&amp;D361&amp;"|"&amp;J361</f>
        <v>ASIAN BUSINESS SOLUTIONS, Узбекистан|Шкала|Оборудование|1</v>
      </c>
      <c t="str" r="S361" s="6">
        <f>A361&amp;"|"&amp;C361&amp;"|"&amp;D361&amp;"|"&amp;G361&amp;"|"&amp;J361</f>
        <v>ASIAN BUSINESS SOLUTIONS, Узбекистан|Шкала|Оборудование|1|1</v>
      </c>
      <c t="str" r="T361" s="6">
        <f>A361&amp;"|"&amp;C361&amp;"|"&amp;G361</f>
        <v>ASIAN BUSINESS SOLUTIONS, Узбекистан|Шкала|1</v>
      </c>
      <c t="str" r="U361" s="6">
        <f>IF(H361="да",A361&amp;"|"&amp;C361&amp;"|"&amp;D361&amp;"|"&amp;J361,"")</f>
        <v/>
      </c>
      <c t="str" r="V361" s="6">
        <f>IF(C361="План",A361&amp;"|"&amp;J361,"")</f>
        <v/>
      </c>
    </row>
    <row r="362">
      <c r="A362" s="3" t="inlineStr">
        <is>
          <t>ASIAN BUSINESS SOLUTIONS, Узбекистан</t>
        </is>
      </c>
      <c r="B362" s="3" t="inlineStr">
        <is>
          <t>Заруб</t>
        </is>
      </c>
      <c r="C362" s="3" t="inlineStr">
        <is>
          <t>Шкала</t>
        </is>
      </c>
      <c r="D362" s="3" t="inlineStr">
        <is>
          <t>Оборудование</t>
        </is>
      </c>
      <c r="E362" s="3" t="inlineStr">
        <is>
          <t>Оборудование — за полугодие</t>
        </is>
      </c>
      <c r="F362" s="3" t="inlineStr">
        <is>
          <t>Базовое вознаграждение за Дилерский договор</t>
        </is>
      </c>
      <c r="G362" s="4" t="n">
        <v>1</v>
      </c>
      <c r="H362" s="4" t="n"/>
      <c r="I362" s="3" t="inlineStr">
        <is>
          <t>75-114</t>
        </is>
      </c>
      <c r="J362" s="4" t="n">
        <v>2</v>
      </c>
      <c r="K362" s="4" t="n"/>
      <c r="L362" s="4" t="n"/>
      <c r="M362" s="8" t="n">
        <v>0.06</v>
      </c>
      <c r="N362" s="4" t="inlineStr">
        <is>
          <t>%</t>
        </is>
      </c>
      <c r="O362" s="3" t="inlineStr">
        <is>
          <t>ABS</t>
        </is>
      </c>
      <c r="P362" s="3" t="inlineStr">
        <is>
          <t>F14</t>
        </is>
      </c>
      <c t="str" r="Q362" s="6">
        <f>A362&amp;"|"&amp;C362&amp;"|"&amp;D362&amp;"|"&amp;G362</f>
        <v>ASIAN BUSINESS SOLUTIONS, Узбекистан|Шкала|Оборудование|1</v>
      </c>
      <c t="str" r="R362" s="6">
        <f>A362&amp;"|"&amp;C362&amp;"|"&amp;D362&amp;"|"&amp;J362</f>
        <v>ASIAN BUSINESS SOLUTIONS, Узбекистан|Шкала|Оборудование|2</v>
      </c>
      <c t="str" r="S362" s="6">
        <f>A362&amp;"|"&amp;C362&amp;"|"&amp;D362&amp;"|"&amp;G362&amp;"|"&amp;J362</f>
        <v>ASIAN BUSINESS SOLUTIONS, Узбекистан|Шкала|Оборудование|1|2</v>
      </c>
      <c t="str" r="T362" s="6">
        <f>A362&amp;"|"&amp;C362&amp;"|"&amp;G362</f>
        <v>ASIAN BUSINESS SOLUTIONS, Узбекистан|Шкала|1</v>
      </c>
      <c t="str" r="U362" s="6">
        <f>IF(H362="да",A362&amp;"|"&amp;C362&amp;"|"&amp;D362&amp;"|"&amp;J362,"")</f>
        <v/>
      </c>
      <c t="str" r="V362" s="6">
        <f>IF(C362="План",A362&amp;"|"&amp;J362,"")</f>
        <v/>
      </c>
    </row>
    <row r="363">
      <c r="A363" s="3" t="inlineStr">
        <is>
          <t>ASIAN BUSINESS SOLUTIONS, Узбекистан</t>
        </is>
      </c>
      <c r="B363" s="3" t="inlineStr">
        <is>
          <t>Заруб</t>
        </is>
      </c>
      <c r="C363" s="3" t="inlineStr">
        <is>
          <t>Шкала</t>
        </is>
      </c>
      <c r="D363" s="3" t="inlineStr">
        <is>
          <t>Оборудование</t>
        </is>
      </c>
      <c r="E363" s="3" t="inlineStr">
        <is>
          <t>Оборудование — за полугодие</t>
        </is>
      </c>
      <c r="F363" s="3" t="inlineStr">
        <is>
          <t>Базовое вознаграждение за Дилерский договор</t>
        </is>
      </c>
      <c r="G363" s="4" t="n">
        <v>1</v>
      </c>
      <c r="H363" s="4" t="n"/>
      <c r="I363" s="3" t="inlineStr">
        <is>
          <t>115-149</t>
        </is>
      </c>
      <c r="J363" s="4" t="n">
        <v>3</v>
      </c>
      <c r="K363" s="4" t="n"/>
      <c r="L363" s="4" t="n"/>
      <c r="M363" s="8" t="n">
        <v>0.06</v>
      </c>
      <c r="N363" s="4" t="inlineStr">
        <is>
          <t>%</t>
        </is>
      </c>
      <c r="O363" s="3" t="inlineStr">
        <is>
          <t>ABS</t>
        </is>
      </c>
      <c r="P363" s="3" t="inlineStr">
        <is>
          <t>G14</t>
        </is>
      </c>
      <c t="str" r="Q363" s="6">
        <f>A363&amp;"|"&amp;C363&amp;"|"&amp;D363&amp;"|"&amp;G363</f>
        <v>ASIAN BUSINESS SOLUTIONS, Узбекистан|Шкала|Оборудование|1</v>
      </c>
      <c t="str" r="R363" s="6">
        <f>A363&amp;"|"&amp;C363&amp;"|"&amp;D363&amp;"|"&amp;J363</f>
        <v>ASIAN BUSINESS SOLUTIONS, Узбекистан|Шкала|Оборудование|3</v>
      </c>
      <c t="str" r="S363" s="6">
        <f>A363&amp;"|"&amp;C363&amp;"|"&amp;D363&amp;"|"&amp;G363&amp;"|"&amp;J363</f>
        <v>ASIAN BUSINESS SOLUTIONS, Узбекистан|Шкала|Оборудование|1|3</v>
      </c>
      <c t="str" r="T363" s="6">
        <f>A363&amp;"|"&amp;C363&amp;"|"&amp;G363</f>
        <v>ASIAN BUSINESS SOLUTIONS, Узбекистан|Шкала|1</v>
      </c>
      <c t="str" r="U363" s="6">
        <f>IF(H363="да",A363&amp;"|"&amp;C363&amp;"|"&amp;D363&amp;"|"&amp;J363,"")</f>
        <v/>
      </c>
      <c t="str" r="V363" s="6">
        <f>IF(C363="План",A363&amp;"|"&amp;J363,"")</f>
        <v/>
      </c>
    </row>
    <row r="364">
      <c r="A364" s="3" t="inlineStr">
        <is>
          <t>ASIAN BUSINESS SOLUTIONS, Узбекистан</t>
        </is>
      </c>
      <c r="B364" s="3" t="inlineStr">
        <is>
          <t>Заруб</t>
        </is>
      </c>
      <c r="C364" s="3" t="inlineStr">
        <is>
          <t>Шкала</t>
        </is>
      </c>
      <c r="D364" s="3" t="inlineStr">
        <is>
          <t>Оборудование</t>
        </is>
      </c>
      <c r="E364" s="3" t="inlineStr">
        <is>
          <t>Оборудование — за полугодие</t>
        </is>
      </c>
      <c r="F364" s="3" t="inlineStr">
        <is>
          <t>Базовое вознаграждение за Дилерский договор</t>
        </is>
      </c>
      <c r="G364" s="4" t="n">
        <v>1</v>
      </c>
      <c r="H364" s="4" t="n"/>
      <c r="I364" s="3" t="inlineStr">
        <is>
          <t>150-189</t>
        </is>
      </c>
      <c r="J364" s="4" t="n">
        <v>4</v>
      </c>
      <c r="K364" s="4" t="n"/>
      <c r="L364" s="4" t="n"/>
      <c r="M364" s="8" t="n">
        <v>0.06</v>
      </c>
      <c r="N364" s="4" t="inlineStr">
        <is>
          <t>%</t>
        </is>
      </c>
      <c r="O364" s="3" t="inlineStr">
        <is>
          <t>ABS</t>
        </is>
      </c>
      <c r="P364" s="3" t="inlineStr">
        <is>
          <t>H14</t>
        </is>
      </c>
      <c t="str" r="Q364" s="6">
        <f>A364&amp;"|"&amp;C364&amp;"|"&amp;D364&amp;"|"&amp;G364</f>
        <v>ASIAN BUSINESS SOLUTIONS, Узбекистан|Шкала|Оборудование|1</v>
      </c>
      <c t="str" r="R364" s="6">
        <f>A364&amp;"|"&amp;C364&amp;"|"&amp;D364&amp;"|"&amp;J364</f>
        <v>ASIAN BUSINESS SOLUTIONS, Узбекистан|Шкала|Оборудование|4</v>
      </c>
      <c t="str" r="S364" s="6">
        <f>A364&amp;"|"&amp;C364&amp;"|"&amp;D364&amp;"|"&amp;G364&amp;"|"&amp;J364</f>
        <v>ASIAN BUSINESS SOLUTIONS, Узбекистан|Шкала|Оборудование|1|4</v>
      </c>
      <c t="str" r="T364" s="6">
        <f>A364&amp;"|"&amp;C364&amp;"|"&amp;G364</f>
        <v>ASIAN BUSINESS SOLUTIONS, Узбекистан|Шкала|1</v>
      </c>
      <c t="str" r="U364" s="6">
        <f>IF(H364="да",A364&amp;"|"&amp;C364&amp;"|"&amp;D364&amp;"|"&amp;J364,"")</f>
        <v/>
      </c>
      <c t="str" r="V364" s="6">
        <f>IF(C364="План",A364&amp;"|"&amp;J364,"")</f>
        <v/>
      </c>
    </row>
    <row r="365">
      <c r="A365" s="3" t="inlineStr">
        <is>
          <t>ASIAN BUSINESS SOLUTIONS, Узбекистан</t>
        </is>
      </c>
      <c r="B365" s="3" t="inlineStr">
        <is>
          <t>Заруб</t>
        </is>
      </c>
      <c r="C365" s="3" t="inlineStr">
        <is>
          <t>Шкала</t>
        </is>
      </c>
      <c r="D365" s="3" t="inlineStr">
        <is>
          <t>Оборудование</t>
        </is>
      </c>
      <c r="E365" s="3" t="inlineStr">
        <is>
          <t>Оборудование — за полугодие</t>
        </is>
      </c>
      <c r="F365" s="3" t="inlineStr">
        <is>
          <t>Базовое вознаграждение за Дилерский договор</t>
        </is>
      </c>
      <c r="G365" s="4" t="n">
        <v>1</v>
      </c>
      <c r="H365" s="4" t="n"/>
      <c r="I365" s="3" t="inlineStr">
        <is>
          <t>190-224</t>
        </is>
      </c>
      <c r="J365" s="4" t="n">
        <v>5</v>
      </c>
      <c r="K365" s="4" t="n"/>
      <c r="L365" s="4" t="n"/>
      <c r="M365" s="8" t="n">
        <v>0.06</v>
      </c>
      <c r="N365" s="4" t="inlineStr">
        <is>
          <t>%</t>
        </is>
      </c>
      <c r="O365" s="3" t="inlineStr">
        <is>
          <t>ABS</t>
        </is>
      </c>
      <c r="P365" s="3" t="inlineStr">
        <is>
          <t>I14</t>
        </is>
      </c>
      <c t="str" r="Q365" s="6">
        <f>A365&amp;"|"&amp;C365&amp;"|"&amp;D365&amp;"|"&amp;G365</f>
        <v>ASIAN BUSINESS SOLUTIONS, Узбекистан|Шкала|Оборудование|1</v>
      </c>
      <c t="str" r="R365" s="6">
        <f>A365&amp;"|"&amp;C365&amp;"|"&amp;D365&amp;"|"&amp;J365</f>
        <v>ASIAN BUSINESS SOLUTIONS, Узбекистан|Шкала|Оборудование|5</v>
      </c>
      <c t="str" r="S365" s="6">
        <f>A365&amp;"|"&amp;C365&amp;"|"&amp;D365&amp;"|"&amp;G365&amp;"|"&amp;J365</f>
        <v>ASIAN BUSINESS SOLUTIONS, Узбекистан|Шкала|Оборудование|1|5</v>
      </c>
      <c t="str" r="T365" s="6">
        <f>A365&amp;"|"&amp;C365&amp;"|"&amp;G365</f>
        <v>ASIAN BUSINESS SOLUTIONS, Узбекистан|Шкала|1</v>
      </c>
      <c t="str" r="U365" s="6">
        <f>IF(H365="да",A365&amp;"|"&amp;C365&amp;"|"&amp;D365&amp;"|"&amp;J365,"")</f>
        <v/>
      </c>
      <c t="str" r="V365" s="6">
        <f>IF(C365="План",A365&amp;"|"&amp;J365,"")</f>
        <v/>
      </c>
    </row>
    <row r="366">
      <c r="A366" s="3" t="inlineStr">
        <is>
          <t>ASIAN BUSINESS SOLUTIONS, Узбекистан</t>
        </is>
      </c>
      <c r="B366" s="3" t="inlineStr">
        <is>
          <t>Заруб</t>
        </is>
      </c>
      <c r="C366" s="3" t="inlineStr">
        <is>
          <t>Шкала</t>
        </is>
      </c>
      <c r="D366" s="3" t="inlineStr">
        <is>
          <t>Оборудование</t>
        </is>
      </c>
      <c r="E366" s="3" t="inlineStr">
        <is>
          <t>Оборудование — за полугодие</t>
        </is>
      </c>
      <c r="F366" s="3" t="inlineStr">
        <is>
          <t>Базовое вознаграждение за Дилерский договор</t>
        </is>
      </c>
      <c r="G366" s="4" t="n">
        <v>1</v>
      </c>
      <c r="H366" s="4" t="n"/>
      <c r="I366" s="3" t="inlineStr">
        <is>
          <t>225 и более</t>
        </is>
      </c>
      <c r="J366" s="4" t="n">
        <v>6</v>
      </c>
      <c r="K366" s="4" t="n"/>
      <c r="L366" s="4" t="n"/>
      <c r="M366" s="8" t="n">
        <v>0.06</v>
      </c>
      <c r="N366" s="4" t="inlineStr">
        <is>
          <t>%</t>
        </is>
      </c>
      <c r="O366" s="3" t="inlineStr">
        <is>
          <t>ABS</t>
        </is>
      </c>
      <c r="P366" s="3" t="inlineStr">
        <is>
          <t>J14</t>
        </is>
      </c>
      <c t="str" r="Q366" s="6">
        <f>A366&amp;"|"&amp;C366&amp;"|"&amp;D366&amp;"|"&amp;G366</f>
        <v>ASIAN BUSINESS SOLUTIONS, Узбекистан|Шкала|Оборудование|1</v>
      </c>
      <c t="str" r="R366" s="6">
        <f>A366&amp;"|"&amp;C366&amp;"|"&amp;D366&amp;"|"&amp;J366</f>
        <v>ASIAN BUSINESS SOLUTIONS, Узбекистан|Шкала|Оборудование|6</v>
      </c>
      <c t="str" r="S366" s="6">
        <f>A366&amp;"|"&amp;C366&amp;"|"&amp;D366&amp;"|"&amp;G366&amp;"|"&amp;J366</f>
        <v>ASIAN BUSINESS SOLUTIONS, Узбекистан|Шкала|Оборудование|1|6</v>
      </c>
      <c t="str" r="T366" s="6">
        <f>A366&amp;"|"&amp;C366&amp;"|"&amp;G366</f>
        <v>ASIAN BUSINESS SOLUTIONS, Узбекистан|Шкала|1</v>
      </c>
      <c t="str" r="U366" s="6">
        <f>IF(H366="да",A366&amp;"|"&amp;C366&amp;"|"&amp;D366&amp;"|"&amp;J366,"")</f>
        <v/>
      </c>
      <c t="str" r="V366" s="6">
        <f>IF(C366="План",A366&amp;"|"&amp;J366,"")</f>
        <v/>
      </c>
    </row>
    <row r="367">
      <c r="A367" s="3" t="inlineStr">
        <is>
          <t>ASIAN BUSINESS SOLUTIONS, Узбекистан</t>
        </is>
      </c>
      <c r="B367" s="3" t="inlineStr">
        <is>
          <t>Заруб</t>
        </is>
      </c>
      <c r="C367" s="3" t="inlineStr">
        <is>
          <t>Шкала</t>
        </is>
      </c>
      <c r="D367" s="3" t="inlineStr">
        <is>
          <t>Оборудование</t>
        </is>
      </c>
      <c r="E367" s="3" t="inlineStr">
        <is>
          <t>Оборудование — за полугодие</t>
        </is>
      </c>
      <c r="F367" s="3" t="inlineStr">
        <is>
          <t>Наличие сервисного центра и гарантийное обслуживание</t>
        </is>
      </c>
      <c r="G367" s="4" t="n">
        <v>2</v>
      </c>
      <c r="H367" s="4" t="n"/>
      <c r="I367" s="3" t="inlineStr">
        <is>
          <t>до 75</t>
        </is>
      </c>
      <c r="J367" s="4" t="n">
        <v>1</v>
      </c>
      <c r="K367" s="4" t="n"/>
      <c r="L367" s="4" t="n"/>
      <c r="M367" s="8" t="n">
        <v>0.01</v>
      </c>
      <c r="N367" s="4" t="inlineStr">
        <is>
          <t>%</t>
        </is>
      </c>
      <c r="O367" s="3" t="inlineStr">
        <is>
          <t>ABS</t>
        </is>
      </c>
      <c r="P367" s="3" t="inlineStr">
        <is>
          <t>E15</t>
        </is>
      </c>
      <c t="str" r="Q367" s="6">
        <f>A367&amp;"|"&amp;C367&amp;"|"&amp;D367&amp;"|"&amp;G367</f>
        <v>ASIAN BUSINESS SOLUTIONS, Узбекистан|Шкала|Оборудование|2</v>
      </c>
      <c t="str" r="R367" s="6">
        <f>A367&amp;"|"&amp;C367&amp;"|"&amp;D367&amp;"|"&amp;J367</f>
        <v>ASIAN BUSINESS SOLUTIONS, Узбекистан|Шкала|Оборудование|1</v>
      </c>
      <c t="str" r="S367" s="6">
        <f>A367&amp;"|"&amp;C367&amp;"|"&amp;D367&amp;"|"&amp;G367&amp;"|"&amp;J367</f>
        <v>ASIAN BUSINESS SOLUTIONS, Узбекистан|Шкала|Оборудование|2|1</v>
      </c>
      <c t="str" r="T367" s="6">
        <f>A367&amp;"|"&amp;C367&amp;"|"&amp;G367</f>
        <v>ASIAN BUSINESS SOLUTIONS, Узбекистан|Шкала|2</v>
      </c>
      <c t="str" r="U367" s="6">
        <f>IF(H367="да",A367&amp;"|"&amp;C367&amp;"|"&amp;D367&amp;"|"&amp;J367,"")</f>
        <v/>
      </c>
      <c t="str" r="V367" s="6">
        <f>IF(C367="План",A367&amp;"|"&amp;J367,"")</f>
        <v/>
      </c>
    </row>
    <row r="368">
      <c r="A368" s="3" t="inlineStr">
        <is>
          <t>ASIAN BUSINESS SOLUTIONS, Узбекистан</t>
        </is>
      </c>
      <c r="B368" s="3" t="inlineStr">
        <is>
          <t>Заруб</t>
        </is>
      </c>
      <c r="C368" s="3" t="inlineStr">
        <is>
          <t>Шкала</t>
        </is>
      </c>
      <c r="D368" s="3" t="inlineStr">
        <is>
          <t>Оборудование</t>
        </is>
      </c>
      <c r="E368" s="3" t="inlineStr">
        <is>
          <t>Оборудование — за полугодие</t>
        </is>
      </c>
      <c r="F368" s="3" t="inlineStr">
        <is>
          <t>Наличие сервисного центра и гарантийное обслуживание</t>
        </is>
      </c>
      <c r="G368" s="4" t="n">
        <v>2</v>
      </c>
      <c r="H368" s="4" t="n"/>
      <c r="I368" s="3" t="inlineStr">
        <is>
          <t>75-114</t>
        </is>
      </c>
      <c r="J368" s="4" t="n">
        <v>2</v>
      </c>
      <c r="K368" s="4" t="n"/>
      <c r="L368" s="4" t="n"/>
      <c r="M368" s="8" t="n">
        <v>0.01</v>
      </c>
      <c r="N368" s="4" t="inlineStr">
        <is>
          <t>%</t>
        </is>
      </c>
      <c r="O368" s="3" t="inlineStr">
        <is>
          <t>ABS</t>
        </is>
      </c>
      <c r="P368" s="3" t="inlineStr">
        <is>
          <t>F15</t>
        </is>
      </c>
      <c t="str" r="Q368" s="6">
        <f>A368&amp;"|"&amp;C368&amp;"|"&amp;D368&amp;"|"&amp;G368</f>
        <v>ASIAN BUSINESS SOLUTIONS, Узбекистан|Шкала|Оборудование|2</v>
      </c>
      <c t="str" r="R368" s="6">
        <f>A368&amp;"|"&amp;C368&amp;"|"&amp;D368&amp;"|"&amp;J368</f>
        <v>ASIAN BUSINESS SOLUTIONS, Узбекистан|Шкала|Оборудование|2</v>
      </c>
      <c t="str" r="S368" s="6">
        <f>A368&amp;"|"&amp;C368&amp;"|"&amp;D368&amp;"|"&amp;G368&amp;"|"&amp;J368</f>
        <v>ASIAN BUSINESS SOLUTIONS, Узбекистан|Шкала|Оборудование|2|2</v>
      </c>
      <c t="str" r="T368" s="6">
        <f>A368&amp;"|"&amp;C368&amp;"|"&amp;G368</f>
        <v>ASIAN BUSINESS SOLUTIONS, Узбекистан|Шкала|2</v>
      </c>
      <c t="str" r="U368" s="6">
        <f>IF(H368="да",A368&amp;"|"&amp;C368&amp;"|"&amp;D368&amp;"|"&amp;J368,"")</f>
        <v/>
      </c>
      <c t="str" r="V368" s="6">
        <f>IF(C368="План",A368&amp;"|"&amp;J368,"")</f>
        <v/>
      </c>
    </row>
    <row r="369">
      <c r="A369" s="3" t="inlineStr">
        <is>
          <t>ASIAN BUSINESS SOLUTIONS, Узбекистан</t>
        </is>
      </c>
      <c r="B369" s="3" t="inlineStr">
        <is>
          <t>Заруб</t>
        </is>
      </c>
      <c r="C369" s="3" t="inlineStr">
        <is>
          <t>Шкала</t>
        </is>
      </c>
      <c r="D369" s="3" t="inlineStr">
        <is>
          <t>Оборудование</t>
        </is>
      </c>
      <c r="E369" s="3" t="inlineStr">
        <is>
          <t>Оборудование — за полугодие</t>
        </is>
      </c>
      <c r="F369" s="3" t="inlineStr">
        <is>
          <t>Наличие сервисного центра и гарантийное обслуживание</t>
        </is>
      </c>
      <c r="G369" s="4" t="n">
        <v>2</v>
      </c>
      <c r="H369" s="4" t="n"/>
      <c r="I369" s="3" t="inlineStr">
        <is>
          <t>115-149</t>
        </is>
      </c>
      <c r="J369" s="4" t="n">
        <v>3</v>
      </c>
      <c r="K369" s="4" t="n"/>
      <c r="L369" s="4" t="n"/>
      <c r="M369" s="8" t="n">
        <v>0.01</v>
      </c>
      <c r="N369" s="4" t="inlineStr">
        <is>
          <t>%</t>
        </is>
      </c>
      <c r="O369" s="3" t="inlineStr">
        <is>
          <t>ABS</t>
        </is>
      </c>
      <c r="P369" s="3" t="inlineStr">
        <is>
          <t>G15</t>
        </is>
      </c>
      <c t="str" r="Q369" s="6">
        <f>A369&amp;"|"&amp;C369&amp;"|"&amp;D369&amp;"|"&amp;G369</f>
        <v>ASIAN BUSINESS SOLUTIONS, Узбекистан|Шкала|Оборудование|2</v>
      </c>
      <c t="str" r="R369" s="6">
        <f>A369&amp;"|"&amp;C369&amp;"|"&amp;D369&amp;"|"&amp;J369</f>
        <v>ASIAN BUSINESS SOLUTIONS, Узбекистан|Шкала|Оборудование|3</v>
      </c>
      <c t="str" r="S369" s="6">
        <f>A369&amp;"|"&amp;C369&amp;"|"&amp;D369&amp;"|"&amp;G369&amp;"|"&amp;J369</f>
        <v>ASIAN BUSINESS SOLUTIONS, Узбекистан|Шкала|Оборудование|2|3</v>
      </c>
      <c t="str" r="T369" s="6">
        <f>A369&amp;"|"&amp;C369&amp;"|"&amp;G369</f>
        <v>ASIAN BUSINESS SOLUTIONS, Узбекистан|Шкала|2</v>
      </c>
      <c t="str" r="U369" s="6">
        <f>IF(H369="да",A369&amp;"|"&amp;C369&amp;"|"&amp;D369&amp;"|"&amp;J369,"")</f>
        <v/>
      </c>
      <c t="str" r="V369" s="6">
        <f>IF(C369="План",A369&amp;"|"&amp;J369,"")</f>
        <v/>
      </c>
    </row>
    <row r="370">
      <c r="A370" s="3" t="inlineStr">
        <is>
          <t>ASIAN BUSINESS SOLUTIONS, Узбекистан</t>
        </is>
      </c>
      <c r="B370" s="3" t="inlineStr">
        <is>
          <t>Заруб</t>
        </is>
      </c>
      <c r="C370" s="3" t="inlineStr">
        <is>
          <t>Шкала</t>
        </is>
      </c>
      <c r="D370" s="3" t="inlineStr">
        <is>
          <t>Оборудование</t>
        </is>
      </c>
      <c r="E370" s="3" t="inlineStr">
        <is>
          <t>Оборудование — за полугодие</t>
        </is>
      </c>
      <c r="F370" s="3" t="inlineStr">
        <is>
          <t>Наличие сервисного центра и гарантийное обслуживание</t>
        </is>
      </c>
      <c r="G370" s="4" t="n">
        <v>2</v>
      </c>
      <c r="H370" s="4" t="n"/>
      <c r="I370" s="3" t="inlineStr">
        <is>
          <t>150-189</t>
        </is>
      </c>
      <c r="J370" s="4" t="n">
        <v>4</v>
      </c>
      <c r="K370" s="4" t="n"/>
      <c r="L370" s="4" t="n"/>
      <c r="M370" s="8" t="n">
        <v>0.01</v>
      </c>
      <c r="N370" s="4" t="inlineStr">
        <is>
          <t>%</t>
        </is>
      </c>
      <c r="O370" s="3" t="inlineStr">
        <is>
          <t>ABS</t>
        </is>
      </c>
      <c r="P370" s="3" t="inlineStr">
        <is>
          <t>H15</t>
        </is>
      </c>
      <c t="str" r="Q370" s="6">
        <f>A370&amp;"|"&amp;C370&amp;"|"&amp;D370&amp;"|"&amp;G370</f>
        <v>ASIAN BUSINESS SOLUTIONS, Узбекистан|Шкала|Оборудование|2</v>
      </c>
      <c t="str" r="R370" s="6">
        <f>A370&amp;"|"&amp;C370&amp;"|"&amp;D370&amp;"|"&amp;J370</f>
        <v>ASIAN BUSINESS SOLUTIONS, Узбекистан|Шкала|Оборудование|4</v>
      </c>
      <c t="str" r="S370" s="6">
        <f>A370&amp;"|"&amp;C370&amp;"|"&amp;D370&amp;"|"&amp;G370&amp;"|"&amp;J370</f>
        <v>ASIAN BUSINESS SOLUTIONS, Узбекистан|Шкала|Оборудование|2|4</v>
      </c>
      <c t="str" r="T370" s="6">
        <f>A370&amp;"|"&amp;C370&amp;"|"&amp;G370</f>
        <v>ASIAN BUSINESS SOLUTIONS, Узбекистан|Шкала|2</v>
      </c>
      <c t="str" r="U370" s="6">
        <f>IF(H370="да",A370&amp;"|"&amp;C370&amp;"|"&amp;D370&amp;"|"&amp;J370,"")</f>
        <v/>
      </c>
      <c t="str" r="V370" s="6">
        <f>IF(C370="План",A370&amp;"|"&amp;J370,"")</f>
        <v/>
      </c>
    </row>
    <row r="371">
      <c r="A371" s="3" t="inlineStr">
        <is>
          <t>ASIAN BUSINESS SOLUTIONS, Узбекистан</t>
        </is>
      </c>
      <c r="B371" s="3" t="inlineStr">
        <is>
          <t>Заруб</t>
        </is>
      </c>
      <c r="C371" s="3" t="inlineStr">
        <is>
          <t>Шкала</t>
        </is>
      </c>
      <c r="D371" s="3" t="inlineStr">
        <is>
          <t>Оборудование</t>
        </is>
      </c>
      <c r="E371" s="3" t="inlineStr">
        <is>
          <t>Оборудование — за полугодие</t>
        </is>
      </c>
      <c r="F371" s="3" t="inlineStr">
        <is>
          <t>Наличие сервисного центра и гарантийное обслуживание</t>
        </is>
      </c>
      <c r="G371" s="4" t="n">
        <v>2</v>
      </c>
      <c r="H371" s="4" t="n"/>
      <c r="I371" s="3" t="inlineStr">
        <is>
          <t>190-224</t>
        </is>
      </c>
      <c r="J371" s="4" t="n">
        <v>5</v>
      </c>
      <c r="K371" s="4" t="n"/>
      <c r="L371" s="4" t="n"/>
      <c r="M371" s="8" t="n">
        <v>0.01</v>
      </c>
      <c r="N371" s="4" t="inlineStr">
        <is>
          <t>%</t>
        </is>
      </c>
      <c r="O371" s="3" t="inlineStr">
        <is>
          <t>ABS</t>
        </is>
      </c>
      <c r="P371" s="3" t="inlineStr">
        <is>
          <t>I15</t>
        </is>
      </c>
      <c t="str" r="Q371" s="6">
        <f>A371&amp;"|"&amp;C371&amp;"|"&amp;D371&amp;"|"&amp;G371</f>
        <v>ASIAN BUSINESS SOLUTIONS, Узбекистан|Шкала|Оборудование|2</v>
      </c>
      <c t="str" r="R371" s="6">
        <f>A371&amp;"|"&amp;C371&amp;"|"&amp;D371&amp;"|"&amp;J371</f>
        <v>ASIAN BUSINESS SOLUTIONS, Узбекистан|Шкала|Оборудование|5</v>
      </c>
      <c t="str" r="S371" s="6">
        <f>A371&amp;"|"&amp;C371&amp;"|"&amp;D371&amp;"|"&amp;G371&amp;"|"&amp;J371</f>
        <v>ASIAN BUSINESS SOLUTIONS, Узбекистан|Шкала|Оборудование|2|5</v>
      </c>
      <c t="str" r="T371" s="6">
        <f>A371&amp;"|"&amp;C371&amp;"|"&amp;G371</f>
        <v>ASIAN BUSINESS SOLUTIONS, Узбекистан|Шкала|2</v>
      </c>
      <c t="str" r="U371" s="6">
        <f>IF(H371="да",A371&amp;"|"&amp;C371&amp;"|"&amp;D371&amp;"|"&amp;J371,"")</f>
        <v/>
      </c>
      <c t="str" r="V371" s="6">
        <f>IF(C371="План",A371&amp;"|"&amp;J371,"")</f>
        <v/>
      </c>
    </row>
    <row r="372">
      <c r="A372" s="3" t="inlineStr">
        <is>
          <t>ASIAN BUSINESS SOLUTIONS, Узбекистан</t>
        </is>
      </c>
      <c r="B372" s="3" t="inlineStr">
        <is>
          <t>Заруб</t>
        </is>
      </c>
      <c r="C372" s="3" t="inlineStr">
        <is>
          <t>Шкала</t>
        </is>
      </c>
      <c r="D372" s="3" t="inlineStr">
        <is>
          <t>Оборудование</t>
        </is>
      </c>
      <c r="E372" s="3" t="inlineStr">
        <is>
          <t>Оборудование — за полугодие</t>
        </is>
      </c>
      <c r="F372" s="3" t="inlineStr">
        <is>
          <t>Наличие сервисного центра и гарантийное обслуживание</t>
        </is>
      </c>
      <c r="G372" s="4" t="n">
        <v>2</v>
      </c>
      <c r="H372" s="4" t="n"/>
      <c r="I372" s="3" t="inlineStr">
        <is>
          <t>225 и более</t>
        </is>
      </c>
      <c r="J372" s="4" t="n">
        <v>6</v>
      </c>
      <c r="K372" s="4" t="n"/>
      <c r="L372" s="4" t="n"/>
      <c r="M372" s="8" t="n">
        <v>0.01</v>
      </c>
      <c r="N372" s="4" t="inlineStr">
        <is>
          <t>%</t>
        </is>
      </c>
      <c r="O372" s="3" t="inlineStr">
        <is>
          <t>ABS</t>
        </is>
      </c>
      <c r="P372" s="3" t="inlineStr">
        <is>
          <t>J15</t>
        </is>
      </c>
      <c t="str" r="Q372" s="6">
        <f>A372&amp;"|"&amp;C372&amp;"|"&amp;D372&amp;"|"&amp;G372</f>
        <v>ASIAN BUSINESS SOLUTIONS, Узбекистан|Шкала|Оборудование|2</v>
      </c>
      <c t="str" r="R372" s="6">
        <f>A372&amp;"|"&amp;C372&amp;"|"&amp;D372&amp;"|"&amp;J372</f>
        <v>ASIAN BUSINESS SOLUTIONS, Узбекистан|Шкала|Оборудование|6</v>
      </c>
      <c t="str" r="S372" s="6">
        <f>A372&amp;"|"&amp;C372&amp;"|"&amp;D372&amp;"|"&amp;G372&amp;"|"&amp;J372</f>
        <v>ASIAN BUSINESS SOLUTIONS, Узбекистан|Шкала|Оборудование|2|6</v>
      </c>
      <c t="str" r="T372" s="6">
        <f>A372&amp;"|"&amp;C372&amp;"|"&amp;G372</f>
        <v>ASIAN BUSINESS SOLUTIONS, Узбекистан|Шкала|2</v>
      </c>
      <c t="str" r="U372" s="6">
        <f>IF(H372="да",A372&amp;"|"&amp;C372&amp;"|"&amp;D372&amp;"|"&amp;J372,"")</f>
        <v/>
      </c>
      <c t="str" r="V372" s="6">
        <f>IF(C372="План",A372&amp;"|"&amp;J372,"")</f>
        <v/>
      </c>
    </row>
    <row r="373">
      <c r="A373" s="3" t="inlineStr">
        <is>
          <t>ASIAN BUSINESS SOLUTIONS, Узбекистан</t>
        </is>
      </c>
      <c r="B373" s="3" t="inlineStr">
        <is>
          <t>Заруб</t>
        </is>
      </c>
      <c r="C373" s="3" t="inlineStr">
        <is>
          <t>Шкала</t>
        </is>
      </c>
      <c r="D373" s="3" t="inlineStr">
        <is>
          <t>Оборудование</t>
        </is>
      </c>
      <c r="E373" s="3" t="inlineStr">
        <is>
          <t>Оборудование — за полугодие</t>
        </is>
      </c>
      <c r="F373" s="3" t="inlineStr">
        <is>
          <t>Объем закупок МП</t>
        </is>
      </c>
      <c r="G373" s="4" t="n">
        <v>3</v>
      </c>
      <c r="H373" s="4" t="n"/>
      <c r="I373" s="3" t="inlineStr">
        <is>
          <t>до 75</t>
        </is>
      </c>
      <c r="J373" s="4" t="n">
        <v>1</v>
      </c>
      <c r="K373" s="4" t="n"/>
      <c r="L373" s="4" t="n"/>
      <c r="M373" s="8" t="n">
        <v>0.07000000000000001</v>
      </c>
      <c r="N373" s="4" t="inlineStr">
        <is>
          <t>%</t>
        </is>
      </c>
      <c r="O373" s="3" t="inlineStr">
        <is>
          <t>ABS</t>
        </is>
      </c>
      <c r="P373" s="3" t="inlineStr">
        <is>
          <t>E16</t>
        </is>
      </c>
      <c t="str" r="Q373" s="6">
        <f>A373&amp;"|"&amp;C373&amp;"|"&amp;D373&amp;"|"&amp;G373</f>
        <v>ASIAN BUSINESS SOLUTIONS, Узбекистан|Шкала|Оборудование|3</v>
      </c>
      <c t="str" r="R373" s="6">
        <f>A373&amp;"|"&amp;C373&amp;"|"&amp;D373&amp;"|"&amp;J373</f>
        <v>ASIAN BUSINESS SOLUTIONS, Узбекистан|Шкала|Оборудование|1</v>
      </c>
      <c t="str" r="S373" s="6">
        <f>A373&amp;"|"&amp;C373&amp;"|"&amp;D373&amp;"|"&amp;G373&amp;"|"&amp;J373</f>
        <v>ASIAN BUSINESS SOLUTIONS, Узбекистан|Шкала|Оборудование|3|1</v>
      </c>
      <c t="str" r="T373" s="6">
        <f>A373&amp;"|"&amp;C373&amp;"|"&amp;G373</f>
        <v>ASIAN BUSINESS SOLUTIONS, Узбекистан|Шкала|3</v>
      </c>
      <c t="str" r="U373" s="6">
        <f>IF(H373="да",A373&amp;"|"&amp;C373&amp;"|"&amp;D373&amp;"|"&amp;J373,"")</f>
        <v/>
      </c>
      <c t="str" r="V373" s="6">
        <f>IF(C373="План",A373&amp;"|"&amp;J373,"")</f>
        <v/>
      </c>
    </row>
    <row r="374">
      <c r="A374" s="3" t="inlineStr">
        <is>
          <t>ASIAN BUSINESS SOLUTIONS, Узбекистан</t>
        </is>
      </c>
      <c r="B374" s="3" t="inlineStr">
        <is>
          <t>Заруб</t>
        </is>
      </c>
      <c r="C374" s="3" t="inlineStr">
        <is>
          <t>Шкала</t>
        </is>
      </c>
      <c r="D374" s="3" t="inlineStr">
        <is>
          <t>Оборудование</t>
        </is>
      </c>
      <c r="E374" s="3" t="inlineStr">
        <is>
          <t>Оборудование — за полугодие</t>
        </is>
      </c>
      <c r="F374" s="3" t="inlineStr">
        <is>
          <t>Объем закупок МП</t>
        </is>
      </c>
      <c r="G374" s="4" t="n">
        <v>3</v>
      </c>
      <c r="H374" s="4" t="n"/>
      <c r="I374" s="3" t="inlineStr">
        <is>
          <t>75-114</t>
        </is>
      </c>
      <c r="J374" s="4" t="n">
        <v>2</v>
      </c>
      <c r="K374" s="4" t="n"/>
      <c r="L374" s="4" t="n"/>
      <c r="M374" s="8" t="n">
        <v>0.09</v>
      </c>
      <c r="N374" s="4" t="inlineStr">
        <is>
          <t>%</t>
        </is>
      </c>
      <c r="O374" s="3" t="inlineStr">
        <is>
          <t>ABS</t>
        </is>
      </c>
      <c r="P374" s="3" t="inlineStr">
        <is>
          <t>F16</t>
        </is>
      </c>
      <c t="str" r="Q374" s="6">
        <f>A374&amp;"|"&amp;C374&amp;"|"&amp;D374&amp;"|"&amp;G374</f>
        <v>ASIAN BUSINESS SOLUTIONS, Узбекистан|Шкала|Оборудование|3</v>
      </c>
      <c t="str" r="R374" s="6">
        <f>A374&amp;"|"&amp;C374&amp;"|"&amp;D374&amp;"|"&amp;J374</f>
        <v>ASIAN BUSINESS SOLUTIONS, Узбекистан|Шкала|Оборудование|2</v>
      </c>
      <c t="str" r="S374" s="6">
        <f>A374&amp;"|"&amp;C374&amp;"|"&amp;D374&amp;"|"&amp;G374&amp;"|"&amp;J374</f>
        <v>ASIAN BUSINESS SOLUTIONS, Узбекистан|Шкала|Оборудование|3|2</v>
      </c>
      <c t="str" r="T374" s="6">
        <f>A374&amp;"|"&amp;C374&amp;"|"&amp;G374</f>
        <v>ASIAN BUSINESS SOLUTIONS, Узбекистан|Шкала|3</v>
      </c>
      <c t="str" r="U374" s="6">
        <f>IF(H374="да",A374&amp;"|"&amp;C374&amp;"|"&amp;D374&amp;"|"&amp;J374,"")</f>
        <v/>
      </c>
      <c t="str" r="V374" s="6">
        <f>IF(C374="План",A374&amp;"|"&amp;J374,"")</f>
        <v/>
      </c>
    </row>
    <row r="375">
      <c r="A375" s="3" t="inlineStr">
        <is>
          <t>ASIAN BUSINESS SOLUTIONS, Узбекистан</t>
        </is>
      </c>
      <c r="B375" s="3" t="inlineStr">
        <is>
          <t>Заруб</t>
        </is>
      </c>
      <c r="C375" s="3" t="inlineStr">
        <is>
          <t>Шкала</t>
        </is>
      </c>
      <c r="D375" s="3" t="inlineStr">
        <is>
          <t>Оборудование</t>
        </is>
      </c>
      <c r="E375" s="3" t="inlineStr">
        <is>
          <t>Оборудование — за полугодие</t>
        </is>
      </c>
      <c r="F375" s="3" t="inlineStr">
        <is>
          <t>Объем закупок МП</t>
        </is>
      </c>
      <c r="G375" s="4" t="n">
        <v>3</v>
      </c>
      <c r="H375" s="4" t="n"/>
      <c r="I375" s="3" t="inlineStr">
        <is>
          <t>115-149</t>
        </is>
      </c>
      <c r="J375" s="4" t="n">
        <v>3</v>
      </c>
      <c r="K375" s="4" t="n"/>
      <c r="L375" s="4" t="n"/>
      <c r="M375" s="8" t="n">
        <v>0.1</v>
      </c>
      <c r="N375" s="4" t="inlineStr">
        <is>
          <t>%</t>
        </is>
      </c>
      <c r="O375" s="3" t="inlineStr">
        <is>
          <t>ABS</t>
        </is>
      </c>
      <c r="P375" s="3" t="inlineStr">
        <is>
          <t>G16</t>
        </is>
      </c>
      <c t="str" r="Q375" s="6">
        <f>A375&amp;"|"&amp;C375&amp;"|"&amp;D375&amp;"|"&amp;G375</f>
        <v>ASIAN BUSINESS SOLUTIONS, Узбекистан|Шкала|Оборудование|3</v>
      </c>
      <c t="str" r="R375" s="6">
        <f>A375&amp;"|"&amp;C375&amp;"|"&amp;D375&amp;"|"&amp;J375</f>
        <v>ASIAN BUSINESS SOLUTIONS, Узбекистан|Шкала|Оборудование|3</v>
      </c>
      <c t="str" r="S375" s="6">
        <f>A375&amp;"|"&amp;C375&amp;"|"&amp;D375&amp;"|"&amp;G375&amp;"|"&amp;J375</f>
        <v>ASIAN BUSINESS SOLUTIONS, Узбекистан|Шкала|Оборудование|3|3</v>
      </c>
      <c t="str" r="T375" s="6">
        <f>A375&amp;"|"&amp;C375&amp;"|"&amp;G375</f>
        <v>ASIAN BUSINESS SOLUTIONS, Узбекистан|Шкала|3</v>
      </c>
      <c t="str" r="U375" s="6">
        <f>IF(H375="да",A375&amp;"|"&amp;C375&amp;"|"&amp;D375&amp;"|"&amp;J375,"")</f>
        <v/>
      </c>
      <c t="str" r="V375" s="6">
        <f>IF(C375="План",A375&amp;"|"&amp;J375,"")</f>
        <v/>
      </c>
    </row>
    <row r="376">
      <c r="A376" s="3" t="inlineStr">
        <is>
          <t>ASIAN BUSINESS SOLUTIONS, Узбекистан</t>
        </is>
      </c>
      <c r="B376" s="3" t="inlineStr">
        <is>
          <t>Заруб</t>
        </is>
      </c>
      <c r="C376" s="3" t="inlineStr">
        <is>
          <t>Шкала</t>
        </is>
      </c>
      <c r="D376" s="3" t="inlineStr">
        <is>
          <t>Оборудование</t>
        </is>
      </c>
      <c r="E376" s="3" t="inlineStr">
        <is>
          <t>Оборудование — за полугодие</t>
        </is>
      </c>
      <c r="F376" s="3" t="inlineStr">
        <is>
          <t>Объем закупок МП</t>
        </is>
      </c>
      <c r="G376" s="4" t="n">
        <v>3</v>
      </c>
      <c r="H376" s="4" t="n"/>
      <c r="I376" s="3" t="inlineStr">
        <is>
          <t>150-189</t>
        </is>
      </c>
      <c r="J376" s="4" t="n">
        <v>4</v>
      </c>
      <c r="K376" s="4" t="n"/>
      <c r="L376" s="4" t="n"/>
      <c r="M376" s="8" t="n">
        <v>0.11</v>
      </c>
      <c r="N376" s="4" t="inlineStr">
        <is>
          <t>%</t>
        </is>
      </c>
      <c r="O376" s="3" t="inlineStr">
        <is>
          <t>ABS</t>
        </is>
      </c>
      <c r="P376" s="3" t="inlineStr">
        <is>
          <t>H16</t>
        </is>
      </c>
      <c t="str" r="Q376" s="6">
        <f>A376&amp;"|"&amp;C376&amp;"|"&amp;D376&amp;"|"&amp;G376</f>
        <v>ASIAN BUSINESS SOLUTIONS, Узбекистан|Шкала|Оборудование|3</v>
      </c>
      <c t="str" r="R376" s="6">
        <f>A376&amp;"|"&amp;C376&amp;"|"&amp;D376&amp;"|"&amp;J376</f>
        <v>ASIAN BUSINESS SOLUTIONS, Узбекистан|Шкала|Оборудование|4</v>
      </c>
      <c t="str" r="S376" s="6">
        <f>A376&amp;"|"&amp;C376&amp;"|"&amp;D376&amp;"|"&amp;G376&amp;"|"&amp;J376</f>
        <v>ASIAN BUSINESS SOLUTIONS, Узбекистан|Шкала|Оборудование|3|4</v>
      </c>
      <c t="str" r="T376" s="6">
        <f>A376&amp;"|"&amp;C376&amp;"|"&amp;G376</f>
        <v>ASIAN BUSINESS SOLUTIONS, Узбекистан|Шкала|3</v>
      </c>
      <c t="str" r="U376" s="6">
        <f>IF(H376="да",A376&amp;"|"&amp;C376&amp;"|"&amp;D376&amp;"|"&amp;J376,"")</f>
        <v/>
      </c>
      <c t="str" r="V376" s="6">
        <f>IF(C376="План",A376&amp;"|"&amp;J376,"")</f>
        <v/>
      </c>
    </row>
    <row r="377">
      <c r="A377" s="3" t="inlineStr">
        <is>
          <t>ASIAN BUSINESS SOLUTIONS, Узбекистан</t>
        </is>
      </c>
      <c r="B377" s="3" t="inlineStr">
        <is>
          <t>Заруб</t>
        </is>
      </c>
      <c r="C377" s="3" t="inlineStr">
        <is>
          <t>Шкала</t>
        </is>
      </c>
      <c r="D377" s="3" t="inlineStr">
        <is>
          <t>Оборудование</t>
        </is>
      </c>
      <c r="E377" s="3" t="inlineStr">
        <is>
          <t>Оборудование — за полугодие</t>
        </is>
      </c>
      <c r="F377" s="3" t="inlineStr">
        <is>
          <t>Объем закупок МП</t>
        </is>
      </c>
      <c r="G377" s="4" t="n">
        <v>3</v>
      </c>
      <c r="H377" s="4" t="n"/>
      <c r="I377" s="3" t="inlineStr">
        <is>
          <t>190-224</t>
        </is>
      </c>
      <c r="J377" s="4" t="n">
        <v>5</v>
      </c>
      <c r="K377" s="4" t="n"/>
      <c r="L377" s="4" t="n"/>
      <c r="M377" s="8" t="n">
        <v>0.12</v>
      </c>
      <c r="N377" s="4" t="inlineStr">
        <is>
          <t>%</t>
        </is>
      </c>
      <c r="O377" s="3" t="inlineStr">
        <is>
          <t>ABS</t>
        </is>
      </c>
      <c r="P377" s="3" t="inlineStr">
        <is>
          <t>I16</t>
        </is>
      </c>
      <c t="str" r="Q377" s="6">
        <f>A377&amp;"|"&amp;C377&amp;"|"&amp;D377&amp;"|"&amp;G377</f>
        <v>ASIAN BUSINESS SOLUTIONS, Узбекистан|Шкала|Оборудование|3</v>
      </c>
      <c t="str" r="R377" s="6">
        <f>A377&amp;"|"&amp;C377&amp;"|"&amp;D377&amp;"|"&amp;J377</f>
        <v>ASIAN BUSINESS SOLUTIONS, Узбекистан|Шкала|Оборудование|5</v>
      </c>
      <c t="str" r="S377" s="6">
        <f>A377&amp;"|"&amp;C377&amp;"|"&amp;D377&amp;"|"&amp;G377&amp;"|"&amp;J377</f>
        <v>ASIAN BUSINESS SOLUTIONS, Узбекистан|Шкала|Оборудование|3|5</v>
      </c>
      <c t="str" r="T377" s="6">
        <f>A377&amp;"|"&amp;C377&amp;"|"&amp;G377</f>
        <v>ASIAN BUSINESS SOLUTIONS, Узбекистан|Шкала|3</v>
      </c>
      <c t="str" r="U377" s="6">
        <f>IF(H377="да",A377&amp;"|"&amp;C377&amp;"|"&amp;D377&amp;"|"&amp;J377,"")</f>
        <v/>
      </c>
      <c t="str" r="V377" s="6">
        <f>IF(C377="План",A377&amp;"|"&amp;J377,"")</f>
        <v/>
      </c>
    </row>
    <row r="378">
      <c r="A378" s="3" t="inlineStr">
        <is>
          <t>ASIAN BUSINESS SOLUTIONS, Узбекистан</t>
        </is>
      </c>
      <c r="B378" s="3" t="inlineStr">
        <is>
          <t>Заруб</t>
        </is>
      </c>
      <c r="C378" s="3" t="inlineStr">
        <is>
          <t>Шкала</t>
        </is>
      </c>
      <c r="D378" s="3" t="inlineStr">
        <is>
          <t>Оборудование</t>
        </is>
      </c>
      <c r="E378" s="3" t="inlineStr">
        <is>
          <t>Оборудование — за полугодие</t>
        </is>
      </c>
      <c r="F378" s="3" t="inlineStr">
        <is>
          <t>Объем закупок МП</t>
        </is>
      </c>
      <c r="G378" s="4" t="n">
        <v>3</v>
      </c>
      <c r="H378" s="4" t="n"/>
      <c r="I378" s="3" t="inlineStr">
        <is>
          <t>225 и более</t>
        </is>
      </c>
      <c r="J378" s="4" t="n">
        <v>6</v>
      </c>
      <c r="K378" s="4" t="n"/>
      <c r="L378" s="4" t="n"/>
      <c r="M378" s="8" t="n">
        <v>0.13</v>
      </c>
      <c r="N378" s="4" t="inlineStr">
        <is>
          <t>%</t>
        </is>
      </c>
      <c r="O378" s="3" t="inlineStr">
        <is>
          <t>ABS</t>
        </is>
      </c>
      <c r="P378" s="3" t="inlineStr">
        <is>
          <t>J16</t>
        </is>
      </c>
      <c t="str" r="Q378" s="6">
        <f>A378&amp;"|"&amp;C378&amp;"|"&amp;D378&amp;"|"&amp;G378</f>
        <v>ASIAN BUSINESS SOLUTIONS, Узбекистан|Шкала|Оборудование|3</v>
      </c>
      <c t="str" r="R378" s="6">
        <f>A378&amp;"|"&amp;C378&amp;"|"&amp;D378&amp;"|"&amp;J378</f>
        <v>ASIAN BUSINESS SOLUTIONS, Узбекистан|Шкала|Оборудование|6</v>
      </c>
      <c t="str" r="S378" s="6">
        <f>A378&amp;"|"&amp;C378&amp;"|"&amp;D378&amp;"|"&amp;G378&amp;"|"&amp;J378</f>
        <v>ASIAN BUSINESS SOLUTIONS, Узбекистан|Шкала|Оборудование|3|6</v>
      </c>
      <c t="str" r="T378" s="6">
        <f>A378&amp;"|"&amp;C378&amp;"|"&amp;G378</f>
        <v>ASIAN BUSINESS SOLUTIONS, Узбекистан|Шкала|3</v>
      </c>
      <c t="str" r="U378" s="6">
        <f>IF(H378="да",A378&amp;"|"&amp;C378&amp;"|"&amp;D378&amp;"|"&amp;J378,"")</f>
        <v/>
      </c>
      <c t="str" r="V378" s="6">
        <f>IF(C378="План",A378&amp;"|"&amp;J378,"")</f>
        <v/>
      </c>
    </row>
    <row r="379">
      <c r="A379" s="3" t="inlineStr">
        <is>
          <t>ASIAN BUSINESS SOLUTIONS, Узбекистан</t>
        </is>
      </c>
      <c r="B379" s="3" t="inlineStr">
        <is>
          <t>Заруб</t>
        </is>
      </c>
      <c r="C379" s="3" t="inlineStr">
        <is>
          <t>Шкала</t>
        </is>
      </c>
      <c r="D379" s="3" t="inlineStr">
        <is>
          <t>Оборудование</t>
        </is>
      </c>
      <c r="E379" s="3" t="inlineStr">
        <is>
          <t>Оборудование — за полугодие</t>
        </is>
      </c>
      <c r="F379" s="3" t="inlineStr">
        <is>
          <t>ИТОГО</t>
        </is>
      </c>
      <c r="G379" s="4" t="n">
        <v>4</v>
      </c>
      <c r="H379" s="4" t="inlineStr">
        <is>
          <t>да</t>
        </is>
      </c>
      <c r="I379" s="3" t="inlineStr">
        <is>
          <t>до 75</t>
        </is>
      </c>
      <c r="J379" s="4" t="n">
        <v>1</v>
      </c>
      <c r="K379" s="4" t="n"/>
      <c r="L379" s="4" t="n"/>
      <c r="M379" s="8" t="n">
        <v>0.14</v>
      </c>
      <c r="N379" s="4" t="inlineStr">
        <is>
          <t>%</t>
        </is>
      </c>
      <c r="O379" s="3" t="inlineStr">
        <is>
          <t>ABS</t>
        </is>
      </c>
      <c r="P379" s="3" t="inlineStr">
        <is>
          <t>E17</t>
        </is>
      </c>
      <c t="str" r="Q379" s="6">
        <f>A379&amp;"|"&amp;C379&amp;"|"&amp;D379&amp;"|"&amp;G379</f>
        <v>ASIAN BUSINESS SOLUTIONS, Узбекистан|Шкала|Оборудование|4</v>
      </c>
      <c t="str" r="R379" s="6">
        <f>A379&amp;"|"&amp;C379&amp;"|"&amp;D379&amp;"|"&amp;J379</f>
        <v>ASIAN BUSINESS SOLUTIONS, Узбекистан|Шкала|Оборудование|1</v>
      </c>
      <c t="str" r="S379" s="6">
        <f>A379&amp;"|"&amp;C379&amp;"|"&amp;D379&amp;"|"&amp;G379&amp;"|"&amp;J379</f>
        <v>ASIAN BUSINESS SOLUTIONS, Узбекистан|Шкала|Оборудование|4|1</v>
      </c>
      <c t="str" r="T379" s="6">
        <f>A379&amp;"|"&amp;C379&amp;"|"&amp;G379</f>
        <v>ASIAN BUSINESS SOLUTIONS, Узбекистан|Шкала|4</v>
      </c>
      <c t="str" r="U379" s="6">
        <f>IF(H379="да",A379&amp;"|"&amp;C379&amp;"|"&amp;D379&amp;"|"&amp;J379,"")</f>
        <v>ASIAN BUSINESS SOLUTIONS, Узбекистан|Шкала|Оборудование|1</v>
      </c>
      <c t="str" r="V379" s="6">
        <f>IF(C379="План",A379&amp;"|"&amp;J379,"")</f>
        <v/>
      </c>
    </row>
    <row r="380">
      <c r="A380" s="3" t="inlineStr">
        <is>
          <t>ASIAN BUSINESS SOLUTIONS, Узбекистан</t>
        </is>
      </c>
      <c r="B380" s="3" t="inlineStr">
        <is>
          <t>Заруб</t>
        </is>
      </c>
      <c r="C380" s="3" t="inlineStr">
        <is>
          <t>Шкала</t>
        </is>
      </c>
      <c r="D380" s="3" t="inlineStr">
        <is>
          <t>Оборудование</t>
        </is>
      </c>
      <c r="E380" s="3" t="inlineStr">
        <is>
          <t>Оборудование — за полугодие</t>
        </is>
      </c>
      <c r="F380" s="3" t="inlineStr">
        <is>
          <t>ИТОГО</t>
        </is>
      </c>
      <c r="G380" s="4" t="n">
        <v>4</v>
      </c>
      <c r="H380" s="4" t="inlineStr">
        <is>
          <t>да</t>
        </is>
      </c>
      <c r="I380" s="3" t="inlineStr">
        <is>
          <t>75-114</t>
        </is>
      </c>
      <c r="J380" s="4" t="n">
        <v>2</v>
      </c>
      <c r="K380" s="4" t="n"/>
      <c r="L380" s="4" t="n"/>
      <c r="M380" s="8" t="n">
        <v>0.16</v>
      </c>
      <c r="N380" s="4" t="inlineStr">
        <is>
          <t>%</t>
        </is>
      </c>
      <c r="O380" s="3" t="inlineStr">
        <is>
          <t>ABS</t>
        </is>
      </c>
      <c r="P380" s="3" t="inlineStr">
        <is>
          <t>F17</t>
        </is>
      </c>
      <c t="str" r="Q380" s="6">
        <f>A380&amp;"|"&amp;C380&amp;"|"&amp;D380&amp;"|"&amp;G380</f>
        <v>ASIAN BUSINESS SOLUTIONS, Узбекистан|Шкала|Оборудование|4</v>
      </c>
      <c t="str" r="R380" s="6">
        <f>A380&amp;"|"&amp;C380&amp;"|"&amp;D380&amp;"|"&amp;J380</f>
        <v>ASIAN BUSINESS SOLUTIONS, Узбекистан|Шкала|Оборудование|2</v>
      </c>
      <c t="str" r="S380" s="6">
        <f>A380&amp;"|"&amp;C380&amp;"|"&amp;D380&amp;"|"&amp;G380&amp;"|"&amp;J380</f>
        <v>ASIAN BUSINESS SOLUTIONS, Узбекистан|Шкала|Оборудование|4|2</v>
      </c>
      <c t="str" r="T380" s="6">
        <f>A380&amp;"|"&amp;C380&amp;"|"&amp;G380</f>
        <v>ASIAN BUSINESS SOLUTIONS, Узбекистан|Шкала|4</v>
      </c>
      <c t="str" r="U380" s="6">
        <f>IF(H380="да",A380&amp;"|"&amp;C380&amp;"|"&amp;D380&amp;"|"&amp;J380,"")</f>
        <v>ASIAN BUSINESS SOLUTIONS, Узбекистан|Шкала|Оборудование|2</v>
      </c>
      <c t="str" r="V380" s="6">
        <f>IF(C380="План",A380&amp;"|"&amp;J380,"")</f>
        <v/>
      </c>
    </row>
    <row r="381">
      <c r="A381" s="3" t="inlineStr">
        <is>
          <t>ASIAN BUSINESS SOLUTIONS, Узбекистан</t>
        </is>
      </c>
      <c r="B381" s="3" t="inlineStr">
        <is>
          <t>Заруб</t>
        </is>
      </c>
      <c r="C381" s="3" t="inlineStr">
        <is>
          <t>Шкала</t>
        </is>
      </c>
      <c r="D381" s="3" t="inlineStr">
        <is>
          <t>Оборудование</t>
        </is>
      </c>
      <c r="E381" s="3" t="inlineStr">
        <is>
          <t>Оборудование — за полугодие</t>
        </is>
      </c>
      <c r="F381" s="3" t="inlineStr">
        <is>
          <t>ИТОГО</t>
        </is>
      </c>
      <c r="G381" s="4" t="n">
        <v>4</v>
      </c>
      <c r="H381" s="4" t="inlineStr">
        <is>
          <t>да</t>
        </is>
      </c>
      <c r="I381" s="3" t="inlineStr">
        <is>
          <t>115-149</t>
        </is>
      </c>
      <c r="J381" s="4" t="n">
        <v>3</v>
      </c>
      <c r="K381" s="4" t="n"/>
      <c r="L381" s="4" t="n"/>
      <c r="M381" s="8" t="n">
        <v>0.17</v>
      </c>
      <c r="N381" s="4" t="inlineStr">
        <is>
          <t>%</t>
        </is>
      </c>
      <c r="O381" s="3" t="inlineStr">
        <is>
          <t>ABS</t>
        </is>
      </c>
      <c r="P381" s="3" t="inlineStr">
        <is>
          <t>G17</t>
        </is>
      </c>
      <c t="str" r="Q381" s="6">
        <f>A381&amp;"|"&amp;C381&amp;"|"&amp;D381&amp;"|"&amp;G381</f>
        <v>ASIAN BUSINESS SOLUTIONS, Узбекистан|Шкала|Оборудование|4</v>
      </c>
      <c t="str" r="R381" s="6">
        <f>A381&amp;"|"&amp;C381&amp;"|"&amp;D381&amp;"|"&amp;J381</f>
        <v>ASIAN BUSINESS SOLUTIONS, Узбекистан|Шкала|Оборудование|3</v>
      </c>
      <c t="str" r="S381" s="6">
        <f>A381&amp;"|"&amp;C381&amp;"|"&amp;D381&amp;"|"&amp;G381&amp;"|"&amp;J381</f>
        <v>ASIAN BUSINESS SOLUTIONS, Узбекистан|Шкала|Оборудование|4|3</v>
      </c>
      <c t="str" r="T381" s="6">
        <f>A381&amp;"|"&amp;C381&amp;"|"&amp;G381</f>
        <v>ASIAN BUSINESS SOLUTIONS, Узбекистан|Шкала|4</v>
      </c>
      <c t="str" r="U381" s="6">
        <f>IF(H381="да",A381&amp;"|"&amp;C381&amp;"|"&amp;D381&amp;"|"&amp;J381,"")</f>
        <v>ASIAN BUSINESS SOLUTIONS, Узбекистан|Шкала|Оборудование|3</v>
      </c>
      <c t="str" r="V381" s="6">
        <f>IF(C381="План",A381&amp;"|"&amp;J381,"")</f>
        <v/>
      </c>
    </row>
    <row r="382">
      <c r="A382" s="3" t="inlineStr">
        <is>
          <t>ASIAN BUSINESS SOLUTIONS, Узбекистан</t>
        </is>
      </c>
      <c r="B382" s="3" t="inlineStr">
        <is>
          <t>Заруб</t>
        </is>
      </c>
      <c r="C382" s="3" t="inlineStr">
        <is>
          <t>Шкала</t>
        </is>
      </c>
      <c r="D382" s="3" t="inlineStr">
        <is>
          <t>Оборудование</t>
        </is>
      </c>
      <c r="E382" s="3" t="inlineStr">
        <is>
          <t>Оборудование — за полугодие</t>
        </is>
      </c>
      <c r="F382" s="3" t="inlineStr">
        <is>
          <t>ИТОГО</t>
        </is>
      </c>
      <c r="G382" s="4" t="n">
        <v>4</v>
      </c>
      <c r="H382" s="4" t="inlineStr">
        <is>
          <t>да</t>
        </is>
      </c>
      <c r="I382" s="3" t="inlineStr">
        <is>
          <t>150-189</t>
        </is>
      </c>
      <c r="J382" s="4" t="n">
        <v>4</v>
      </c>
      <c r="K382" s="4" t="n"/>
      <c r="L382" s="4" t="n"/>
      <c r="M382" s="8" t="n">
        <v>0.18</v>
      </c>
      <c r="N382" s="4" t="inlineStr">
        <is>
          <t>%</t>
        </is>
      </c>
      <c r="O382" s="3" t="inlineStr">
        <is>
          <t>ABS</t>
        </is>
      </c>
      <c r="P382" s="3" t="inlineStr">
        <is>
          <t>H17</t>
        </is>
      </c>
      <c t="str" r="Q382" s="6">
        <f>A382&amp;"|"&amp;C382&amp;"|"&amp;D382&amp;"|"&amp;G382</f>
        <v>ASIAN BUSINESS SOLUTIONS, Узбекистан|Шкала|Оборудование|4</v>
      </c>
      <c t="str" r="R382" s="6">
        <f>A382&amp;"|"&amp;C382&amp;"|"&amp;D382&amp;"|"&amp;J382</f>
        <v>ASIAN BUSINESS SOLUTIONS, Узбекистан|Шкала|Оборудование|4</v>
      </c>
      <c t="str" r="S382" s="6">
        <f>A382&amp;"|"&amp;C382&amp;"|"&amp;D382&amp;"|"&amp;G382&amp;"|"&amp;J382</f>
        <v>ASIAN BUSINESS SOLUTIONS, Узбекистан|Шкала|Оборудование|4|4</v>
      </c>
      <c t="str" r="T382" s="6">
        <f>A382&amp;"|"&amp;C382&amp;"|"&amp;G382</f>
        <v>ASIAN BUSINESS SOLUTIONS, Узбекистан|Шкала|4</v>
      </c>
      <c t="str" r="U382" s="6">
        <f>IF(H382="да",A382&amp;"|"&amp;C382&amp;"|"&amp;D382&amp;"|"&amp;J382,"")</f>
        <v>ASIAN BUSINESS SOLUTIONS, Узбекистан|Шкала|Оборудование|4</v>
      </c>
      <c t="str" r="V382" s="6">
        <f>IF(C382="План",A382&amp;"|"&amp;J382,"")</f>
        <v/>
      </c>
    </row>
    <row r="383">
      <c r="A383" s="3" t="inlineStr">
        <is>
          <t>ASIAN BUSINESS SOLUTIONS, Узбекистан</t>
        </is>
      </c>
      <c r="B383" s="3" t="inlineStr">
        <is>
          <t>Заруб</t>
        </is>
      </c>
      <c r="C383" s="3" t="inlineStr">
        <is>
          <t>Шкала</t>
        </is>
      </c>
      <c r="D383" s="3" t="inlineStr">
        <is>
          <t>Оборудование</t>
        </is>
      </c>
      <c r="E383" s="3" t="inlineStr">
        <is>
          <t>Оборудование — за полугодие</t>
        </is>
      </c>
      <c r="F383" s="3" t="inlineStr">
        <is>
          <t>ИТОГО</t>
        </is>
      </c>
      <c r="G383" s="4" t="n">
        <v>4</v>
      </c>
      <c r="H383" s="4" t="inlineStr">
        <is>
          <t>да</t>
        </is>
      </c>
      <c r="I383" s="3" t="inlineStr">
        <is>
          <t>190-224</t>
        </is>
      </c>
      <c r="J383" s="4" t="n">
        <v>5</v>
      </c>
      <c r="K383" s="4" t="n"/>
      <c r="L383" s="4" t="n"/>
      <c r="M383" s="8" t="n">
        <v>0.19</v>
      </c>
      <c r="N383" s="4" t="inlineStr">
        <is>
          <t>%</t>
        </is>
      </c>
      <c r="O383" s="3" t="inlineStr">
        <is>
          <t>ABS</t>
        </is>
      </c>
      <c r="P383" s="3" t="inlineStr">
        <is>
          <t>I17</t>
        </is>
      </c>
      <c t="str" r="Q383" s="6">
        <f>A383&amp;"|"&amp;C383&amp;"|"&amp;D383&amp;"|"&amp;G383</f>
        <v>ASIAN BUSINESS SOLUTIONS, Узбекистан|Шкала|Оборудование|4</v>
      </c>
      <c t="str" r="R383" s="6">
        <f>A383&amp;"|"&amp;C383&amp;"|"&amp;D383&amp;"|"&amp;J383</f>
        <v>ASIAN BUSINESS SOLUTIONS, Узбекистан|Шкала|Оборудование|5</v>
      </c>
      <c t="str" r="S383" s="6">
        <f>A383&amp;"|"&amp;C383&amp;"|"&amp;D383&amp;"|"&amp;G383&amp;"|"&amp;J383</f>
        <v>ASIAN BUSINESS SOLUTIONS, Узбекистан|Шкала|Оборудование|4|5</v>
      </c>
      <c t="str" r="T383" s="6">
        <f>A383&amp;"|"&amp;C383&amp;"|"&amp;G383</f>
        <v>ASIAN BUSINESS SOLUTIONS, Узбекистан|Шкала|4</v>
      </c>
      <c t="str" r="U383" s="6">
        <f>IF(H383="да",A383&amp;"|"&amp;C383&amp;"|"&amp;D383&amp;"|"&amp;J383,"")</f>
        <v>ASIAN BUSINESS SOLUTIONS, Узбекистан|Шкала|Оборудование|5</v>
      </c>
      <c t="str" r="V383" s="6">
        <f>IF(C383="План",A383&amp;"|"&amp;J383,"")</f>
        <v/>
      </c>
    </row>
    <row r="384">
      <c r="A384" s="3" t="inlineStr">
        <is>
          <t>ASIAN BUSINESS SOLUTIONS, Узбекистан</t>
        </is>
      </c>
      <c r="B384" s="3" t="inlineStr">
        <is>
          <t>Заруб</t>
        </is>
      </c>
      <c r="C384" s="3" t="inlineStr">
        <is>
          <t>Шкала</t>
        </is>
      </c>
      <c r="D384" s="3" t="inlineStr">
        <is>
          <t>Оборудование</t>
        </is>
      </c>
      <c r="E384" s="3" t="inlineStr">
        <is>
          <t>Оборудование — за полугодие</t>
        </is>
      </c>
      <c r="F384" s="3" t="inlineStr">
        <is>
          <t>ИТОГО</t>
        </is>
      </c>
      <c r="G384" s="4" t="n">
        <v>4</v>
      </c>
      <c r="H384" s="4" t="inlineStr">
        <is>
          <t>да</t>
        </is>
      </c>
      <c r="I384" s="3" t="inlineStr">
        <is>
          <t>225 и более</t>
        </is>
      </c>
      <c r="J384" s="4" t="n">
        <v>6</v>
      </c>
      <c r="K384" s="4" t="n"/>
      <c r="L384" s="4" t="n"/>
      <c r="M384" s="8" t="n">
        <v>0.2</v>
      </c>
      <c r="N384" s="4" t="inlineStr">
        <is>
          <t>%</t>
        </is>
      </c>
      <c r="O384" s="3" t="inlineStr">
        <is>
          <t>ABS</t>
        </is>
      </c>
      <c r="P384" s="3" t="inlineStr">
        <is>
          <t>J17</t>
        </is>
      </c>
      <c t="str" r="Q384" s="6">
        <f>A384&amp;"|"&amp;C384&amp;"|"&amp;D384&amp;"|"&amp;G384</f>
        <v>ASIAN BUSINESS SOLUTIONS, Узбекистан|Шкала|Оборудование|4</v>
      </c>
      <c t="str" r="R384" s="6">
        <f>A384&amp;"|"&amp;C384&amp;"|"&amp;D384&amp;"|"&amp;J384</f>
        <v>ASIAN BUSINESS SOLUTIONS, Узбекистан|Шкала|Оборудование|6</v>
      </c>
      <c t="str" r="S384" s="6">
        <f>A384&amp;"|"&amp;C384&amp;"|"&amp;D384&amp;"|"&amp;G384&amp;"|"&amp;J384</f>
        <v>ASIAN BUSINESS SOLUTIONS, Узбекистан|Шкала|Оборудование|4|6</v>
      </c>
      <c t="str" r="T384" s="6">
        <f>A384&amp;"|"&amp;C384&amp;"|"&amp;G384</f>
        <v>ASIAN BUSINESS SOLUTIONS, Узбекистан|Шкала|4</v>
      </c>
      <c t="str" r="U384" s="6">
        <f>IF(H384="да",A384&amp;"|"&amp;C384&amp;"|"&amp;D384&amp;"|"&amp;J384,"")</f>
        <v>ASIAN BUSINESS SOLUTIONS, Узбекистан|Шкала|Оборудование|6</v>
      </c>
      <c t="str" r="V384" s="6">
        <f>IF(C384="План",A384&amp;"|"&amp;J384,"")</f>
        <v/>
      </c>
    </row>
    <row r="385">
      <c r="A385" s="3" t="inlineStr">
        <is>
          <t>ASIAN BUSINESS SOLUTIONS, Узбекистан</t>
        </is>
      </c>
      <c r="B385" s="3" t="inlineStr">
        <is>
          <t>Заруб</t>
        </is>
      </c>
      <c r="C385" s="3" t="inlineStr">
        <is>
          <t>Шкала</t>
        </is>
      </c>
      <c r="D385" s="3" t="inlineStr">
        <is>
          <t>Расходные материалы</t>
        </is>
      </c>
      <c r="E385" s="3" t="inlineStr">
        <is>
          <t>Расходные материалы — за полугодие</t>
        </is>
      </c>
      <c r="F385" s="3" t="inlineStr">
        <is>
          <t>Объем закупок РМ</t>
        </is>
      </c>
      <c r="G385" s="4" t="n">
        <v>1</v>
      </c>
      <c r="H385" s="4" t="n"/>
      <c r="I385" s="3" t="inlineStr">
        <is>
          <t>до 24</t>
        </is>
      </c>
      <c r="J385" s="4" t="n">
        <v>1</v>
      </c>
      <c r="K385" s="4" t="n"/>
      <c r="L385" s="4" t="n"/>
      <c r="M385" s="8" t="n">
        <v>0</v>
      </c>
      <c r="N385" s="4" t="inlineStr">
        <is>
          <t>%</t>
        </is>
      </c>
      <c r="O385" s="3" t="inlineStr">
        <is>
          <t>ABS</t>
        </is>
      </c>
      <c r="P385" s="3" t="inlineStr">
        <is>
          <t>E20</t>
        </is>
      </c>
      <c t="str" r="Q385" s="6">
        <f>A385&amp;"|"&amp;C385&amp;"|"&amp;D385&amp;"|"&amp;G385</f>
        <v>ASIAN BUSINESS SOLUTIONS, Узбекистан|Шкала|Расходные материалы|1</v>
      </c>
      <c t="str" r="R385" s="6">
        <f>A385&amp;"|"&amp;C385&amp;"|"&amp;D385&amp;"|"&amp;J385</f>
        <v>ASIAN BUSINESS SOLUTIONS, Узбекистан|Шкала|Расходные материалы|1</v>
      </c>
      <c t="str" r="S385" s="6">
        <f>A385&amp;"|"&amp;C385&amp;"|"&amp;D385&amp;"|"&amp;G385&amp;"|"&amp;J385</f>
        <v>ASIAN BUSINESS SOLUTIONS, Узбекистан|Шкала|Расходные материалы|1|1</v>
      </c>
      <c t="str" r="T385" s="6">
        <f>A385&amp;"|"&amp;C385&amp;"|"&amp;G385</f>
        <v>ASIAN BUSINESS SOLUTIONS, Узбекистан|Шкала|1</v>
      </c>
      <c t="str" r="U385" s="6">
        <f>IF(H385="да",A385&amp;"|"&amp;C385&amp;"|"&amp;D385&amp;"|"&amp;J385,"")</f>
        <v/>
      </c>
      <c t="str" r="V385" s="6">
        <f>IF(C385="План",A385&amp;"|"&amp;J385,"")</f>
        <v/>
      </c>
    </row>
    <row r="386">
      <c r="A386" s="3" t="inlineStr">
        <is>
          <t>ASIAN BUSINESS SOLUTIONS, Узбекистан</t>
        </is>
      </c>
      <c r="B386" s="3" t="inlineStr">
        <is>
          <t>Заруб</t>
        </is>
      </c>
      <c r="C386" s="3" t="inlineStr">
        <is>
          <t>Шкала</t>
        </is>
      </c>
      <c r="D386" s="3" t="inlineStr">
        <is>
          <t>Расходные материалы</t>
        </is>
      </c>
      <c r="E386" s="3" t="inlineStr">
        <is>
          <t>Расходные материалы — за полугодие</t>
        </is>
      </c>
      <c r="F386" s="3" t="inlineStr">
        <is>
          <t>Объем закупок РМ</t>
        </is>
      </c>
      <c r="G386" s="4" t="n">
        <v>1</v>
      </c>
      <c r="H386" s="4" t="n"/>
      <c r="I386" s="3" t="inlineStr">
        <is>
          <t>25-34</t>
        </is>
      </c>
      <c r="J386" s="4" t="n">
        <v>2</v>
      </c>
      <c r="K386" s="4" t="n"/>
      <c r="L386" s="4" t="n"/>
      <c r="M386" s="8" t="n">
        <v>0.01</v>
      </c>
      <c r="N386" s="4" t="inlineStr">
        <is>
          <t>%</t>
        </is>
      </c>
      <c r="O386" s="3" t="inlineStr">
        <is>
          <t>ABS</t>
        </is>
      </c>
      <c r="P386" s="3" t="inlineStr">
        <is>
          <t>F20</t>
        </is>
      </c>
      <c t="str" r="Q386" s="6">
        <f>A386&amp;"|"&amp;C386&amp;"|"&amp;D386&amp;"|"&amp;G386</f>
        <v>ASIAN BUSINESS SOLUTIONS, Узбекистан|Шкала|Расходные материалы|1</v>
      </c>
      <c t="str" r="R386" s="6">
        <f>A386&amp;"|"&amp;C386&amp;"|"&amp;D386&amp;"|"&amp;J386</f>
        <v>ASIAN BUSINESS SOLUTIONS, Узбекистан|Шкала|Расходные материалы|2</v>
      </c>
      <c t="str" r="S386" s="6">
        <f>A386&amp;"|"&amp;C386&amp;"|"&amp;D386&amp;"|"&amp;G386&amp;"|"&amp;J386</f>
        <v>ASIAN BUSINESS SOLUTIONS, Узбекистан|Шкала|Расходные материалы|1|2</v>
      </c>
      <c t="str" r="T386" s="6">
        <f>A386&amp;"|"&amp;C386&amp;"|"&amp;G386</f>
        <v>ASIAN BUSINESS SOLUTIONS, Узбекистан|Шкала|1</v>
      </c>
      <c t="str" r="U386" s="6">
        <f>IF(H386="да",A386&amp;"|"&amp;C386&amp;"|"&amp;D386&amp;"|"&amp;J386,"")</f>
        <v/>
      </c>
      <c t="str" r="V386" s="6">
        <f>IF(C386="План",A386&amp;"|"&amp;J386,"")</f>
        <v/>
      </c>
    </row>
    <row r="387">
      <c r="A387" s="3" t="inlineStr">
        <is>
          <t>ASIAN BUSINESS SOLUTIONS, Узбекистан</t>
        </is>
      </c>
      <c r="B387" s="3" t="inlineStr">
        <is>
          <t>Заруб</t>
        </is>
      </c>
      <c r="C387" s="3" t="inlineStr">
        <is>
          <t>Шкала</t>
        </is>
      </c>
      <c r="D387" s="3" t="inlineStr">
        <is>
          <t>Расходные материалы</t>
        </is>
      </c>
      <c r="E387" s="3" t="inlineStr">
        <is>
          <t>Расходные материалы — за полугодие</t>
        </is>
      </c>
      <c r="F387" s="3" t="inlineStr">
        <is>
          <t>Объем закупок РМ</t>
        </is>
      </c>
      <c r="G387" s="4" t="n">
        <v>1</v>
      </c>
      <c r="H387" s="4" t="n"/>
      <c r="I387" s="3" t="inlineStr">
        <is>
          <t>35-44</t>
        </is>
      </c>
      <c r="J387" s="4" t="n">
        <v>3</v>
      </c>
      <c r="K387" s="4" t="n"/>
      <c r="L387" s="4" t="n"/>
      <c r="M387" s="8" t="n">
        <v>0.02</v>
      </c>
      <c r="N387" s="4" t="inlineStr">
        <is>
          <t>%</t>
        </is>
      </c>
      <c r="O387" s="3" t="inlineStr">
        <is>
          <t>ABS</t>
        </is>
      </c>
      <c r="P387" s="3" t="inlineStr">
        <is>
          <t>G20</t>
        </is>
      </c>
      <c t="str" r="Q387" s="6">
        <f>A387&amp;"|"&amp;C387&amp;"|"&amp;D387&amp;"|"&amp;G387</f>
        <v>ASIAN BUSINESS SOLUTIONS, Узбекистан|Шкала|Расходные материалы|1</v>
      </c>
      <c t="str" r="R387" s="6">
        <f>A387&amp;"|"&amp;C387&amp;"|"&amp;D387&amp;"|"&amp;J387</f>
        <v>ASIAN BUSINESS SOLUTIONS, Узбекистан|Шкала|Расходные материалы|3</v>
      </c>
      <c t="str" r="S387" s="6">
        <f>A387&amp;"|"&amp;C387&amp;"|"&amp;D387&amp;"|"&amp;G387&amp;"|"&amp;J387</f>
        <v>ASIAN BUSINESS SOLUTIONS, Узбекистан|Шкала|Расходные материалы|1|3</v>
      </c>
      <c t="str" r="T387" s="6">
        <f>A387&amp;"|"&amp;C387&amp;"|"&amp;G387</f>
        <v>ASIAN BUSINESS SOLUTIONS, Узбекистан|Шкала|1</v>
      </c>
      <c t="str" r="U387" s="6">
        <f>IF(H387="да",A387&amp;"|"&amp;C387&amp;"|"&amp;D387&amp;"|"&amp;J387,"")</f>
        <v/>
      </c>
      <c t="str" r="V387" s="6">
        <f>IF(C387="План",A387&amp;"|"&amp;J387,"")</f>
        <v/>
      </c>
    </row>
    <row r="388">
      <c r="A388" s="3" t="inlineStr">
        <is>
          <t>ASIAN BUSINESS SOLUTIONS, Узбекистан</t>
        </is>
      </c>
      <c r="B388" s="3" t="inlineStr">
        <is>
          <t>Заруб</t>
        </is>
      </c>
      <c r="C388" s="3" t="inlineStr">
        <is>
          <t>Шкала</t>
        </is>
      </c>
      <c r="D388" s="3" t="inlineStr">
        <is>
          <t>Расходные материалы</t>
        </is>
      </c>
      <c r="E388" s="3" t="inlineStr">
        <is>
          <t>Расходные материалы — за полугодие</t>
        </is>
      </c>
      <c r="F388" s="3" t="inlineStr">
        <is>
          <t>Объем закупок РМ</t>
        </is>
      </c>
      <c r="G388" s="4" t="n">
        <v>1</v>
      </c>
      <c r="H388" s="4" t="n"/>
      <c r="I388" s="3" t="inlineStr">
        <is>
          <t>45-54</t>
        </is>
      </c>
      <c r="J388" s="4" t="n">
        <v>4</v>
      </c>
      <c r="K388" s="4" t="n"/>
      <c r="L388" s="4" t="n"/>
      <c r="M388" s="8" t="n">
        <v>0.03</v>
      </c>
      <c r="N388" s="4" t="inlineStr">
        <is>
          <t>%</t>
        </is>
      </c>
      <c r="O388" s="3" t="inlineStr">
        <is>
          <t>ABS</t>
        </is>
      </c>
      <c r="P388" s="3" t="inlineStr">
        <is>
          <t>H20</t>
        </is>
      </c>
      <c t="str" r="Q388" s="6">
        <f>A388&amp;"|"&amp;C388&amp;"|"&amp;D388&amp;"|"&amp;G388</f>
        <v>ASIAN BUSINESS SOLUTIONS, Узбекистан|Шкала|Расходные материалы|1</v>
      </c>
      <c t="str" r="R388" s="6">
        <f>A388&amp;"|"&amp;C388&amp;"|"&amp;D388&amp;"|"&amp;J388</f>
        <v>ASIAN BUSINESS SOLUTIONS, Узбекистан|Шкала|Расходные материалы|4</v>
      </c>
      <c t="str" r="S388" s="6">
        <f>A388&amp;"|"&amp;C388&amp;"|"&amp;D388&amp;"|"&amp;G388&amp;"|"&amp;J388</f>
        <v>ASIAN BUSINESS SOLUTIONS, Узбекистан|Шкала|Расходные материалы|1|4</v>
      </c>
      <c t="str" r="T388" s="6">
        <f>A388&amp;"|"&amp;C388&amp;"|"&amp;G388</f>
        <v>ASIAN BUSINESS SOLUTIONS, Узбекистан|Шкала|1</v>
      </c>
      <c t="str" r="U388" s="6">
        <f>IF(H388="да",A388&amp;"|"&amp;C388&amp;"|"&amp;D388&amp;"|"&amp;J388,"")</f>
        <v/>
      </c>
      <c t="str" r="V388" s="6">
        <f>IF(C388="План",A388&amp;"|"&amp;J388,"")</f>
        <v/>
      </c>
    </row>
    <row r="389">
      <c r="A389" s="3" t="inlineStr">
        <is>
          <t>ASIAN BUSINESS SOLUTIONS, Узбекистан</t>
        </is>
      </c>
      <c r="B389" s="3" t="inlineStr">
        <is>
          <t>Заруб</t>
        </is>
      </c>
      <c r="C389" s="3" t="inlineStr">
        <is>
          <t>Шкала</t>
        </is>
      </c>
      <c r="D389" s="3" t="inlineStr">
        <is>
          <t>Расходные материалы</t>
        </is>
      </c>
      <c r="E389" s="3" t="inlineStr">
        <is>
          <t>Расходные материалы — за полугодие</t>
        </is>
      </c>
      <c r="F389" s="3" t="inlineStr">
        <is>
          <t>Объем закупок РМ</t>
        </is>
      </c>
      <c r="G389" s="4" t="n">
        <v>1</v>
      </c>
      <c r="H389" s="4" t="n"/>
      <c r="I389" s="3" t="inlineStr">
        <is>
          <t>55-64</t>
        </is>
      </c>
      <c r="J389" s="4" t="n">
        <v>5</v>
      </c>
      <c r="K389" s="4" t="n"/>
      <c r="L389" s="4" t="n"/>
      <c r="M389" s="8" t="n">
        <v>0.04</v>
      </c>
      <c r="N389" s="4" t="inlineStr">
        <is>
          <t>%</t>
        </is>
      </c>
      <c r="O389" s="3" t="inlineStr">
        <is>
          <t>ABS</t>
        </is>
      </c>
      <c r="P389" s="3" t="inlineStr">
        <is>
          <t>I20</t>
        </is>
      </c>
      <c t="str" r="Q389" s="6">
        <f>A389&amp;"|"&amp;C389&amp;"|"&amp;D389&amp;"|"&amp;G389</f>
        <v>ASIAN BUSINESS SOLUTIONS, Узбекистан|Шкала|Расходные материалы|1</v>
      </c>
      <c t="str" r="R389" s="6">
        <f>A389&amp;"|"&amp;C389&amp;"|"&amp;D389&amp;"|"&amp;J389</f>
        <v>ASIAN BUSINESS SOLUTIONS, Узбекистан|Шкала|Расходные материалы|5</v>
      </c>
      <c t="str" r="S389" s="6">
        <f>A389&amp;"|"&amp;C389&amp;"|"&amp;D389&amp;"|"&amp;G389&amp;"|"&amp;J389</f>
        <v>ASIAN BUSINESS SOLUTIONS, Узбекистан|Шкала|Расходные материалы|1|5</v>
      </c>
      <c t="str" r="T389" s="6">
        <f>A389&amp;"|"&amp;C389&amp;"|"&amp;G389</f>
        <v>ASIAN BUSINESS SOLUTIONS, Узбекистан|Шкала|1</v>
      </c>
      <c t="str" r="U389" s="6">
        <f>IF(H389="да",A389&amp;"|"&amp;C389&amp;"|"&amp;D389&amp;"|"&amp;J389,"")</f>
        <v/>
      </c>
      <c t="str" r="V389" s="6">
        <f>IF(C389="План",A389&amp;"|"&amp;J389,"")</f>
        <v/>
      </c>
    </row>
    <row r="390">
      <c r="A390" s="3" t="inlineStr">
        <is>
          <t>ASIAN BUSINESS SOLUTIONS, Узбекистан</t>
        </is>
      </c>
      <c r="B390" s="3" t="inlineStr">
        <is>
          <t>Заруб</t>
        </is>
      </c>
      <c r="C390" s="3" t="inlineStr">
        <is>
          <t>Шкала</t>
        </is>
      </c>
      <c r="D390" s="3" t="inlineStr">
        <is>
          <t>Расходные материалы</t>
        </is>
      </c>
      <c r="E390" s="3" t="inlineStr">
        <is>
          <t>Расходные материалы — за полугодие</t>
        </is>
      </c>
      <c r="F390" s="3" t="inlineStr">
        <is>
          <t>Объем закупок РМ</t>
        </is>
      </c>
      <c r="G390" s="4" t="n">
        <v>1</v>
      </c>
      <c r="H390" s="4" t="n"/>
      <c r="I390" s="3" t="inlineStr">
        <is>
          <t>65 и более</t>
        </is>
      </c>
      <c r="J390" s="4" t="n">
        <v>6</v>
      </c>
      <c r="K390" s="4" t="n"/>
      <c r="L390" s="4" t="n"/>
      <c r="M390" s="8" t="n">
        <v>0.05</v>
      </c>
      <c r="N390" s="4" t="inlineStr">
        <is>
          <t>%</t>
        </is>
      </c>
      <c r="O390" s="3" t="inlineStr">
        <is>
          <t>ABS</t>
        </is>
      </c>
      <c r="P390" s="3" t="inlineStr">
        <is>
          <t>J20</t>
        </is>
      </c>
      <c t="str" r="Q390" s="6">
        <f>A390&amp;"|"&amp;C390&amp;"|"&amp;D390&amp;"|"&amp;G390</f>
        <v>ASIAN BUSINESS SOLUTIONS, Узбекистан|Шкала|Расходные материалы|1</v>
      </c>
      <c t="str" r="R390" s="6">
        <f>A390&amp;"|"&amp;C390&amp;"|"&amp;D390&amp;"|"&amp;J390</f>
        <v>ASIAN BUSINESS SOLUTIONS, Узбекистан|Шкала|Расходные материалы|6</v>
      </c>
      <c t="str" r="S390" s="6">
        <f>A390&amp;"|"&amp;C390&amp;"|"&amp;D390&amp;"|"&amp;G390&amp;"|"&amp;J390</f>
        <v>ASIAN BUSINESS SOLUTIONS, Узбекистан|Шкала|Расходные материалы|1|6</v>
      </c>
      <c t="str" r="T390" s="6">
        <f>A390&amp;"|"&amp;C390&amp;"|"&amp;G390</f>
        <v>ASIAN BUSINESS SOLUTIONS, Узбекистан|Шкала|1</v>
      </c>
      <c t="str" r="U390" s="6">
        <f>IF(H390="да",A390&amp;"|"&amp;C390&amp;"|"&amp;D390&amp;"|"&amp;J390,"")</f>
        <v/>
      </c>
      <c t="str" r="V390" s="6">
        <f>IF(C390="План",A390&amp;"|"&amp;J390,"")</f>
        <v/>
      </c>
    </row>
    <row r="391">
      <c r="A391" s="3" t="inlineStr">
        <is>
          <t>ASIAN BUSINESS SOLUTIONS, Узбекистан</t>
        </is>
      </c>
      <c r="B391" s="3" t="inlineStr">
        <is>
          <t>Заруб</t>
        </is>
      </c>
      <c r="C391" s="3" t="inlineStr">
        <is>
          <t>Шкала</t>
        </is>
      </c>
      <c r="D391" s="3" t="inlineStr">
        <is>
          <t>Сервис (ЗЧ)</t>
        </is>
      </c>
      <c r="E391" s="3" t="inlineStr">
        <is>
          <t>Сервис (ЗЧ) — абсолютные отгрузки за 12 месяцев</t>
        </is>
      </c>
      <c r="F391" s="3" t="inlineStr">
        <is>
          <t>Скидка по сервису</t>
        </is>
      </c>
      <c r="G391" s="4" t="n">
        <v>1</v>
      </c>
      <c r="H391" s="4" t="inlineStr">
        <is>
          <t>да</t>
        </is>
      </c>
      <c r="I391" s="3" t="inlineStr">
        <is>
          <t>0–7000</t>
        </is>
      </c>
      <c r="J391" s="4" t="n">
        <v>1</v>
      </c>
      <c r="K391" s="4" t="n">
        <v>0</v>
      </c>
      <c r="L391" s="4" t="n">
        <v>7000</v>
      </c>
      <c r="M391" s="8" t="n">
        <v>0.1</v>
      </c>
      <c r="N391" s="4" t="inlineStr">
        <is>
          <t>%</t>
        </is>
      </c>
      <c r="O391" s="3" t="inlineStr">
        <is>
          <t>ABS</t>
        </is>
      </c>
      <c r="P391" s="3" t="inlineStr">
        <is>
          <t>F23</t>
        </is>
      </c>
      <c t="str" r="Q391" s="6">
        <f>A391&amp;"|"&amp;C391&amp;"|"&amp;D391&amp;"|"&amp;G391</f>
        <v>ASIAN BUSINESS SOLUTIONS, Узбекистан|Шкала|Сервис (ЗЧ)|1</v>
      </c>
      <c t="str" r="R391" s="6">
        <f>A391&amp;"|"&amp;C391&amp;"|"&amp;D391&amp;"|"&amp;J391</f>
        <v>ASIAN BUSINESS SOLUTIONS, Узбекистан|Шкала|Сервис (ЗЧ)|1</v>
      </c>
      <c t="str" r="S391" s="6">
        <f>A391&amp;"|"&amp;C391&amp;"|"&amp;D391&amp;"|"&amp;G391&amp;"|"&amp;J391</f>
        <v>ASIAN BUSINESS SOLUTIONS, Узбекистан|Шкала|Сервис (ЗЧ)|1|1</v>
      </c>
      <c t="str" r="T391" s="6">
        <f>A391&amp;"|"&amp;C391&amp;"|"&amp;G391</f>
        <v>ASIAN BUSINESS SOLUTIONS, Узбекистан|Шкала|1</v>
      </c>
      <c t="str" r="U391" s="6">
        <f>IF(H391="да",A391&amp;"|"&amp;C391&amp;"|"&amp;D391&amp;"|"&amp;J391,"")</f>
        <v>ASIAN BUSINESS SOLUTIONS, Узбекистан|Шкала|Сервис (ЗЧ)|1</v>
      </c>
      <c t="str" r="V391" s="6">
        <f>IF(C391="План",A391&amp;"|"&amp;J391,"")</f>
        <v/>
      </c>
    </row>
    <row r="392">
      <c r="A392" s="3" t="inlineStr">
        <is>
          <t>ASIAN BUSINESS SOLUTIONS, Узбекистан</t>
        </is>
      </c>
      <c r="B392" s="3" t="inlineStr">
        <is>
          <t>Заруб</t>
        </is>
      </c>
      <c r="C392" s="3" t="inlineStr">
        <is>
          <t>Шкала</t>
        </is>
      </c>
      <c r="D392" s="3" t="inlineStr">
        <is>
          <t>Сервис (ЗЧ)</t>
        </is>
      </c>
      <c r="E392" s="3" t="inlineStr">
        <is>
          <t>Сервис (ЗЧ) — абсолютные отгрузки за 12 месяцев</t>
        </is>
      </c>
      <c r="F392" s="3" t="inlineStr">
        <is>
          <t>Скидка по сервису</t>
        </is>
      </c>
      <c r="G392" s="4" t="n">
        <v>1</v>
      </c>
      <c r="H392" s="4" t="inlineStr">
        <is>
          <t>да</t>
        </is>
      </c>
      <c r="I392" s="3" t="inlineStr">
        <is>
          <t>7001–19000</t>
        </is>
      </c>
      <c r="J392" s="4" t="n">
        <v>2</v>
      </c>
      <c r="K392" s="4" t="n">
        <v>7001</v>
      </c>
      <c r="L392" s="4" t="n">
        <v>19000</v>
      </c>
      <c r="M392" s="8" t="n">
        <v>0.11</v>
      </c>
      <c r="N392" s="4" t="inlineStr">
        <is>
          <t>%</t>
        </is>
      </c>
      <c r="O392" s="3" t="inlineStr">
        <is>
          <t>ABS</t>
        </is>
      </c>
      <c r="P392" s="3" t="inlineStr">
        <is>
          <t>F24</t>
        </is>
      </c>
      <c t="str" r="Q392" s="6">
        <f>A392&amp;"|"&amp;C392&amp;"|"&amp;D392&amp;"|"&amp;G392</f>
        <v>ASIAN BUSINESS SOLUTIONS, Узбекистан|Шкала|Сервис (ЗЧ)|1</v>
      </c>
      <c t="str" r="R392" s="6">
        <f>A392&amp;"|"&amp;C392&amp;"|"&amp;D392&amp;"|"&amp;J392</f>
        <v>ASIAN BUSINESS SOLUTIONS, Узбекистан|Шкала|Сервис (ЗЧ)|2</v>
      </c>
      <c t="str" r="S392" s="6">
        <f>A392&amp;"|"&amp;C392&amp;"|"&amp;D392&amp;"|"&amp;G392&amp;"|"&amp;J392</f>
        <v>ASIAN BUSINESS SOLUTIONS, Узбекистан|Шкала|Сервис (ЗЧ)|1|2</v>
      </c>
      <c t="str" r="T392" s="6">
        <f>A392&amp;"|"&amp;C392&amp;"|"&amp;G392</f>
        <v>ASIAN BUSINESS SOLUTIONS, Узбекистан|Шкала|1</v>
      </c>
      <c t="str" r="U392" s="6">
        <f>IF(H392="да",A392&amp;"|"&amp;C392&amp;"|"&amp;D392&amp;"|"&amp;J392,"")</f>
        <v>ASIAN BUSINESS SOLUTIONS, Узбекистан|Шкала|Сервис (ЗЧ)|2</v>
      </c>
      <c t="str" r="V392" s="6">
        <f>IF(C392="План",A392&amp;"|"&amp;J392,"")</f>
        <v/>
      </c>
    </row>
    <row r="393">
      <c r="A393" s="3" t="inlineStr">
        <is>
          <t>ASIAN BUSINESS SOLUTIONS, Узбекистан</t>
        </is>
      </c>
      <c r="B393" s="3" t="inlineStr">
        <is>
          <t>Заруб</t>
        </is>
      </c>
      <c r="C393" s="3" t="inlineStr">
        <is>
          <t>Шкала</t>
        </is>
      </c>
      <c r="D393" s="3" t="inlineStr">
        <is>
          <t>Сервис (ЗЧ)</t>
        </is>
      </c>
      <c r="E393" s="3" t="inlineStr">
        <is>
          <t>Сервис (ЗЧ) — абсолютные отгрузки за 12 месяцев</t>
        </is>
      </c>
      <c r="F393" s="3" t="inlineStr">
        <is>
          <t>Скидка по сервису</t>
        </is>
      </c>
      <c r="G393" s="4" t="n">
        <v>1</v>
      </c>
      <c r="H393" s="4" t="inlineStr">
        <is>
          <t>да</t>
        </is>
      </c>
      <c r="I393" s="3" t="inlineStr">
        <is>
          <t>19001–24000</t>
        </is>
      </c>
      <c r="J393" s="4" t="n">
        <v>3</v>
      </c>
      <c r="K393" s="4" t="n">
        <v>19001</v>
      </c>
      <c r="L393" s="4" t="n">
        <v>24000</v>
      </c>
      <c r="M393" s="8" t="n">
        <v>0.13</v>
      </c>
      <c r="N393" s="4" t="inlineStr">
        <is>
          <t>%</t>
        </is>
      </c>
      <c r="O393" s="3" t="inlineStr">
        <is>
          <t>ABS</t>
        </is>
      </c>
      <c r="P393" s="3" t="inlineStr">
        <is>
          <t>F25</t>
        </is>
      </c>
      <c t="str" r="Q393" s="6">
        <f>A393&amp;"|"&amp;C393&amp;"|"&amp;D393&amp;"|"&amp;G393</f>
        <v>ASIAN BUSINESS SOLUTIONS, Узбекистан|Шкала|Сервис (ЗЧ)|1</v>
      </c>
      <c t="str" r="R393" s="6">
        <f>A393&amp;"|"&amp;C393&amp;"|"&amp;D393&amp;"|"&amp;J393</f>
        <v>ASIAN BUSINESS SOLUTIONS, Узбекистан|Шкала|Сервис (ЗЧ)|3</v>
      </c>
      <c t="str" r="S393" s="6">
        <f>A393&amp;"|"&amp;C393&amp;"|"&amp;D393&amp;"|"&amp;G393&amp;"|"&amp;J393</f>
        <v>ASIAN BUSINESS SOLUTIONS, Узбекистан|Шкала|Сервис (ЗЧ)|1|3</v>
      </c>
      <c t="str" r="T393" s="6">
        <f>A393&amp;"|"&amp;C393&amp;"|"&amp;G393</f>
        <v>ASIAN BUSINESS SOLUTIONS, Узбекистан|Шкала|1</v>
      </c>
      <c t="str" r="U393" s="6">
        <f>IF(H393="да",A393&amp;"|"&amp;C393&amp;"|"&amp;D393&amp;"|"&amp;J393,"")</f>
        <v>ASIAN BUSINESS SOLUTIONS, Узбекистан|Шкала|Сервис (ЗЧ)|3</v>
      </c>
      <c t="str" r="V393" s="6">
        <f>IF(C393="План",A393&amp;"|"&amp;J393,"")</f>
        <v/>
      </c>
    </row>
    <row r="394">
      <c r="A394" s="3" t="inlineStr">
        <is>
          <t>ASIAN BUSINESS SOLUTIONS, Узбекистан</t>
        </is>
      </c>
      <c r="B394" s="3" t="inlineStr">
        <is>
          <t>Заруб</t>
        </is>
      </c>
      <c r="C394" s="3" t="inlineStr">
        <is>
          <t>Шкала</t>
        </is>
      </c>
      <c r="D394" s="3" t="inlineStr">
        <is>
          <t>Сервис (ЗЧ)</t>
        </is>
      </c>
      <c r="E394" s="3" t="inlineStr">
        <is>
          <t>Сервис (ЗЧ) — абсолютные отгрузки за 12 месяцев</t>
        </is>
      </c>
      <c r="F394" s="3" t="inlineStr">
        <is>
          <t>Скидка по сервису</t>
        </is>
      </c>
      <c r="G394" s="4" t="n">
        <v>1</v>
      </c>
      <c r="H394" s="4" t="inlineStr">
        <is>
          <t>да</t>
        </is>
      </c>
      <c r="I394" s="3" t="inlineStr">
        <is>
          <t>24001–28000</t>
        </is>
      </c>
      <c r="J394" s="4" t="n">
        <v>4</v>
      </c>
      <c r="K394" s="4" t="n">
        <v>24001</v>
      </c>
      <c r="L394" s="4" t="n">
        <v>28000</v>
      </c>
      <c r="M394" s="8" t="n">
        <v>0.14</v>
      </c>
      <c r="N394" s="4" t="inlineStr">
        <is>
          <t>%</t>
        </is>
      </c>
      <c r="O394" s="3" t="inlineStr">
        <is>
          <t>ABS</t>
        </is>
      </c>
      <c r="P394" s="3" t="inlineStr">
        <is>
          <t>F26</t>
        </is>
      </c>
      <c t="str" r="Q394" s="6">
        <f>A394&amp;"|"&amp;C394&amp;"|"&amp;D394&amp;"|"&amp;G394</f>
        <v>ASIAN BUSINESS SOLUTIONS, Узбекистан|Шкала|Сервис (ЗЧ)|1</v>
      </c>
      <c t="str" r="R394" s="6">
        <f>A394&amp;"|"&amp;C394&amp;"|"&amp;D394&amp;"|"&amp;J394</f>
        <v>ASIAN BUSINESS SOLUTIONS, Узбекистан|Шкала|Сервис (ЗЧ)|4</v>
      </c>
      <c t="str" r="S394" s="6">
        <f>A394&amp;"|"&amp;C394&amp;"|"&amp;D394&amp;"|"&amp;G394&amp;"|"&amp;J394</f>
        <v>ASIAN BUSINESS SOLUTIONS, Узбекистан|Шкала|Сервис (ЗЧ)|1|4</v>
      </c>
      <c t="str" r="T394" s="6">
        <f>A394&amp;"|"&amp;C394&amp;"|"&amp;G394</f>
        <v>ASIAN BUSINESS SOLUTIONS, Узбекистан|Шкала|1</v>
      </c>
      <c t="str" r="U394" s="6">
        <f>IF(H394="да",A394&amp;"|"&amp;C394&amp;"|"&amp;D394&amp;"|"&amp;J394,"")</f>
        <v>ASIAN BUSINESS SOLUTIONS, Узбекистан|Шкала|Сервис (ЗЧ)|4</v>
      </c>
      <c t="str" r="V394" s="6">
        <f>IF(C394="План",A394&amp;"|"&amp;J394,"")</f>
        <v/>
      </c>
    </row>
    <row r="395">
      <c r="A395" s="3" t="inlineStr">
        <is>
          <t>ASIAN BUSINESS SOLUTIONS, Узбекистан</t>
        </is>
      </c>
      <c r="B395" s="3" t="inlineStr">
        <is>
          <t>Заруб</t>
        </is>
      </c>
      <c r="C395" s="3" t="inlineStr">
        <is>
          <t>Шкала</t>
        </is>
      </c>
      <c r="D395" s="3" t="inlineStr">
        <is>
          <t>Сервис (ЗЧ)</t>
        </is>
      </c>
      <c r="E395" s="3" t="inlineStr">
        <is>
          <t>Сервис (ЗЧ) — абсолютные отгрузки за 12 месяцев</t>
        </is>
      </c>
      <c r="F395" s="3" t="inlineStr">
        <is>
          <t>Скидка по сервису</t>
        </is>
      </c>
      <c r="G395" s="4" t="n">
        <v>1</v>
      </c>
      <c r="H395" s="4" t="inlineStr">
        <is>
          <t>да</t>
        </is>
      </c>
      <c r="I395" s="3" t="inlineStr">
        <is>
          <t>28001–40000</t>
        </is>
      </c>
      <c r="J395" s="4" t="n">
        <v>5</v>
      </c>
      <c r="K395" s="4" t="n">
        <v>28001</v>
      </c>
      <c r="L395" s="4" t="n">
        <v>40000</v>
      </c>
      <c r="M395" s="8" t="n">
        <v>0.15</v>
      </c>
      <c r="N395" s="4" t="inlineStr">
        <is>
          <t>%</t>
        </is>
      </c>
      <c r="O395" s="3" t="inlineStr">
        <is>
          <t>ABS</t>
        </is>
      </c>
      <c r="P395" s="3" t="inlineStr">
        <is>
          <t>F27</t>
        </is>
      </c>
      <c t="str" r="Q395" s="6">
        <f>A395&amp;"|"&amp;C395&amp;"|"&amp;D395&amp;"|"&amp;G395</f>
        <v>ASIAN BUSINESS SOLUTIONS, Узбекистан|Шкала|Сервис (ЗЧ)|1</v>
      </c>
      <c t="str" r="R395" s="6">
        <f>A395&amp;"|"&amp;C395&amp;"|"&amp;D395&amp;"|"&amp;J395</f>
        <v>ASIAN BUSINESS SOLUTIONS, Узбекистан|Шкала|Сервис (ЗЧ)|5</v>
      </c>
      <c t="str" r="S395" s="6">
        <f>A395&amp;"|"&amp;C395&amp;"|"&amp;D395&amp;"|"&amp;G395&amp;"|"&amp;J395</f>
        <v>ASIAN BUSINESS SOLUTIONS, Узбекистан|Шкала|Сервис (ЗЧ)|1|5</v>
      </c>
      <c t="str" r="T395" s="6">
        <f>A395&amp;"|"&amp;C395&amp;"|"&amp;G395</f>
        <v>ASIAN BUSINESS SOLUTIONS, Узбекистан|Шкала|1</v>
      </c>
      <c t="str" r="U395" s="6">
        <f>IF(H395="да",A395&amp;"|"&amp;C395&amp;"|"&amp;D395&amp;"|"&amp;J395,"")</f>
        <v>ASIAN BUSINESS SOLUTIONS, Узбекистан|Шкала|Сервис (ЗЧ)|5</v>
      </c>
      <c t="str" r="V395" s="6">
        <f>IF(C395="План",A395&amp;"|"&amp;J395,"")</f>
        <v/>
      </c>
    </row>
    <row r="396">
      <c r="A396" s="3" t="inlineStr">
        <is>
          <t>ASIAN BUSINESS SOLUTIONS, Узбекистан</t>
        </is>
      </c>
      <c r="B396" s="3" t="inlineStr">
        <is>
          <t>Заруб</t>
        </is>
      </c>
      <c r="C396" s="3" t="inlineStr">
        <is>
          <t>Шкала</t>
        </is>
      </c>
      <c r="D396" s="3" t="inlineStr">
        <is>
          <t>Сервис (ЗЧ)</t>
        </is>
      </c>
      <c r="E396" s="3" t="inlineStr">
        <is>
          <t>Сервис (ЗЧ) — абсолютные отгрузки за 12 месяцев</t>
        </is>
      </c>
      <c r="F396" s="3" t="inlineStr">
        <is>
          <t>Скидка по сервису</t>
        </is>
      </c>
      <c r="G396" s="4" t="n">
        <v>1</v>
      </c>
      <c r="H396" s="4" t="inlineStr">
        <is>
          <t>да</t>
        </is>
      </c>
      <c r="I396" s="3" t="inlineStr">
        <is>
          <t>40001–48000</t>
        </is>
      </c>
      <c r="J396" s="4" t="n">
        <v>6</v>
      </c>
      <c r="K396" s="4" t="n">
        <v>40001</v>
      </c>
      <c r="L396" s="4" t="n">
        <v>48000</v>
      </c>
      <c r="M396" s="8" t="n">
        <v>0.16</v>
      </c>
      <c r="N396" s="4" t="inlineStr">
        <is>
          <t>%</t>
        </is>
      </c>
      <c r="O396" s="3" t="inlineStr">
        <is>
          <t>ABS</t>
        </is>
      </c>
      <c r="P396" s="3" t="inlineStr">
        <is>
          <t>F28</t>
        </is>
      </c>
      <c t="str" r="Q396" s="6">
        <f>A396&amp;"|"&amp;C396&amp;"|"&amp;D396&amp;"|"&amp;G396</f>
        <v>ASIAN BUSINESS SOLUTIONS, Узбекистан|Шкала|Сервис (ЗЧ)|1</v>
      </c>
      <c t="str" r="R396" s="6">
        <f>A396&amp;"|"&amp;C396&amp;"|"&amp;D396&amp;"|"&amp;J396</f>
        <v>ASIAN BUSINESS SOLUTIONS, Узбекистан|Шкала|Сервис (ЗЧ)|6</v>
      </c>
      <c t="str" r="S396" s="6">
        <f>A396&amp;"|"&amp;C396&amp;"|"&amp;D396&amp;"|"&amp;G396&amp;"|"&amp;J396</f>
        <v>ASIAN BUSINESS SOLUTIONS, Узбекистан|Шкала|Сервис (ЗЧ)|1|6</v>
      </c>
      <c t="str" r="T396" s="6">
        <f>A396&amp;"|"&amp;C396&amp;"|"&amp;G396</f>
        <v>ASIAN BUSINESS SOLUTIONS, Узбекистан|Шкала|1</v>
      </c>
      <c t="str" r="U396" s="6">
        <f>IF(H396="да",A396&amp;"|"&amp;C396&amp;"|"&amp;D396&amp;"|"&amp;J396,"")</f>
        <v>ASIAN BUSINESS SOLUTIONS, Узбекистан|Шкала|Сервис (ЗЧ)|6</v>
      </c>
      <c t="str" r="V396" s="6">
        <f>IF(C396="План",A396&amp;"|"&amp;J396,"")</f>
        <v/>
      </c>
    </row>
    <row r="397">
      <c r="A397" s="3" t="inlineStr">
        <is>
          <t>ASIAN BUSINESS SOLUTIONS, Узбекистан</t>
        </is>
      </c>
      <c r="B397" s="3" t="inlineStr">
        <is>
          <t>Заруб</t>
        </is>
      </c>
      <c r="C397" s="3" t="inlineStr">
        <is>
          <t>Шкала</t>
        </is>
      </c>
      <c r="D397" s="3" t="inlineStr">
        <is>
          <t>Сервис (ЗЧ)</t>
        </is>
      </c>
      <c r="E397" s="3" t="inlineStr">
        <is>
          <t>Сервис (ЗЧ) — абсолютные отгрузки за 12 месяцев</t>
        </is>
      </c>
      <c r="F397" s="3" t="inlineStr">
        <is>
          <t>Скидка по сервису</t>
        </is>
      </c>
      <c r="G397" s="4" t="n">
        <v>1</v>
      </c>
      <c r="H397" s="4" t="inlineStr">
        <is>
          <t>да</t>
        </is>
      </c>
      <c r="I397" s="3" t="inlineStr">
        <is>
          <t>48001–60000</t>
        </is>
      </c>
      <c r="J397" s="4" t="n">
        <v>7</v>
      </c>
      <c r="K397" s="4" t="n">
        <v>48001</v>
      </c>
      <c r="L397" s="4" t="n">
        <v>60000</v>
      </c>
      <c r="M397" s="8" t="n">
        <v>0.17</v>
      </c>
      <c r="N397" s="4" t="inlineStr">
        <is>
          <t>%</t>
        </is>
      </c>
      <c r="O397" s="3" t="inlineStr">
        <is>
          <t>ABS</t>
        </is>
      </c>
      <c r="P397" s="3" t="inlineStr">
        <is>
          <t>F29</t>
        </is>
      </c>
      <c t="str" r="Q397" s="6">
        <f>A397&amp;"|"&amp;C397&amp;"|"&amp;D397&amp;"|"&amp;G397</f>
        <v>ASIAN BUSINESS SOLUTIONS, Узбекистан|Шкала|Сервис (ЗЧ)|1</v>
      </c>
      <c t="str" r="R397" s="6">
        <f>A397&amp;"|"&amp;C397&amp;"|"&amp;D397&amp;"|"&amp;J397</f>
        <v>ASIAN BUSINESS SOLUTIONS, Узбекистан|Шкала|Сервис (ЗЧ)|7</v>
      </c>
      <c t="str" r="S397" s="6">
        <f>A397&amp;"|"&amp;C397&amp;"|"&amp;D397&amp;"|"&amp;G397&amp;"|"&amp;J397</f>
        <v>ASIAN BUSINESS SOLUTIONS, Узбекистан|Шкала|Сервис (ЗЧ)|1|7</v>
      </c>
      <c t="str" r="T397" s="6">
        <f>A397&amp;"|"&amp;C397&amp;"|"&amp;G397</f>
        <v>ASIAN BUSINESS SOLUTIONS, Узбекистан|Шкала|1</v>
      </c>
      <c t="str" r="U397" s="6">
        <f>IF(H397="да",A397&amp;"|"&amp;C397&amp;"|"&amp;D397&amp;"|"&amp;J397,"")</f>
        <v>ASIAN BUSINESS SOLUTIONS, Узбекистан|Шкала|Сервис (ЗЧ)|7</v>
      </c>
      <c t="str" r="V397" s="6">
        <f>IF(C397="План",A397&amp;"|"&amp;J397,"")</f>
        <v/>
      </c>
    </row>
    <row r="398">
      <c r="A398" s="3" t="inlineStr">
        <is>
          <t>ASIAN BUSINESS SOLUTIONS, Узбекистан</t>
        </is>
      </c>
      <c r="B398" s="3" t="inlineStr">
        <is>
          <t>Заруб</t>
        </is>
      </c>
      <c r="C398" s="3" t="inlineStr">
        <is>
          <t>Шкала</t>
        </is>
      </c>
      <c r="D398" s="3" t="inlineStr">
        <is>
          <t>Сервис (ЗЧ)</t>
        </is>
      </c>
      <c r="E398" s="3" t="inlineStr">
        <is>
          <t>Сервис (ЗЧ) — абсолютные отгрузки за 12 месяцев</t>
        </is>
      </c>
      <c r="F398" s="3" t="inlineStr">
        <is>
          <t>Скидка по сервису</t>
        </is>
      </c>
      <c r="G398" s="4" t="n">
        <v>1</v>
      </c>
      <c r="H398" s="4" t="inlineStr">
        <is>
          <t>да</t>
        </is>
      </c>
      <c r="I398" s="3" t="inlineStr">
        <is>
          <t>60001–75000</t>
        </is>
      </c>
      <c r="J398" s="4" t="n">
        <v>8</v>
      </c>
      <c r="K398" s="4" t="n">
        <v>60001</v>
      </c>
      <c r="L398" s="4" t="n">
        <v>75000</v>
      </c>
      <c r="M398" s="8" t="n">
        <v>0.18</v>
      </c>
      <c r="N398" s="4" t="inlineStr">
        <is>
          <t>%</t>
        </is>
      </c>
      <c r="O398" s="3" t="inlineStr">
        <is>
          <t>ABS</t>
        </is>
      </c>
      <c r="P398" s="3" t="inlineStr">
        <is>
          <t>F30</t>
        </is>
      </c>
      <c t="str" r="Q398" s="6">
        <f>A398&amp;"|"&amp;C398&amp;"|"&amp;D398&amp;"|"&amp;G398</f>
        <v>ASIAN BUSINESS SOLUTIONS, Узбекистан|Шкала|Сервис (ЗЧ)|1</v>
      </c>
      <c t="str" r="R398" s="6">
        <f>A398&amp;"|"&amp;C398&amp;"|"&amp;D398&amp;"|"&amp;J398</f>
        <v>ASIAN BUSINESS SOLUTIONS, Узбекистан|Шкала|Сервис (ЗЧ)|8</v>
      </c>
      <c t="str" r="S398" s="6">
        <f>A398&amp;"|"&amp;C398&amp;"|"&amp;D398&amp;"|"&amp;G398&amp;"|"&amp;J398</f>
        <v>ASIAN BUSINESS SOLUTIONS, Узбекистан|Шкала|Сервис (ЗЧ)|1|8</v>
      </c>
      <c t="str" r="T398" s="6">
        <f>A398&amp;"|"&amp;C398&amp;"|"&amp;G398</f>
        <v>ASIAN BUSINESS SOLUTIONS, Узбекистан|Шкала|1</v>
      </c>
      <c t="str" r="U398" s="6">
        <f>IF(H398="да",A398&amp;"|"&amp;C398&amp;"|"&amp;D398&amp;"|"&amp;J398,"")</f>
        <v>ASIAN BUSINESS SOLUTIONS, Узбекистан|Шкала|Сервис (ЗЧ)|8</v>
      </c>
      <c t="str" r="V398" s="6">
        <f>IF(C398="План",A398&amp;"|"&amp;J398,"")</f>
        <v/>
      </c>
    </row>
    <row r="399">
      <c r="A399" s="3" t="inlineStr">
        <is>
          <t>ASIAN BUSINESS SOLUTIONS, Узбекистан</t>
        </is>
      </c>
      <c r="B399" s="3" t="inlineStr">
        <is>
          <t>Заруб</t>
        </is>
      </c>
      <c r="C399" s="3" t="inlineStr">
        <is>
          <t>Шкала</t>
        </is>
      </c>
      <c r="D399" s="3" t="inlineStr">
        <is>
          <t>Сервис (ЗЧ)</t>
        </is>
      </c>
      <c r="E399" s="3" t="inlineStr">
        <is>
          <t>Сервис (ЗЧ) — абсолютные отгрузки за 12 месяцев</t>
        </is>
      </c>
      <c r="F399" s="3" t="inlineStr">
        <is>
          <t>Скидка по сервису</t>
        </is>
      </c>
      <c r="G399" s="4" t="n">
        <v>1</v>
      </c>
      <c r="H399" s="4" t="inlineStr">
        <is>
          <t>да</t>
        </is>
      </c>
      <c r="I399" s="3" t="inlineStr">
        <is>
          <t>75001–90000</t>
        </is>
      </c>
      <c r="J399" s="4" t="n">
        <v>9</v>
      </c>
      <c r="K399" s="4" t="n">
        <v>75001</v>
      </c>
      <c r="L399" s="4" t="n">
        <v>90000</v>
      </c>
      <c r="M399" s="8" t="n">
        <v>0.19</v>
      </c>
      <c r="N399" s="4" t="inlineStr">
        <is>
          <t>%</t>
        </is>
      </c>
      <c r="O399" s="3" t="inlineStr">
        <is>
          <t>ABS</t>
        </is>
      </c>
      <c r="P399" s="3" t="inlineStr">
        <is>
          <t>F31</t>
        </is>
      </c>
      <c t="str" r="Q399" s="6">
        <f>A399&amp;"|"&amp;C399&amp;"|"&amp;D399&amp;"|"&amp;G399</f>
        <v>ASIAN BUSINESS SOLUTIONS, Узбекистан|Шкала|Сервис (ЗЧ)|1</v>
      </c>
      <c t="str" r="R399" s="6">
        <f>A399&amp;"|"&amp;C399&amp;"|"&amp;D399&amp;"|"&amp;J399</f>
        <v>ASIAN BUSINESS SOLUTIONS, Узбекистан|Шкала|Сервис (ЗЧ)|9</v>
      </c>
      <c t="str" r="S399" s="6">
        <f>A399&amp;"|"&amp;C399&amp;"|"&amp;D399&amp;"|"&amp;G399&amp;"|"&amp;J399</f>
        <v>ASIAN BUSINESS SOLUTIONS, Узбекистан|Шкала|Сервис (ЗЧ)|1|9</v>
      </c>
      <c t="str" r="T399" s="6">
        <f>A399&amp;"|"&amp;C399&amp;"|"&amp;G399</f>
        <v>ASIAN BUSINESS SOLUTIONS, Узбекистан|Шкала|1</v>
      </c>
      <c t="str" r="U399" s="6">
        <f>IF(H399="да",A399&amp;"|"&amp;C399&amp;"|"&amp;D399&amp;"|"&amp;J399,"")</f>
        <v>ASIAN BUSINESS SOLUTIONS, Узбекистан|Шкала|Сервис (ЗЧ)|9</v>
      </c>
      <c t="str" r="V399" s="6">
        <f>IF(C399="План",A399&amp;"|"&amp;J399,"")</f>
        <v/>
      </c>
    </row>
    <row r="400">
      <c r="A400" s="3" t="inlineStr">
        <is>
          <t>ASIAN BUSINESS SOLUTIONS, Узбекистан</t>
        </is>
      </c>
      <c r="B400" s="3" t="inlineStr">
        <is>
          <t>Заруб</t>
        </is>
      </c>
      <c r="C400" s="3" t="inlineStr">
        <is>
          <t>Шкала</t>
        </is>
      </c>
      <c r="D400" s="3" t="inlineStr">
        <is>
          <t>Сервис (ЗЧ)</t>
        </is>
      </c>
      <c r="E400" s="3" t="inlineStr">
        <is>
          <t>Сервис (ЗЧ) — абсолютные отгрузки за 12 месяцев</t>
        </is>
      </c>
      <c r="F400" s="3" t="inlineStr">
        <is>
          <t>Скидка по сервису</t>
        </is>
      </c>
      <c r="G400" s="4" t="n">
        <v>1</v>
      </c>
      <c r="H400" s="4" t="inlineStr">
        <is>
          <t>да</t>
        </is>
      </c>
      <c r="I400" s="3" t="inlineStr">
        <is>
          <t>90001–105000</t>
        </is>
      </c>
      <c r="J400" s="4" t="n">
        <v>10</v>
      </c>
      <c r="K400" s="4" t="n">
        <v>90001</v>
      </c>
      <c r="L400" s="4" t="n">
        <v>105000</v>
      </c>
      <c r="M400" s="8" t="n">
        <v>0.2</v>
      </c>
      <c r="N400" s="4" t="inlineStr">
        <is>
          <t>%</t>
        </is>
      </c>
      <c r="O400" s="3" t="inlineStr">
        <is>
          <t>ABS</t>
        </is>
      </c>
      <c r="P400" s="3" t="inlineStr">
        <is>
          <t>F32</t>
        </is>
      </c>
      <c t="str" r="Q400" s="6">
        <f>A400&amp;"|"&amp;C400&amp;"|"&amp;D400&amp;"|"&amp;G400</f>
        <v>ASIAN BUSINESS SOLUTIONS, Узбекистан|Шкала|Сервис (ЗЧ)|1</v>
      </c>
      <c t="str" r="R400" s="6">
        <f>A400&amp;"|"&amp;C400&amp;"|"&amp;D400&amp;"|"&amp;J400</f>
        <v>ASIAN BUSINESS SOLUTIONS, Узбекистан|Шкала|Сервис (ЗЧ)|10</v>
      </c>
      <c t="str" r="S400" s="6">
        <f>A400&amp;"|"&amp;C400&amp;"|"&amp;D400&amp;"|"&amp;G400&amp;"|"&amp;J400</f>
        <v>ASIAN BUSINESS SOLUTIONS, Узбекистан|Шкала|Сервис (ЗЧ)|1|10</v>
      </c>
      <c t="str" r="T400" s="6">
        <f>A400&amp;"|"&amp;C400&amp;"|"&amp;G400</f>
        <v>ASIAN BUSINESS SOLUTIONS, Узбекистан|Шкала|1</v>
      </c>
      <c t="str" r="U400" s="6">
        <f>IF(H400="да",A400&amp;"|"&amp;C400&amp;"|"&amp;D400&amp;"|"&amp;J400,"")</f>
        <v>ASIAN BUSINESS SOLUTIONS, Узбекистан|Шкала|Сервис (ЗЧ)|10</v>
      </c>
      <c t="str" r="V400" s="6">
        <f>IF(C400="План",A400&amp;"|"&amp;J400,"")</f>
        <v/>
      </c>
    </row>
    <row r="401">
      <c r="A401" s="3" t="inlineStr">
        <is>
          <t>ASIAN BUSINESS SOLUTIONS, Узбекистан</t>
        </is>
      </c>
      <c r="B401" s="3" t="inlineStr">
        <is>
          <t>Заруб</t>
        </is>
      </c>
      <c r="C401" s="3" t="inlineStr">
        <is>
          <t>Шкала</t>
        </is>
      </c>
      <c r="D401" s="3" t="inlineStr">
        <is>
          <t>Сервис (ЗЧ)</t>
        </is>
      </c>
      <c r="E401" s="3" t="inlineStr">
        <is>
          <t>Сервис (ЗЧ) — абсолютные отгрузки за 12 месяцев</t>
        </is>
      </c>
      <c r="F401" s="3" t="inlineStr">
        <is>
          <t>Скидка по сервису</t>
        </is>
      </c>
      <c r="G401" s="4" t="n">
        <v>1</v>
      </c>
      <c r="H401" s="4" t="inlineStr">
        <is>
          <t>да</t>
        </is>
      </c>
      <c r="I401" s="3" t="inlineStr">
        <is>
          <t>105001–115000</t>
        </is>
      </c>
      <c r="J401" s="4" t="n">
        <v>11</v>
      </c>
      <c r="K401" s="4" t="n">
        <v>105001</v>
      </c>
      <c r="L401" s="4" t="n">
        <v>115000</v>
      </c>
      <c r="M401" s="8" t="n">
        <v>0.21</v>
      </c>
      <c r="N401" s="4" t="inlineStr">
        <is>
          <t>%</t>
        </is>
      </c>
      <c r="O401" s="3" t="inlineStr">
        <is>
          <t>ABS</t>
        </is>
      </c>
      <c r="P401" s="3" t="inlineStr">
        <is>
          <t>F33</t>
        </is>
      </c>
      <c t="str" r="Q401" s="6">
        <f>A401&amp;"|"&amp;C401&amp;"|"&amp;D401&amp;"|"&amp;G401</f>
        <v>ASIAN BUSINESS SOLUTIONS, Узбекистан|Шкала|Сервис (ЗЧ)|1</v>
      </c>
      <c t="str" r="R401" s="6">
        <f>A401&amp;"|"&amp;C401&amp;"|"&amp;D401&amp;"|"&amp;J401</f>
        <v>ASIAN BUSINESS SOLUTIONS, Узбекистан|Шкала|Сервис (ЗЧ)|11</v>
      </c>
      <c t="str" r="S401" s="6">
        <f>A401&amp;"|"&amp;C401&amp;"|"&amp;D401&amp;"|"&amp;G401&amp;"|"&amp;J401</f>
        <v>ASIAN BUSINESS SOLUTIONS, Узбекистан|Шкала|Сервис (ЗЧ)|1|11</v>
      </c>
      <c t="str" r="T401" s="6">
        <f>A401&amp;"|"&amp;C401&amp;"|"&amp;G401</f>
        <v>ASIAN BUSINESS SOLUTIONS, Узбекистан|Шкала|1</v>
      </c>
      <c t="str" r="U401" s="6">
        <f>IF(H401="да",A401&amp;"|"&amp;C401&amp;"|"&amp;D401&amp;"|"&amp;J401,"")</f>
        <v>ASIAN BUSINESS SOLUTIONS, Узбекистан|Шкала|Сервис (ЗЧ)|11</v>
      </c>
      <c t="str" r="V401" s="6">
        <f>IF(C401="План",A401&amp;"|"&amp;J401,"")</f>
        <v/>
      </c>
    </row>
    <row r="402">
      <c r="A402" s="3" t="inlineStr">
        <is>
          <t>ASIAN BUSINESS SOLUTIONS, Узбекистан</t>
        </is>
      </c>
      <c r="B402" s="3" t="inlineStr">
        <is>
          <t>Заруб</t>
        </is>
      </c>
      <c r="C402" s="3" t="inlineStr">
        <is>
          <t>Шкала</t>
        </is>
      </c>
      <c r="D402" s="3" t="inlineStr">
        <is>
          <t>Сервис (ЗЧ)</t>
        </is>
      </c>
      <c r="E402" s="3" t="inlineStr">
        <is>
          <t>Сервис (ЗЧ) — абсолютные отгрузки за 12 месяцев</t>
        </is>
      </c>
      <c r="F402" s="3" t="inlineStr">
        <is>
          <t>Скидка по сервису</t>
        </is>
      </c>
      <c r="G402" s="4" t="n">
        <v>1</v>
      </c>
      <c r="H402" s="4" t="inlineStr">
        <is>
          <t>да</t>
        </is>
      </c>
      <c r="I402" s="3" t="inlineStr">
        <is>
          <t>115001+</t>
        </is>
      </c>
      <c r="J402" s="4" t="n">
        <v>12</v>
      </c>
      <c r="K402" s="4" t="n">
        <v>115001</v>
      </c>
      <c r="L402" s="4" t="n">
        <v>0</v>
      </c>
      <c r="M402" s="8" t="n">
        <v>0.22</v>
      </c>
      <c r="N402" s="4" t="inlineStr">
        <is>
          <t>%</t>
        </is>
      </c>
      <c r="O402" s="3" t="inlineStr">
        <is>
          <t>ABS</t>
        </is>
      </c>
      <c r="P402" s="3" t="inlineStr">
        <is>
          <t>F34</t>
        </is>
      </c>
      <c t="str" r="Q402" s="6">
        <f>A402&amp;"|"&amp;C402&amp;"|"&amp;D402&amp;"|"&amp;G402</f>
        <v>ASIAN BUSINESS SOLUTIONS, Узбекистан|Шкала|Сервис (ЗЧ)|1</v>
      </c>
      <c t="str" r="R402" s="6">
        <f>A402&amp;"|"&amp;C402&amp;"|"&amp;D402&amp;"|"&amp;J402</f>
        <v>ASIAN BUSINESS SOLUTIONS, Узбекистан|Шкала|Сервис (ЗЧ)|12</v>
      </c>
      <c t="str" r="S402" s="6">
        <f>A402&amp;"|"&amp;C402&amp;"|"&amp;D402&amp;"|"&amp;G402&amp;"|"&amp;J402</f>
        <v>ASIAN BUSINESS SOLUTIONS, Узбекистан|Шкала|Сервис (ЗЧ)|1|12</v>
      </c>
      <c t="str" r="T402" s="6">
        <f>A402&amp;"|"&amp;C402&amp;"|"&amp;G402</f>
        <v>ASIAN BUSINESS SOLUTIONS, Узбекистан|Шкала|1</v>
      </c>
      <c t="str" r="U402" s="6">
        <f>IF(H402="да",A402&amp;"|"&amp;C402&amp;"|"&amp;D402&amp;"|"&amp;J402,"")</f>
        <v>ASIAN BUSINESS SOLUTIONS, Узбекистан|Шкала|Сервис (ЗЧ)|12</v>
      </c>
      <c t="str" r="V402" s="6">
        <f>IF(C402="План",A402&amp;"|"&amp;J402,"")</f>
        <v/>
      </c>
    </row>
    <row r="403">
      <c r="A403" s="3" t="inlineStr">
        <is>
          <t>Deling food</t>
        </is>
      </c>
      <c r="B403" s="3" t="inlineStr">
        <is>
          <t>Заруб</t>
        </is>
      </c>
      <c r="C403" s="3" t="inlineStr">
        <is>
          <t>План</t>
        </is>
      </c>
      <c r="D403" s="3" t="inlineStr">
        <is>
          <t>Итого по дилеру</t>
        </is>
      </c>
      <c r="E403" s="3" t="inlineStr">
        <is>
          <t>План и бонусы</t>
        </is>
      </c>
      <c r="F403" s="3" t="inlineStr">
        <is>
          <t>Выручка 2024</t>
        </is>
      </c>
      <c r="G403" s="4" t="n">
        <v>1</v>
      </c>
      <c r="H403" s="4" t="n"/>
      <c r="I403" s="3" t="n"/>
      <c r="J403" s="4" t="n">
        <v>1</v>
      </c>
      <c r="K403" s="4" t="n"/>
      <c r="L403" s="4" t="n"/>
      <c r="M403" s="5" t="n">
        <v>396515</v>
      </c>
      <c r="N403" s="4" t="inlineStr">
        <is>
          <t>EUR</t>
        </is>
      </c>
      <c r="O403" s="3" t="inlineStr">
        <is>
          <t>Deling fod</t>
        </is>
      </c>
      <c r="P403" s="3" t="inlineStr">
        <is>
          <t>D4</t>
        </is>
      </c>
      <c t="str" r="Q403" s="6">
        <f>A403&amp;"|"&amp;C403&amp;"|"&amp;D403&amp;"|"&amp;G403</f>
        <v>Deling food|План|Итого по дилеру|1</v>
      </c>
      <c t="str" r="R403" s="6">
        <f>A403&amp;"|"&amp;C403&amp;"|"&amp;D403&amp;"|"&amp;J403</f>
        <v>Deling food|План|Итого по дилеру|1</v>
      </c>
      <c t="str" r="S403" s="6">
        <f>A403&amp;"|"&amp;C403&amp;"|"&amp;D403&amp;"|"&amp;G403&amp;"|"&amp;J403</f>
        <v>Deling food|План|Итого по дилеру|1|1</v>
      </c>
      <c t="str" r="T403" s="6">
        <f>A403&amp;"|"&amp;C403&amp;"|"&amp;G403</f>
        <v>Deling food|План|1</v>
      </c>
      <c t="str" r="U403" s="6">
        <f>IF(H403="да",A403&amp;"|"&amp;C403&amp;"|"&amp;D403&amp;"|"&amp;J403,"")</f>
        <v/>
      </c>
      <c t="str" r="V403" s="6">
        <f>IF(C403="План",A403&amp;"|"&amp;J403,"")</f>
        <v>Deling food|1</v>
      </c>
    </row>
    <row r="404">
      <c r="A404" s="3" t="inlineStr">
        <is>
          <t>Deling food</t>
        </is>
      </c>
      <c r="B404" s="3" t="inlineStr">
        <is>
          <t>Заруб</t>
        </is>
      </c>
      <c r="C404" s="3" t="inlineStr">
        <is>
          <t>План</t>
        </is>
      </c>
      <c r="D404" s="3" t="inlineStr">
        <is>
          <t>Итого по дилеру</t>
        </is>
      </c>
      <c r="E404" s="3" t="inlineStr">
        <is>
          <t>План и бонусы</t>
        </is>
      </c>
      <c r="F404" s="3" t="inlineStr">
        <is>
          <t>Выручка 2025</t>
        </is>
      </c>
      <c r="G404" s="4" t="n">
        <v>1</v>
      </c>
      <c r="H404" s="4" t="n"/>
      <c r="I404" s="3" t="n"/>
      <c r="J404" s="4" t="n">
        <v>2</v>
      </c>
      <c r="K404" s="4" t="n"/>
      <c r="L404" s="4" t="n"/>
      <c r="M404" s="5" t="n">
        <v>295723</v>
      </c>
      <c r="N404" s="4" t="inlineStr">
        <is>
          <t>EUR</t>
        </is>
      </c>
      <c r="O404" s="3" t="inlineStr">
        <is>
          <t>Deling fod</t>
        </is>
      </c>
      <c r="P404" s="3" t="inlineStr">
        <is>
          <t>E4</t>
        </is>
      </c>
      <c t="str" r="Q404" s="6">
        <f>A404&amp;"|"&amp;C404&amp;"|"&amp;D404&amp;"|"&amp;G404</f>
        <v>Deling food|План|Итого по дилеру|1</v>
      </c>
      <c t="str" r="R404" s="6">
        <f>A404&amp;"|"&amp;C404&amp;"|"&amp;D404&amp;"|"&amp;J404</f>
        <v>Deling food|План|Итого по дилеру|2</v>
      </c>
      <c t="str" r="S404" s="6">
        <f>A404&amp;"|"&amp;C404&amp;"|"&amp;D404&amp;"|"&amp;G404&amp;"|"&amp;J404</f>
        <v>Deling food|План|Итого по дилеру|1|2</v>
      </c>
      <c t="str" r="T404" s="6">
        <f>A404&amp;"|"&amp;C404&amp;"|"&amp;G404</f>
        <v>Deling food|План|1</v>
      </c>
      <c t="str" r="U404" s="6">
        <f>IF(H404="да",A404&amp;"|"&amp;C404&amp;"|"&amp;D404&amp;"|"&amp;J404,"")</f>
        <v/>
      </c>
      <c t="str" r="V404" s="6">
        <f>IF(C404="План",A404&amp;"|"&amp;J404,"")</f>
        <v>Deling food|2</v>
      </c>
    </row>
    <row r="405">
      <c r="A405" s="3" t="inlineStr">
        <is>
          <t>Deling food</t>
        </is>
      </c>
      <c r="B405" s="3" t="inlineStr">
        <is>
          <t>Заруб</t>
        </is>
      </c>
      <c r="C405" s="3" t="inlineStr">
        <is>
          <t>План</t>
        </is>
      </c>
      <c r="D405" s="3" t="inlineStr">
        <is>
          <t>Итого по дилеру</t>
        </is>
      </c>
      <c r="E405" s="3" t="inlineStr">
        <is>
          <t>План и бонусы</t>
        </is>
      </c>
      <c r="F405" s="3" t="inlineStr">
        <is>
          <t>План 2026</t>
        </is>
      </c>
      <c r="G405" s="4" t="n">
        <v>1</v>
      </c>
      <c r="H405" s="4" t="n"/>
      <c r="I405" s="3" t="n"/>
      <c r="J405" s="4" t="n">
        <v>3</v>
      </c>
      <c r="K405" s="4" t="n"/>
      <c r="L405" s="4" t="n"/>
      <c r="M405" s="5" t="n">
        <v>640000</v>
      </c>
      <c r="N405" s="4" t="inlineStr">
        <is>
          <t>EUR</t>
        </is>
      </c>
      <c r="O405" s="3" t="inlineStr">
        <is>
          <t>Deling fod</t>
        </is>
      </c>
      <c r="P405" s="3" t="inlineStr">
        <is>
          <t>F4</t>
        </is>
      </c>
      <c t="str" r="Q405" s="6">
        <f>A405&amp;"|"&amp;C405&amp;"|"&amp;D405&amp;"|"&amp;G405</f>
        <v>Deling food|План|Итого по дилеру|1</v>
      </c>
      <c t="str" r="R405" s="6">
        <f>A405&amp;"|"&amp;C405&amp;"|"&amp;D405&amp;"|"&amp;J405</f>
        <v>Deling food|План|Итого по дилеру|3</v>
      </c>
      <c t="str" r="S405" s="6">
        <f>A405&amp;"|"&amp;C405&amp;"|"&amp;D405&amp;"|"&amp;G405&amp;"|"&amp;J405</f>
        <v>Deling food|План|Итого по дилеру|1|3</v>
      </c>
      <c t="str" r="T405" s="6">
        <f>A405&amp;"|"&amp;C405&amp;"|"&amp;G405</f>
        <v>Deling food|План|1</v>
      </c>
      <c t="str" r="U405" s="6">
        <f>IF(H405="да",A405&amp;"|"&amp;C405&amp;"|"&amp;D405&amp;"|"&amp;J405,"")</f>
        <v/>
      </c>
      <c t="str" r="V405" s="6">
        <f>IF(C405="План",A405&amp;"|"&amp;J405,"")</f>
        <v>Deling food|3</v>
      </c>
    </row>
    <row r="406">
      <c r="A406" s="3" t="inlineStr">
        <is>
          <t>Deling food</t>
        </is>
      </c>
      <c r="B406" s="3" t="inlineStr">
        <is>
          <t>Заруб</t>
        </is>
      </c>
      <c r="C406" s="3" t="inlineStr">
        <is>
          <t>План</t>
        </is>
      </c>
      <c r="D406" s="3" t="inlineStr">
        <is>
          <t>Итого по дилеру</t>
        </is>
      </c>
      <c r="E406" s="3" t="inlineStr">
        <is>
          <t>План и бонусы</t>
        </is>
      </c>
      <c r="F406" s="3" t="inlineStr">
        <is>
          <t>Прирост П/Ф</t>
        </is>
      </c>
      <c r="G406" s="4" t="n">
        <v>1</v>
      </c>
      <c r="H406" s="4" t="n"/>
      <c r="I406" s="3" t="n"/>
      <c r="J406" s="4" t="n">
        <v>4</v>
      </c>
      <c r="K406" s="4" t="n"/>
      <c r="L406" s="4" t="n"/>
      <c r="M406" s="7" t="n">
        <v>1.164187432157796</v>
      </c>
      <c r="N406" s="4" t="inlineStr">
        <is>
          <t>%</t>
        </is>
      </c>
      <c r="O406" s="3" t="inlineStr">
        <is>
          <t>Deling fod</t>
        </is>
      </c>
      <c r="P406" s="3" t="inlineStr">
        <is>
          <t>G4</t>
        </is>
      </c>
      <c t="str" r="Q406" s="6">
        <f>A406&amp;"|"&amp;C406&amp;"|"&amp;D406&amp;"|"&amp;G406</f>
        <v>Deling food|План|Итого по дилеру|1</v>
      </c>
      <c t="str" r="R406" s="6">
        <f>A406&amp;"|"&amp;C406&amp;"|"&amp;D406&amp;"|"&amp;J406</f>
        <v>Deling food|План|Итого по дилеру|4</v>
      </c>
      <c t="str" r="S406" s="6">
        <f>A406&amp;"|"&amp;C406&amp;"|"&amp;D406&amp;"|"&amp;G406&amp;"|"&amp;J406</f>
        <v>Deling food|План|Итого по дилеру|1|4</v>
      </c>
      <c t="str" r="T406" s="6">
        <f>A406&amp;"|"&amp;C406&amp;"|"&amp;G406</f>
        <v>Deling food|План|1</v>
      </c>
      <c t="str" r="U406" s="6">
        <f>IF(H406="да",A406&amp;"|"&amp;C406&amp;"|"&amp;D406&amp;"|"&amp;J406,"")</f>
        <v/>
      </c>
      <c t="str" r="V406" s="6">
        <f>IF(C406="План",A406&amp;"|"&amp;J406,"")</f>
        <v>Deling food|4</v>
      </c>
    </row>
    <row r="407">
      <c r="A407" s="3" t="inlineStr">
        <is>
          <t>Deling food</t>
        </is>
      </c>
      <c r="B407" s="3" t="inlineStr">
        <is>
          <t>Заруб</t>
        </is>
      </c>
      <c r="C407" s="3" t="inlineStr">
        <is>
          <t>План</t>
        </is>
      </c>
      <c r="D407" s="3" t="inlineStr">
        <is>
          <t>Сервис</t>
        </is>
      </c>
      <c r="E407" s="3" t="inlineStr">
        <is>
          <t>План и бонусы</t>
        </is>
      </c>
      <c r="F407" s="3" t="inlineStr">
        <is>
          <t>Выручка 2025</t>
        </is>
      </c>
      <c r="G407" s="4" t="n">
        <v>2</v>
      </c>
      <c r="H407" s="4" t="n"/>
      <c r="I407" s="3" t="n"/>
      <c r="J407" s="4" t="n">
        <v>2</v>
      </c>
      <c r="K407" s="4" t="n"/>
      <c r="L407" s="4" t="n"/>
      <c r="M407" s="5" t="n">
        <v>1455</v>
      </c>
      <c r="N407" s="4" t="inlineStr">
        <is>
          <t>EUR</t>
        </is>
      </c>
      <c r="O407" s="3" t="inlineStr">
        <is>
          <t>Deling fod</t>
        </is>
      </c>
      <c r="P407" s="3" t="inlineStr">
        <is>
          <t>E5</t>
        </is>
      </c>
      <c t="str" r="Q407" s="6">
        <f>A407&amp;"|"&amp;C407&amp;"|"&amp;D407&amp;"|"&amp;G407</f>
        <v>Deling food|План|Сервис|2</v>
      </c>
      <c t="str" r="R407" s="6">
        <f>A407&amp;"|"&amp;C407&amp;"|"&amp;D407&amp;"|"&amp;J407</f>
        <v>Deling food|План|Сервис|2</v>
      </c>
      <c t="str" r="S407" s="6">
        <f>A407&amp;"|"&amp;C407&amp;"|"&amp;D407&amp;"|"&amp;G407&amp;"|"&amp;J407</f>
        <v>Deling food|План|Сервис|2|2</v>
      </c>
      <c t="str" r="T407" s="6">
        <f>A407&amp;"|"&amp;C407&amp;"|"&amp;G407</f>
        <v>Deling food|План|2</v>
      </c>
      <c t="str" r="U407" s="6">
        <f>IF(H407="да",A407&amp;"|"&amp;C407&amp;"|"&amp;D407&amp;"|"&amp;J407,"")</f>
        <v/>
      </c>
      <c t="str" r="V407" s="6">
        <f>IF(C407="План",A407&amp;"|"&amp;J407,"")</f>
        <v>Deling food|2</v>
      </c>
    </row>
    <row r="408">
      <c r="A408" s="3" t="inlineStr">
        <is>
          <t>Deling food</t>
        </is>
      </c>
      <c r="B408" s="3" t="inlineStr">
        <is>
          <t>Заруб</t>
        </is>
      </c>
      <c r="C408" s="3" t="inlineStr">
        <is>
          <t>План</t>
        </is>
      </c>
      <c r="D408" s="3" t="inlineStr">
        <is>
          <t>Сервис</t>
        </is>
      </c>
      <c r="E408" s="3" t="inlineStr">
        <is>
          <t>План и бонусы</t>
        </is>
      </c>
      <c r="F408" s="3" t="inlineStr">
        <is>
          <t>План 2026</t>
        </is>
      </c>
      <c r="G408" s="4" t="n">
        <v>2</v>
      </c>
      <c r="H408" s="4" t="n"/>
      <c r="I408" s="3" t="n"/>
      <c r="J408" s="4" t="n">
        <v>3</v>
      </c>
      <c r="K408" s="4" t="n"/>
      <c r="L408" s="4" t="n"/>
      <c r="M408" s="5" t="n">
        <v>75000</v>
      </c>
      <c r="N408" s="4" t="inlineStr">
        <is>
          <t>EUR</t>
        </is>
      </c>
      <c r="O408" s="3" t="inlineStr">
        <is>
          <t>Deling fod</t>
        </is>
      </c>
      <c r="P408" s="3" t="inlineStr">
        <is>
          <t>F5</t>
        </is>
      </c>
      <c t="str" r="Q408" s="6">
        <f>A408&amp;"|"&amp;C408&amp;"|"&amp;D408&amp;"|"&amp;G408</f>
        <v>Deling food|План|Сервис|2</v>
      </c>
      <c t="str" r="R408" s="6">
        <f>A408&amp;"|"&amp;C408&amp;"|"&amp;D408&amp;"|"&amp;J408</f>
        <v>Deling food|План|Сервис|3</v>
      </c>
      <c t="str" r="S408" s="6">
        <f>A408&amp;"|"&amp;C408&amp;"|"&amp;D408&amp;"|"&amp;G408&amp;"|"&amp;J408</f>
        <v>Deling food|План|Сервис|2|3</v>
      </c>
      <c t="str" r="T408" s="6">
        <f>A408&amp;"|"&amp;C408&amp;"|"&amp;G408</f>
        <v>Deling food|План|2</v>
      </c>
      <c t="str" r="U408" s="6">
        <f>IF(H408="да",A408&amp;"|"&amp;C408&amp;"|"&amp;D408&amp;"|"&amp;J408,"")</f>
        <v/>
      </c>
      <c t="str" r="V408" s="6">
        <f>IF(C408="План",A408&amp;"|"&amp;J408,"")</f>
        <v>Deling food|3</v>
      </c>
    </row>
    <row r="409">
      <c r="A409" s="3" t="inlineStr">
        <is>
          <t>Deling food</t>
        </is>
      </c>
      <c r="B409" s="3" t="inlineStr">
        <is>
          <t>Заруб</t>
        </is>
      </c>
      <c r="C409" s="3" t="inlineStr">
        <is>
          <t>План</t>
        </is>
      </c>
      <c r="D409" s="3" t="inlineStr">
        <is>
          <t>Сервис</t>
        </is>
      </c>
      <c r="E409" s="3" t="inlineStr">
        <is>
          <t>План и бонусы</t>
        </is>
      </c>
      <c r="F409" s="3" t="inlineStr">
        <is>
          <t>Размер бонуса по итогам 2026 г</t>
        </is>
      </c>
      <c r="G409" s="4" t="n">
        <v>2</v>
      </c>
      <c r="H409" s="4" t="n"/>
      <c r="I409" s="3" t="n"/>
      <c r="J409" s="4" t="n">
        <v>5</v>
      </c>
      <c r="K409" s="4" t="n"/>
      <c r="L409" s="4" t="n"/>
      <c r="M409" s="7" t="n">
        <v>0.01</v>
      </c>
      <c r="N409" s="4" t="inlineStr">
        <is>
          <t>%</t>
        </is>
      </c>
      <c r="O409" s="3" t="inlineStr">
        <is>
          <t>Deling fod</t>
        </is>
      </c>
      <c r="P409" s="3" t="inlineStr">
        <is>
          <t>H5</t>
        </is>
      </c>
      <c t="str" r="Q409" s="6">
        <f>A409&amp;"|"&amp;C409&amp;"|"&amp;D409&amp;"|"&amp;G409</f>
        <v>Deling food|План|Сервис|2</v>
      </c>
      <c t="str" r="R409" s="6">
        <f>A409&amp;"|"&amp;C409&amp;"|"&amp;D409&amp;"|"&amp;J409</f>
        <v>Deling food|План|Сервис|5</v>
      </c>
      <c t="str" r="S409" s="6">
        <f>A409&amp;"|"&amp;C409&amp;"|"&amp;D409&amp;"|"&amp;G409&amp;"|"&amp;J409</f>
        <v>Deling food|План|Сервис|2|5</v>
      </c>
      <c t="str" r="T409" s="6">
        <f>A409&amp;"|"&amp;C409&amp;"|"&amp;G409</f>
        <v>Deling food|План|2</v>
      </c>
      <c t="str" r="U409" s="6">
        <f>IF(H409="да",A409&amp;"|"&amp;C409&amp;"|"&amp;D409&amp;"|"&amp;J409,"")</f>
        <v/>
      </c>
      <c t="str" r="V409" s="6">
        <f>IF(C409="План",A409&amp;"|"&amp;J409,"")</f>
        <v>Deling food|5</v>
      </c>
    </row>
    <row r="410">
      <c r="A410" s="3" t="inlineStr">
        <is>
          <t>Deling food</t>
        </is>
      </c>
      <c r="B410" s="3" t="inlineStr">
        <is>
          <t>Заруб</t>
        </is>
      </c>
      <c r="C410" s="3" t="inlineStr">
        <is>
          <t>План</t>
        </is>
      </c>
      <c r="D410" s="3" t="inlineStr">
        <is>
          <t>Сервис</t>
        </is>
      </c>
      <c r="E410" s="3" t="inlineStr">
        <is>
          <t>План и бонусы</t>
        </is>
      </c>
      <c r="F410" s="3" t="inlineStr">
        <is>
          <t>Скидка в 1 кв. 2026 ф.г.*</t>
        </is>
      </c>
      <c r="G410" s="4" t="n">
        <v>2</v>
      </c>
      <c r="H410" s="4" t="n"/>
      <c r="I410" s="3" t="n"/>
      <c r="J410" s="4" t="n">
        <v>6</v>
      </c>
      <c r="K410" s="4" t="n"/>
      <c r="L410" s="4" t="n"/>
      <c r="M410" s="8" t="n">
        <v>0.16</v>
      </c>
      <c r="N410" s="4" t="inlineStr">
        <is>
          <t>%</t>
        </is>
      </c>
      <c r="O410" s="3" t="inlineStr">
        <is>
          <t>Deling fod</t>
        </is>
      </c>
      <c r="P410" s="3" t="inlineStr">
        <is>
          <t>I5</t>
        </is>
      </c>
      <c t="str" r="Q410" s="6">
        <f>A410&amp;"|"&amp;C410&amp;"|"&amp;D410&amp;"|"&amp;G410</f>
        <v>Deling food|План|Сервис|2</v>
      </c>
      <c t="str" r="R410" s="6">
        <f>A410&amp;"|"&amp;C410&amp;"|"&amp;D410&amp;"|"&amp;J410</f>
        <v>Deling food|План|Сервис|6</v>
      </c>
      <c t="str" r="S410" s="6">
        <f>A410&amp;"|"&amp;C410&amp;"|"&amp;D410&amp;"|"&amp;G410&amp;"|"&amp;J410</f>
        <v>Deling food|План|Сервис|2|6</v>
      </c>
      <c t="str" r="T410" s="6">
        <f>A410&amp;"|"&amp;C410&amp;"|"&amp;G410</f>
        <v>Deling food|План|2</v>
      </c>
      <c t="str" r="U410" s="6">
        <f>IF(H410="да",A410&amp;"|"&amp;C410&amp;"|"&amp;D410&amp;"|"&amp;J410,"")</f>
        <v/>
      </c>
      <c t="str" r="V410" s="6">
        <f>IF(C410="План",A410&amp;"|"&amp;J410,"")</f>
        <v>Deling food|6</v>
      </c>
    </row>
    <row r="411">
      <c r="A411" s="3" t="inlineStr">
        <is>
          <t>Deling food</t>
        </is>
      </c>
      <c r="B411" s="3" t="inlineStr">
        <is>
          <t>Заруб</t>
        </is>
      </c>
      <c r="C411" s="3" t="inlineStr">
        <is>
          <t>План</t>
        </is>
      </c>
      <c r="D411" s="3" t="inlineStr">
        <is>
          <t>Оборудование</t>
        </is>
      </c>
      <c r="E411" s="3" t="inlineStr">
        <is>
          <t>План и бонусы</t>
        </is>
      </c>
      <c r="F411" s="3" t="inlineStr">
        <is>
          <t>Выручка 2024</t>
        </is>
      </c>
      <c r="G411" s="4" t="n">
        <v>3</v>
      </c>
      <c r="H411" s="4" t="n"/>
      <c r="I411" s="3" t="n"/>
      <c r="J411" s="4" t="n">
        <v>1</v>
      </c>
      <c r="K411" s="4" t="n"/>
      <c r="L411" s="4" t="n"/>
      <c r="M411" s="5" t="n">
        <v>249821</v>
      </c>
      <c r="N411" s="4" t="inlineStr">
        <is>
          <t>EUR</t>
        </is>
      </c>
      <c r="O411" s="3" t="inlineStr">
        <is>
          <t>Deling fod</t>
        </is>
      </c>
      <c r="P411" s="3" t="inlineStr">
        <is>
          <t>D6</t>
        </is>
      </c>
      <c t="str" r="Q411" s="6">
        <f>A411&amp;"|"&amp;C411&amp;"|"&amp;D411&amp;"|"&amp;G411</f>
        <v>Deling food|План|Оборудование|3</v>
      </c>
      <c t="str" r="R411" s="6">
        <f>A411&amp;"|"&amp;C411&amp;"|"&amp;D411&amp;"|"&amp;J411</f>
        <v>Deling food|План|Оборудование|1</v>
      </c>
      <c t="str" r="S411" s="6">
        <f>A411&amp;"|"&amp;C411&amp;"|"&amp;D411&amp;"|"&amp;G411&amp;"|"&amp;J411</f>
        <v>Deling food|План|Оборудование|3|1</v>
      </c>
      <c t="str" r="T411" s="6">
        <f>A411&amp;"|"&amp;C411&amp;"|"&amp;G411</f>
        <v>Deling food|План|3</v>
      </c>
      <c t="str" r="U411" s="6">
        <f>IF(H411="да",A411&amp;"|"&amp;C411&amp;"|"&amp;D411&amp;"|"&amp;J411,"")</f>
        <v/>
      </c>
      <c t="str" r="V411" s="6">
        <f>IF(C411="План",A411&amp;"|"&amp;J411,"")</f>
        <v>Deling food|1</v>
      </c>
    </row>
    <row r="412">
      <c r="A412" s="3" t="inlineStr">
        <is>
          <t>Deling food</t>
        </is>
      </c>
      <c r="B412" s="3" t="inlineStr">
        <is>
          <t>Заруб</t>
        </is>
      </c>
      <c r="C412" s="3" t="inlineStr">
        <is>
          <t>План</t>
        </is>
      </c>
      <c r="D412" s="3" t="inlineStr">
        <is>
          <t>Оборудование</t>
        </is>
      </c>
      <c r="E412" s="3" t="inlineStr">
        <is>
          <t>План и бонусы</t>
        </is>
      </c>
      <c r="F412" s="3" t="inlineStr">
        <is>
          <t>Выручка 2025</t>
        </is>
      </c>
      <c r="G412" s="4" t="n">
        <v>3</v>
      </c>
      <c r="H412" s="4" t="n"/>
      <c r="I412" s="3" t="n"/>
      <c r="J412" s="4" t="n">
        <v>2</v>
      </c>
      <c r="K412" s="4" t="n"/>
      <c r="L412" s="4" t="n"/>
      <c r="M412" s="5" t="n">
        <v>131398</v>
      </c>
      <c r="N412" s="4" t="inlineStr">
        <is>
          <t>EUR</t>
        </is>
      </c>
      <c r="O412" s="3" t="inlineStr">
        <is>
          <t>Deling fod</t>
        </is>
      </c>
      <c r="P412" s="3" t="inlineStr">
        <is>
          <t>E6</t>
        </is>
      </c>
      <c t="str" r="Q412" s="6">
        <f>A412&amp;"|"&amp;C412&amp;"|"&amp;D412&amp;"|"&amp;G412</f>
        <v>Deling food|План|Оборудование|3</v>
      </c>
      <c t="str" r="R412" s="6">
        <f>A412&amp;"|"&amp;C412&amp;"|"&amp;D412&amp;"|"&amp;J412</f>
        <v>Deling food|План|Оборудование|2</v>
      </c>
      <c t="str" r="S412" s="6">
        <f>A412&amp;"|"&amp;C412&amp;"|"&amp;D412&amp;"|"&amp;G412&amp;"|"&amp;J412</f>
        <v>Deling food|План|Оборудование|3|2</v>
      </c>
      <c t="str" r="T412" s="6">
        <f>A412&amp;"|"&amp;C412&amp;"|"&amp;G412</f>
        <v>Deling food|План|3</v>
      </c>
      <c t="str" r="U412" s="6">
        <f>IF(H412="да",A412&amp;"|"&amp;C412&amp;"|"&amp;D412&amp;"|"&amp;J412,"")</f>
        <v/>
      </c>
      <c t="str" r="V412" s="6">
        <f>IF(C412="План",A412&amp;"|"&amp;J412,"")</f>
        <v>Deling food|2</v>
      </c>
    </row>
    <row r="413">
      <c r="A413" s="3" t="inlineStr">
        <is>
          <t>Deling food</t>
        </is>
      </c>
      <c r="B413" s="3" t="inlineStr">
        <is>
          <t>Заруб</t>
        </is>
      </c>
      <c r="C413" s="3" t="inlineStr">
        <is>
          <t>План</t>
        </is>
      </c>
      <c r="D413" s="3" t="inlineStr">
        <is>
          <t>Оборудование</t>
        </is>
      </c>
      <c r="E413" s="3" t="inlineStr">
        <is>
          <t>План и бонусы</t>
        </is>
      </c>
      <c r="F413" s="3" t="inlineStr">
        <is>
          <t>План 2026</t>
        </is>
      </c>
      <c r="G413" s="4" t="n">
        <v>3</v>
      </c>
      <c r="H413" s="4" t="n"/>
      <c r="I413" s="3" t="n"/>
      <c r="J413" s="4" t="n">
        <v>3</v>
      </c>
      <c r="K413" s="4" t="n"/>
      <c r="L413" s="4" t="n"/>
      <c r="M413" s="5" t="n">
        <v>250000</v>
      </c>
      <c r="N413" s="4" t="inlineStr">
        <is>
          <t>EUR</t>
        </is>
      </c>
      <c r="O413" s="3" t="inlineStr">
        <is>
          <t>Deling fod</t>
        </is>
      </c>
      <c r="P413" s="3" t="inlineStr">
        <is>
          <t>F6</t>
        </is>
      </c>
      <c t="str" r="Q413" s="6">
        <f>A413&amp;"|"&amp;C413&amp;"|"&amp;D413&amp;"|"&amp;G413</f>
        <v>Deling food|План|Оборудование|3</v>
      </c>
      <c t="str" r="R413" s="6">
        <f>A413&amp;"|"&amp;C413&amp;"|"&amp;D413&amp;"|"&amp;J413</f>
        <v>Deling food|План|Оборудование|3</v>
      </c>
      <c t="str" r="S413" s="6">
        <f>A413&amp;"|"&amp;C413&amp;"|"&amp;D413&amp;"|"&amp;G413&amp;"|"&amp;J413</f>
        <v>Deling food|План|Оборудование|3|3</v>
      </c>
      <c t="str" r="T413" s="6">
        <f>A413&amp;"|"&amp;C413&amp;"|"&amp;G413</f>
        <v>Deling food|План|3</v>
      </c>
      <c t="str" r="U413" s="6">
        <f>IF(H413="да",A413&amp;"|"&amp;C413&amp;"|"&amp;D413&amp;"|"&amp;J413,"")</f>
        <v/>
      </c>
      <c t="str" r="V413" s="6">
        <f>IF(C413="План",A413&amp;"|"&amp;J413,"")</f>
        <v>Deling food|3</v>
      </c>
    </row>
    <row r="414">
      <c r="A414" s="3" t="inlineStr">
        <is>
          <t>Deling food</t>
        </is>
      </c>
      <c r="B414" s="3" t="inlineStr">
        <is>
          <t>Заруб</t>
        </is>
      </c>
      <c r="C414" s="3" t="inlineStr">
        <is>
          <t>План</t>
        </is>
      </c>
      <c r="D414" s="3" t="inlineStr">
        <is>
          <t>Оборудование</t>
        </is>
      </c>
      <c r="E414" s="3" t="inlineStr">
        <is>
          <t>План и бонусы</t>
        </is>
      </c>
      <c r="F414" s="3" t="inlineStr">
        <is>
          <t>Размер бонуса по итогам 2026 г</t>
        </is>
      </c>
      <c r="G414" s="4" t="n">
        <v>3</v>
      </c>
      <c r="H414" s="4" t="n"/>
      <c r="I414" s="3" t="n"/>
      <c r="J414" s="4" t="n">
        <v>5</v>
      </c>
      <c r="K414" s="4" t="n"/>
      <c r="L414" s="4" t="n"/>
      <c r="M414" s="7" t="n">
        <v>0.015</v>
      </c>
      <c r="N414" s="4" t="inlineStr">
        <is>
          <t>%</t>
        </is>
      </c>
      <c r="O414" s="3" t="inlineStr">
        <is>
          <t>Deling fod</t>
        </is>
      </c>
      <c r="P414" s="3" t="inlineStr">
        <is>
          <t>H6</t>
        </is>
      </c>
      <c t="str" r="Q414" s="6">
        <f>A414&amp;"|"&amp;C414&amp;"|"&amp;D414&amp;"|"&amp;G414</f>
        <v>Deling food|План|Оборудование|3</v>
      </c>
      <c t="str" r="R414" s="6">
        <f>A414&amp;"|"&amp;C414&amp;"|"&amp;D414&amp;"|"&amp;J414</f>
        <v>Deling food|План|Оборудование|5</v>
      </c>
      <c t="str" r="S414" s="6">
        <f>A414&amp;"|"&amp;C414&amp;"|"&amp;D414&amp;"|"&amp;G414&amp;"|"&amp;J414</f>
        <v>Deling food|План|Оборудование|3|5</v>
      </c>
      <c t="str" r="T414" s="6">
        <f>A414&amp;"|"&amp;C414&amp;"|"&amp;G414</f>
        <v>Deling food|План|3</v>
      </c>
      <c t="str" r="U414" s="6">
        <f>IF(H414="да",A414&amp;"|"&amp;C414&amp;"|"&amp;D414&amp;"|"&amp;J414,"")</f>
        <v/>
      </c>
      <c t="str" r="V414" s="6">
        <f>IF(C414="План",A414&amp;"|"&amp;J414,"")</f>
        <v>Deling food|5</v>
      </c>
    </row>
    <row r="415">
      <c r="A415" s="3" t="inlineStr">
        <is>
          <t>Deling food</t>
        </is>
      </c>
      <c r="B415" s="3" t="inlineStr">
        <is>
          <t>Заруб</t>
        </is>
      </c>
      <c r="C415" s="3" t="inlineStr">
        <is>
          <t>План</t>
        </is>
      </c>
      <c r="D415" s="3" t="inlineStr">
        <is>
          <t>Оборудование</t>
        </is>
      </c>
      <c r="E415" s="3" t="inlineStr">
        <is>
          <t>План и бонусы</t>
        </is>
      </c>
      <c r="F415" s="3" t="inlineStr">
        <is>
          <t>Скидка в 1 кв. 2026 ф.г.*</t>
        </is>
      </c>
      <c r="G415" s="4" t="n">
        <v>3</v>
      </c>
      <c r="H415" s="4" t="n"/>
      <c r="I415" s="3" t="n"/>
      <c r="J415" s="4" t="n">
        <v>6</v>
      </c>
      <c r="K415" s="4" t="n"/>
      <c r="L415" s="4" t="n"/>
      <c r="M415" s="8" t="n">
        <v>0.18</v>
      </c>
      <c r="N415" s="4" t="inlineStr">
        <is>
          <t>%</t>
        </is>
      </c>
      <c r="O415" s="3" t="inlineStr">
        <is>
          <t>Deling fod</t>
        </is>
      </c>
      <c r="P415" s="3" t="inlineStr">
        <is>
          <t>I6</t>
        </is>
      </c>
      <c t="str" r="Q415" s="6">
        <f>A415&amp;"|"&amp;C415&amp;"|"&amp;D415&amp;"|"&amp;G415</f>
        <v>Deling food|План|Оборудование|3</v>
      </c>
      <c t="str" r="R415" s="6">
        <f>A415&amp;"|"&amp;C415&amp;"|"&amp;D415&amp;"|"&amp;J415</f>
        <v>Deling food|План|Оборудование|6</v>
      </c>
      <c t="str" r="S415" s="6">
        <f>A415&amp;"|"&amp;C415&amp;"|"&amp;D415&amp;"|"&amp;G415&amp;"|"&amp;J415</f>
        <v>Deling food|План|Оборудование|3|6</v>
      </c>
      <c t="str" r="T415" s="6">
        <f>A415&amp;"|"&amp;C415&amp;"|"&amp;G415</f>
        <v>Deling food|План|3</v>
      </c>
      <c t="str" r="U415" s="6">
        <f>IF(H415="да",A415&amp;"|"&amp;C415&amp;"|"&amp;D415&amp;"|"&amp;J415,"")</f>
        <v/>
      </c>
      <c t="str" r="V415" s="6">
        <f>IF(C415="План",A415&amp;"|"&amp;J415,"")</f>
        <v>Deling food|6</v>
      </c>
    </row>
    <row r="416">
      <c r="A416" s="3" t="inlineStr">
        <is>
          <t>Deling food</t>
        </is>
      </c>
      <c r="B416" s="3" t="inlineStr">
        <is>
          <t>Заруб</t>
        </is>
      </c>
      <c r="C416" s="3" t="inlineStr">
        <is>
          <t>План</t>
        </is>
      </c>
      <c r="D416" s="3" t="inlineStr">
        <is>
          <t>Расходные материалы</t>
        </is>
      </c>
      <c r="E416" s="3" t="inlineStr">
        <is>
          <t>План и бонусы</t>
        </is>
      </c>
      <c r="F416" s="3" t="inlineStr">
        <is>
          <t>Выручка 2024</t>
        </is>
      </c>
      <c r="G416" s="4" t="n">
        <v>4</v>
      </c>
      <c r="H416" s="4" t="n"/>
      <c r="I416" s="3" t="n"/>
      <c r="J416" s="4" t="n">
        <v>1</v>
      </c>
      <c r="K416" s="4" t="n"/>
      <c r="L416" s="4" t="n"/>
      <c r="M416" s="5" t="n">
        <v>146694</v>
      </c>
      <c r="N416" s="4" t="inlineStr">
        <is>
          <t>EUR</t>
        </is>
      </c>
      <c r="O416" s="3" t="inlineStr">
        <is>
          <t>Deling fod</t>
        </is>
      </c>
      <c r="P416" s="3" t="inlineStr">
        <is>
          <t>D7</t>
        </is>
      </c>
      <c t="str" r="Q416" s="6">
        <f>A416&amp;"|"&amp;C416&amp;"|"&amp;D416&amp;"|"&amp;G416</f>
        <v>Deling food|План|Расходные материалы|4</v>
      </c>
      <c t="str" r="R416" s="6">
        <f>A416&amp;"|"&amp;C416&amp;"|"&amp;D416&amp;"|"&amp;J416</f>
        <v>Deling food|План|Расходные материалы|1</v>
      </c>
      <c t="str" r="S416" s="6">
        <f>A416&amp;"|"&amp;C416&amp;"|"&amp;D416&amp;"|"&amp;G416&amp;"|"&amp;J416</f>
        <v>Deling food|План|Расходные материалы|4|1</v>
      </c>
      <c t="str" r="T416" s="6">
        <f>A416&amp;"|"&amp;C416&amp;"|"&amp;G416</f>
        <v>Deling food|План|4</v>
      </c>
      <c t="str" r="U416" s="6">
        <f>IF(H416="да",A416&amp;"|"&amp;C416&amp;"|"&amp;D416&amp;"|"&amp;J416,"")</f>
        <v/>
      </c>
      <c t="str" r="V416" s="6">
        <f>IF(C416="План",A416&amp;"|"&amp;J416,"")</f>
        <v>Deling food|1</v>
      </c>
    </row>
    <row r="417">
      <c r="A417" s="3" t="inlineStr">
        <is>
          <t>Deling food</t>
        </is>
      </c>
      <c r="B417" s="3" t="inlineStr">
        <is>
          <t>Заруб</t>
        </is>
      </c>
      <c r="C417" s="3" t="inlineStr">
        <is>
          <t>План</t>
        </is>
      </c>
      <c r="D417" s="3" t="inlineStr">
        <is>
          <t>Расходные материалы</t>
        </is>
      </c>
      <c r="E417" s="3" t="inlineStr">
        <is>
          <t>План и бонусы</t>
        </is>
      </c>
      <c r="F417" s="3" t="inlineStr">
        <is>
          <t>Выручка 2025</t>
        </is>
      </c>
      <c r="G417" s="4" t="n">
        <v>4</v>
      </c>
      <c r="H417" s="4" t="n"/>
      <c r="I417" s="3" t="n"/>
      <c r="J417" s="4" t="n">
        <v>2</v>
      </c>
      <c r="K417" s="4" t="n"/>
      <c r="L417" s="4" t="n"/>
      <c r="M417" s="5" t="n">
        <v>163678</v>
      </c>
      <c r="N417" s="4" t="inlineStr">
        <is>
          <t>EUR</t>
        </is>
      </c>
      <c r="O417" s="3" t="inlineStr">
        <is>
          <t>Deling fod</t>
        </is>
      </c>
      <c r="P417" s="3" t="inlineStr">
        <is>
          <t>E7</t>
        </is>
      </c>
      <c t="str" r="Q417" s="6">
        <f>A417&amp;"|"&amp;C417&amp;"|"&amp;D417&amp;"|"&amp;G417</f>
        <v>Deling food|План|Расходные материалы|4</v>
      </c>
      <c t="str" r="R417" s="6">
        <f>A417&amp;"|"&amp;C417&amp;"|"&amp;D417&amp;"|"&amp;J417</f>
        <v>Deling food|План|Расходные материалы|2</v>
      </c>
      <c t="str" r="S417" s="6">
        <f>A417&amp;"|"&amp;C417&amp;"|"&amp;D417&amp;"|"&amp;G417&amp;"|"&amp;J417</f>
        <v>Deling food|План|Расходные материалы|4|2</v>
      </c>
      <c t="str" r="T417" s="6">
        <f>A417&amp;"|"&amp;C417&amp;"|"&amp;G417</f>
        <v>Deling food|План|4</v>
      </c>
      <c t="str" r="U417" s="6">
        <f>IF(H417="да",A417&amp;"|"&amp;C417&amp;"|"&amp;D417&amp;"|"&amp;J417,"")</f>
        <v/>
      </c>
      <c t="str" r="V417" s="6">
        <f>IF(C417="План",A417&amp;"|"&amp;J417,"")</f>
        <v>Deling food|2</v>
      </c>
    </row>
    <row r="418">
      <c r="A418" s="3" t="inlineStr">
        <is>
          <t>Deling food</t>
        </is>
      </c>
      <c r="B418" s="3" t="inlineStr">
        <is>
          <t>Заруб</t>
        </is>
      </c>
      <c r="C418" s="3" t="inlineStr">
        <is>
          <t>План</t>
        </is>
      </c>
      <c r="D418" s="3" t="inlineStr">
        <is>
          <t>Расходные материалы</t>
        </is>
      </c>
      <c r="E418" s="3" t="inlineStr">
        <is>
          <t>План и бонусы</t>
        </is>
      </c>
      <c r="F418" s="3" t="inlineStr">
        <is>
          <t>План 2026</t>
        </is>
      </c>
      <c r="G418" s="4" t="n">
        <v>4</v>
      </c>
      <c r="H418" s="4" t="n"/>
      <c r="I418" s="3" t="n"/>
      <c r="J418" s="4" t="n">
        <v>3</v>
      </c>
      <c r="K418" s="4" t="n"/>
      <c r="L418" s="4" t="n"/>
      <c r="M418" s="5" t="n">
        <v>315000</v>
      </c>
      <c r="N418" s="4" t="inlineStr">
        <is>
          <t>EUR</t>
        </is>
      </c>
      <c r="O418" s="3" t="inlineStr">
        <is>
          <t>Deling fod</t>
        </is>
      </c>
      <c r="P418" s="3" t="inlineStr">
        <is>
          <t>F7</t>
        </is>
      </c>
      <c t="str" r="Q418" s="6">
        <f>A418&amp;"|"&amp;C418&amp;"|"&amp;D418&amp;"|"&amp;G418</f>
        <v>Deling food|План|Расходные материалы|4</v>
      </c>
      <c t="str" r="R418" s="6">
        <f>A418&amp;"|"&amp;C418&amp;"|"&amp;D418&amp;"|"&amp;J418</f>
        <v>Deling food|План|Расходные материалы|3</v>
      </c>
      <c t="str" r="S418" s="6">
        <f>A418&amp;"|"&amp;C418&amp;"|"&amp;D418&amp;"|"&amp;G418&amp;"|"&amp;J418</f>
        <v>Deling food|План|Расходные материалы|4|3</v>
      </c>
      <c t="str" r="T418" s="6">
        <f>A418&amp;"|"&amp;C418&amp;"|"&amp;G418</f>
        <v>Deling food|План|4</v>
      </c>
      <c t="str" r="U418" s="6">
        <f>IF(H418="да",A418&amp;"|"&amp;C418&amp;"|"&amp;D418&amp;"|"&amp;J418,"")</f>
        <v/>
      </c>
      <c t="str" r="V418" s="6">
        <f>IF(C418="План",A418&amp;"|"&amp;J418,"")</f>
        <v>Deling food|3</v>
      </c>
    </row>
    <row r="419">
      <c r="A419" s="3" t="inlineStr">
        <is>
          <t>Deling food</t>
        </is>
      </c>
      <c r="B419" s="3" t="inlineStr">
        <is>
          <t>Заруб</t>
        </is>
      </c>
      <c r="C419" s="3" t="inlineStr">
        <is>
          <t>План</t>
        </is>
      </c>
      <c r="D419" s="3" t="inlineStr">
        <is>
          <t>Расходные материалы</t>
        </is>
      </c>
      <c r="E419" s="3" t="inlineStr">
        <is>
          <t>План и бонусы</t>
        </is>
      </c>
      <c r="F419" s="3" t="inlineStr">
        <is>
          <t>Размер бонуса по итогам 2026 г</t>
        </is>
      </c>
      <c r="G419" s="4" t="n">
        <v>4</v>
      </c>
      <c r="H419" s="4" t="n"/>
      <c r="I419" s="3" t="n"/>
      <c r="J419" s="4" t="n">
        <v>5</v>
      </c>
      <c r="K419" s="4" t="n"/>
      <c r="L419" s="4" t="n"/>
      <c r="M419" s="7" t="n">
        <v>0.005</v>
      </c>
      <c r="N419" s="4" t="inlineStr">
        <is>
          <t>%</t>
        </is>
      </c>
      <c r="O419" s="3" t="inlineStr">
        <is>
          <t>Deling fod</t>
        </is>
      </c>
      <c r="P419" s="3" t="inlineStr">
        <is>
          <t>H7</t>
        </is>
      </c>
      <c t="str" r="Q419" s="6">
        <f>A419&amp;"|"&amp;C419&amp;"|"&amp;D419&amp;"|"&amp;G419</f>
        <v>Deling food|План|Расходные материалы|4</v>
      </c>
      <c t="str" r="R419" s="6">
        <f>A419&amp;"|"&amp;C419&amp;"|"&amp;D419&amp;"|"&amp;J419</f>
        <v>Deling food|План|Расходные материалы|5</v>
      </c>
      <c t="str" r="S419" s="6">
        <f>A419&amp;"|"&amp;C419&amp;"|"&amp;D419&amp;"|"&amp;G419&amp;"|"&amp;J419</f>
        <v>Deling food|План|Расходные материалы|4|5</v>
      </c>
      <c t="str" r="T419" s="6">
        <f>A419&amp;"|"&amp;C419&amp;"|"&amp;G419</f>
        <v>Deling food|План|4</v>
      </c>
      <c t="str" r="U419" s="6">
        <f>IF(H419="да",A419&amp;"|"&amp;C419&amp;"|"&amp;D419&amp;"|"&amp;J419,"")</f>
        <v/>
      </c>
      <c t="str" r="V419" s="6">
        <f>IF(C419="План",A419&amp;"|"&amp;J419,"")</f>
        <v>Deling food|5</v>
      </c>
    </row>
    <row r="420">
      <c r="A420" s="3" t="inlineStr">
        <is>
          <t>Deling food</t>
        </is>
      </c>
      <c r="B420" s="3" t="inlineStr">
        <is>
          <t>Заруб</t>
        </is>
      </c>
      <c r="C420" s="3" t="inlineStr">
        <is>
          <t>План</t>
        </is>
      </c>
      <c r="D420" s="3" t="inlineStr">
        <is>
          <t>Расходные материалы</t>
        </is>
      </c>
      <c r="E420" s="3" t="inlineStr">
        <is>
          <t>План и бонусы</t>
        </is>
      </c>
      <c r="F420" s="3" t="inlineStr">
        <is>
          <t>Скидка в 1 кв. 2026 ф.г.*</t>
        </is>
      </c>
      <c r="G420" s="4" t="n">
        <v>4</v>
      </c>
      <c r="H420" s="4" t="n"/>
      <c r="I420" s="3" t="n"/>
      <c r="J420" s="4" t="n">
        <v>6</v>
      </c>
      <c r="K420" s="4" t="n"/>
      <c r="L420" s="4" t="n"/>
      <c r="M420" s="8" t="n">
        <v>0.1</v>
      </c>
      <c r="N420" s="4" t="inlineStr">
        <is>
          <t>%</t>
        </is>
      </c>
      <c r="O420" s="3" t="inlineStr">
        <is>
          <t>Deling fod</t>
        </is>
      </c>
      <c r="P420" s="3" t="inlineStr">
        <is>
          <t>I7</t>
        </is>
      </c>
      <c t="str" r="Q420" s="6">
        <f>A420&amp;"|"&amp;C420&amp;"|"&amp;D420&amp;"|"&amp;G420</f>
        <v>Deling food|План|Расходные материалы|4</v>
      </c>
      <c t="str" r="R420" s="6">
        <f>A420&amp;"|"&amp;C420&amp;"|"&amp;D420&amp;"|"&amp;J420</f>
        <v>Deling food|План|Расходные материалы|6</v>
      </c>
      <c t="str" r="S420" s="6">
        <f>A420&amp;"|"&amp;C420&amp;"|"&amp;D420&amp;"|"&amp;G420&amp;"|"&amp;J420</f>
        <v>Deling food|План|Расходные материалы|4|6</v>
      </c>
      <c t="str" r="T420" s="6">
        <f>A420&amp;"|"&amp;C420&amp;"|"&amp;G420</f>
        <v>Deling food|План|4</v>
      </c>
      <c t="str" r="U420" s="6">
        <f>IF(H420="да",A420&amp;"|"&amp;C420&amp;"|"&amp;D420&amp;"|"&amp;J420,"")</f>
        <v/>
      </c>
      <c t="str" r="V420" s="6">
        <f>IF(C420="План",A420&amp;"|"&amp;J420,"")</f>
        <v>Deling food|6</v>
      </c>
    </row>
    <row r="421">
      <c r="A421" s="3" t="inlineStr">
        <is>
          <t>Deling food</t>
        </is>
      </c>
      <c r="B421" s="3" t="inlineStr">
        <is>
          <t>Заруб</t>
        </is>
      </c>
      <c r="C421" s="3" t="inlineStr">
        <is>
          <t>Шкала</t>
        </is>
      </c>
      <c r="D421" s="3" t="inlineStr">
        <is>
          <t>Оборудование</t>
        </is>
      </c>
      <c r="E421" s="3" t="inlineStr">
        <is>
          <t>Оборудование — за полугодие</t>
        </is>
      </c>
      <c r="F421" s="3" t="inlineStr">
        <is>
          <t>Базовое вознаграждение за Дилерский договор</t>
        </is>
      </c>
      <c r="G421" s="4" t="n">
        <v>1</v>
      </c>
      <c r="H421" s="4" t="n"/>
      <c r="I421" s="3" t="inlineStr">
        <is>
          <t>до 75</t>
        </is>
      </c>
      <c r="J421" s="4" t="n">
        <v>1</v>
      </c>
      <c r="K421" s="4" t="n"/>
      <c r="L421" s="4" t="n"/>
      <c r="M421" s="8" t="n">
        <v>0.06</v>
      </c>
      <c r="N421" s="4" t="inlineStr">
        <is>
          <t>%</t>
        </is>
      </c>
      <c r="O421" s="3" t="inlineStr">
        <is>
          <t>Deling fod</t>
        </is>
      </c>
      <c r="P421" s="3" t="inlineStr">
        <is>
          <t>E14</t>
        </is>
      </c>
      <c t="str" r="Q421" s="6">
        <f>A421&amp;"|"&amp;C421&amp;"|"&amp;D421&amp;"|"&amp;G421</f>
        <v>Deling food|Шкала|Оборудование|1</v>
      </c>
      <c t="str" r="R421" s="6">
        <f>A421&amp;"|"&amp;C421&amp;"|"&amp;D421&amp;"|"&amp;J421</f>
        <v>Deling food|Шкала|Оборудование|1</v>
      </c>
      <c t="str" r="S421" s="6">
        <f>A421&amp;"|"&amp;C421&amp;"|"&amp;D421&amp;"|"&amp;G421&amp;"|"&amp;J421</f>
        <v>Deling food|Шкала|Оборудование|1|1</v>
      </c>
      <c t="str" r="T421" s="6">
        <f>A421&amp;"|"&amp;C421&amp;"|"&amp;G421</f>
        <v>Deling food|Шкала|1</v>
      </c>
      <c t="str" r="U421" s="6">
        <f>IF(H421="да",A421&amp;"|"&amp;C421&amp;"|"&amp;D421&amp;"|"&amp;J421,"")</f>
        <v/>
      </c>
      <c t="str" r="V421" s="6">
        <f>IF(C421="План",A421&amp;"|"&amp;J421,"")</f>
        <v/>
      </c>
    </row>
    <row r="422">
      <c r="A422" s="3" t="inlineStr">
        <is>
          <t>Deling food</t>
        </is>
      </c>
      <c r="B422" s="3" t="inlineStr">
        <is>
          <t>Заруб</t>
        </is>
      </c>
      <c r="C422" s="3" t="inlineStr">
        <is>
          <t>Шкала</t>
        </is>
      </c>
      <c r="D422" s="3" t="inlineStr">
        <is>
          <t>Оборудование</t>
        </is>
      </c>
      <c r="E422" s="3" t="inlineStr">
        <is>
          <t>Оборудование — за полугодие</t>
        </is>
      </c>
      <c r="F422" s="3" t="inlineStr">
        <is>
          <t>Базовое вознаграждение за Дилерский договор</t>
        </is>
      </c>
      <c r="G422" s="4" t="n">
        <v>1</v>
      </c>
      <c r="H422" s="4" t="n"/>
      <c r="I422" s="3" t="inlineStr">
        <is>
          <t>75-114</t>
        </is>
      </c>
      <c r="J422" s="4" t="n">
        <v>2</v>
      </c>
      <c r="K422" s="4" t="n"/>
      <c r="L422" s="4" t="n"/>
      <c r="M422" s="8" t="n">
        <v>0.06</v>
      </c>
      <c r="N422" s="4" t="inlineStr">
        <is>
          <t>%</t>
        </is>
      </c>
      <c r="O422" s="3" t="inlineStr">
        <is>
          <t>Deling fod</t>
        </is>
      </c>
      <c r="P422" s="3" t="inlineStr">
        <is>
          <t>F14</t>
        </is>
      </c>
      <c t="str" r="Q422" s="6">
        <f>A422&amp;"|"&amp;C422&amp;"|"&amp;D422&amp;"|"&amp;G422</f>
        <v>Deling food|Шкала|Оборудование|1</v>
      </c>
      <c t="str" r="R422" s="6">
        <f>A422&amp;"|"&amp;C422&amp;"|"&amp;D422&amp;"|"&amp;J422</f>
        <v>Deling food|Шкала|Оборудование|2</v>
      </c>
      <c t="str" r="S422" s="6">
        <f>A422&amp;"|"&amp;C422&amp;"|"&amp;D422&amp;"|"&amp;G422&amp;"|"&amp;J422</f>
        <v>Deling food|Шкала|Оборудование|1|2</v>
      </c>
      <c t="str" r="T422" s="6">
        <f>A422&amp;"|"&amp;C422&amp;"|"&amp;G422</f>
        <v>Deling food|Шкала|1</v>
      </c>
      <c t="str" r="U422" s="6">
        <f>IF(H422="да",A422&amp;"|"&amp;C422&amp;"|"&amp;D422&amp;"|"&amp;J422,"")</f>
        <v/>
      </c>
      <c t="str" r="V422" s="6">
        <f>IF(C422="План",A422&amp;"|"&amp;J422,"")</f>
        <v/>
      </c>
    </row>
    <row r="423">
      <c r="A423" s="3" t="inlineStr">
        <is>
          <t>Deling food</t>
        </is>
      </c>
      <c r="B423" s="3" t="inlineStr">
        <is>
          <t>Заруб</t>
        </is>
      </c>
      <c r="C423" s="3" t="inlineStr">
        <is>
          <t>Шкала</t>
        </is>
      </c>
      <c r="D423" s="3" t="inlineStr">
        <is>
          <t>Оборудование</t>
        </is>
      </c>
      <c r="E423" s="3" t="inlineStr">
        <is>
          <t>Оборудование — за полугодие</t>
        </is>
      </c>
      <c r="F423" s="3" t="inlineStr">
        <is>
          <t>Базовое вознаграждение за Дилерский договор</t>
        </is>
      </c>
      <c r="G423" s="4" t="n">
        <v>1</v>
      </c>
      <c r="H423" s="4" t="n"/>
      <c r="I423" s="3" t="inlineStr">
        <is>
          <t>115-149</t>
        </is>
      </c>
      <c r="J423" s="4" t="n">
        <v>3</v>
      </c>
      <c r="K423" s="4" t="n"/>
      <c r="L423" s="4" t="n"/>
      <c r="M423" s="8" t="n">
        <v>0.06</v>
      </c>
      <c r="N423" s="4" t="inlineStr">
        <is>
          <t>%</t>
        </is>
      </c>
      <c r="O423" s="3" t="inlineStr">
        <is>
          <t>Deling fod</t>
        </is>
      </c>
      <c r="P423" s="3" t="inlineStr">
        <is>
          <t>G14</t>
        </is>
      </c>
      <c t="str" r="Q423" s="6">
        <f>A423&amp;"|"&amp;C423&amp;"|"&amp;D423&amp;"|"&amp;G423</f>
        <v>Deling food|Шкала|Оборудование|1</v>
      </c>
      <c t="str" r="R423" s="6">
        <f>A423&amp;"|"&amp;C423&amp;"|"&amp;D423&amp;"|"&amp;J423</f>
        <v>Deling food|Шкала|Оборудование|3</v>
      </c>
      <c t="str" r="S423" s="6">
        <f>A423&amp;"|"&amp;C423&amp;"|"&amp;D423&amp;"|"&amp;G423&amp;"|"&amp;J423</f>
        <v>Deling food|Шкала|Оборудование|1|3</v>
      </c>
      <c t="str" r="T423" s="6">
        <f>A423&amp;"|"&amp;C423&amp;"|"&amp;G423</f>
        <v>Deling food|Шкала|1</v>
      </c>
      <c t="str" r="U423" s="6">
        <f>IF(H423="да",A423&amp;"|"&amp;C423&amp;"|"&amp;D423&amp;"|"&amp;J423,"")</f>
        <v/>
      </c>
      <c t="str" r="V423" s="6">
        <f>IF(C423="План",A423&amp;"|"&amp;J423,"")</f>
        <v/>
      </c>
    </row>
    <row r="424">
      <c r="A424" s="3" t="inlineStr">
        <is>
          <t>Deling food</t>
        </is>
      </c>
      <c r="B424" s="3" t="inlineStr">
        <is>
          <t>Заруб</t>
        </is>
      </c>
      <c r="C424" s="3" t="inlineStr">
        <is>
          <t>Шкала</t>
        </is>
      </c>
      <c r="D424" s="3" t="inlineStr">
        <is>
          <t>Оборудование</t>
        </is>
      </c>
      <c r="E424" s="3" t="inlineStr">
        <is>
          <t>Оборудование — за полугодие</t>
        </is>
      </c>
      <c r="F424" s="3" t="inlineStr">
        <is>
          <t>Базовое вознаграждение за Дилерский договор</t>
        </is>
      </c>
      <c r="G424" s="4" t="n">
        <v>1</v>
      </c>
      <c r="H424" s="4" t="n"/>
      <c r="I424" s="3" t="inlineStr">
        <is>
          <t>150-189</t>
        </is>
      </c>
      <c r="J424" s="4" t="n">
        <v>4</v>
      </c>
      <c r="K424" s="4" t="n"/>
      <c r="L424" s="4" t="n"/>
      <c r="M424" s="8" t="n">
        <v>0.06</v>
      </c>
      <c r="N424" s="4" t="inlineStr">
        <is>
          <t>%</t>
        </is>
      </c>
      <c r="O424" s="3" t="inlineStr">
        <is>
          <t>Deling fod</t>
        </is>
      </c>
      <c r="P424" s="3" t="inlineStr">
        <is>
          <t>H14</t>
        </is>
      </c>
      <c t="str" r="Q424" s="6">
        <f>A424&amp;"|"&amp;C424&amp;"|"&amp;D424&amp;"|"&amp;G424</f>
        <v>Deling food|Шкала|Оборудование|1</v>
      </c>
      <c t="str" r="R424" s="6">
        <f>A424&amp;"|"&amp;C424&amp;"|"&amp;D424&amp;"|"&amp;J424</f>
        <v>Deling food|Шкала|Оборудование|4</v>
      </c>
      <c t="str" r="S424" s="6">
        <f>A424&amp;"|"&amp;C424&amp;"|"&amp;D424&amp;"|"&amp;G424&amp;"|"&amp;J424</f>
        <v>Deling food|Шкала|Оборудование|1|4</v>
      </c>
      <c t="str" r="T424" s="6">
        <f>A424&amp;"|"&amp;C424&amp;"|"&amp;G424</f>
        <v>Deling food|Шкала|1</v>
      </c>
      <c t="str" r="U424" s="6">
        <f>IF(H424="да",A424&amp;"|"&amp;C424&amp;"|"&amp;D424&amp;"|"&amp;J424,"")</f>
        <v/>
      </c>
      <c t="str" r="V424" s="6">
        <f>IF(C424="План",A424&amp;"|"&amp;J424,"")</f>
        <v/>
      </c>
    </row>
    <row r="425">
      <c r="A425" s="3" t="inlineStr">
        <is>
          <t>Deling food</t>
        </is>
      </c>
      <c r="B425" s="3" t="inlineStr">
        <is>
          <t>Заруб</t>
        </is>
      </c>
      <c r="C425" s="3" t="inlineStr">
        <is>
          <t>Шкала</t>
        </is>
      </c>
      <c r="D425" s="3" t="inlineStr">
        <is>
          <t>Оборудование</t>
        </is>
      </c>
      <c r="E425" s="3" t="inlineStr">
        <is>
          <t>Оборудование — за полугодие</t>
        </is>
      </c>
      <c r="F425" s="3" t="inlineStr">
        <is>
          <t>Базовое вознаграждение за Дилерский договор</t>
        </is>
      </c>
      <c r="G425" s="4" t="n">
        <v>1</v>
      </c>
      <c r="H425" s="4" t="n"/>
      <c r="I425" s="3" t="inlineStr">
        <is>
          <t>190-224</t>
        </is>
      </c>
      <c r="J425" s="4" t="n">
        <v>5</v>
      </c>
      <c r="K425" s="4" t="n"/>
      <c r="L425" s="4" t="n"/>
      <c r="M425" s="8" t="n">
        <v>0.06</v>
      </c>
      <c r="N425" s="4" t="inlineStr">
        <is>
          <t>%</t>
        </is>
      </c>
      <c r="O425" s="3" t="inlineStr">
        <is>
          <t>Deling fod</t>
        </is>
      </c>
      <c r="P425" s="3" t="inlineStr">
        <is>
          <t>I14</t>
        </is>
      </c>
      <c t="str" r="Q425" s="6">
        <f>A425&amp;"|"&amp;C425&amp;"|"&amp;D425&amp;"|"&amp;G425</f>
        <v>Deling food|Шкала|Оборудование|1</v>
      </c>
      <c t="str" r="R425" s="6">
        <f>A425&amp;"|"&amp;C425&amp;"|"&amp;D425&amp;"|"&amp;J425</f>
        <v>Deling food|Шкала|Оборудование|5</v>
      </c>
      <c t="str" r="S425" s="6">
        <f>A425&amp;"|"&amp;C425&amp;"|"&amp;D425&amp;"|"&amp;G425&amp;"|"&amp;J425</f>
        <v>Deling food|Шкала|Оборудование|1|5</v>
      </c>
      <c t="str" r="T425" s="6">
        <f>A425&amp;"|"&amp;C425&amp;"|"&amp;G425</f>
        <v>Deling food|Шкала|1</v>
      </c>
      <c t="str" r="U425" s="6">
        <f>IF(H425="да",A425&amp;"|"&amp;C425&amp;"|"&amp;D425&amp;"|"&amp;J425,"")</f>
        <v/>
      </c>
      <c t="str" r="V425" s="6">
        <f>IF(C425="План",A425&amp;"|"&amp;J425,"")</f>
        <v/>
      </c>
    </row>
    <row r="426">
      <c r="A426" s="3" t="inlineStr">
        <is>
          <t>Deling food</t>
        </is>
      </c>
      <c r="B426" s="3" t="inlineStr">
        <is>
          <t>Заруб</t>
        </is>
      </c>
      <c r="C426" s="3" t="inlineStr">
        <is>
          <t>Шкала</t>
        </is>
      </c>
      <c r="D426" s="3" t="inlineStr">
        <is>
          <t>Оборудование</t>
        </is>
      </c>
      <c r="E426" s="3" t="inlineStr">
        <is>
          <t>Оборудование — за полугодие</t>
        </is>
      </c>
      <c r="F426" s="3" t="inlineStr">
        <is>
          <t>Базовое вознаграждение за Дилерский договор</t>
        </is>
      </c>
      <c r="G426" s="4" t="n">
        <v>1</v>
      </c>
      <c r="H426" s="4" t="n"/>
      <c r="I426" s="3" t="inlineStr">
        <is>
          <t>225 и более</t>
        </is>
      </c>
      <c r="J426" s="4" t="n">
        <v>6</v>
      </c>
      <c r="K426" s="4" t="n"/>
      <c r="L426" s="4" t="n"/>
      <c r="M426" s="8" t="n">
        <v>0.06</v>
      </c>
      <c r="N426" s="4" t="inlineStr">
        <is>
          <t>%</t>
        </is>
      </c>
      <c r="O426" s="3" t="inlineStr">
        <is>
          <t>Deling fod</t>
        </is>
      </c>
      <c r="P426" s="3" t="inlineStr">
        <is>
          <t>J14</t>
        </is>
      </c>
      <c t="str" r="Q426" s="6">
        <f>A426&amp;"|"&amp;C426&amp;"|"&amp;D426&amp;"|"&amp;G426</f>
        <v>Deling food|Шкала|Оборудование|1</v>
      </c>
      <c t="str" r="R426" s="6">
        <f>A426&amp;"|"&amp;C426&amp;"|"&amp;D426&amp;"|"&amp;J426</f>
        <v>Deling food|Шкала|Оборудование|6</v>
      </c>
      <c t="str" r="S426" s="6">
        <f>A426&amp;"|"&amp;C426&amp;"|"&amp;D426&amp;"|"&amp;G426&amp;"|"&amp;J426</f>
        <v>Deling food|Шкала|Оборудование|1|6</v>
      </c>
      <c t="str" r="T426" s="6">
        <f>A426&amp;"|"&amp;C426&amp;"|"&amp;G426</f>
        <v>Deling food|Шкала|1</v>
      </c>
      <c t="str" r="U426" s="6">
        <f>IF(H426="да",A426&amp;"|"&amp;C426&amp;"|"&amp;D426&amp;"|"&amp;J426,"")</f>
        <v/>
      </c>
      <c t="str" r="V426" s="6">
        <f>IF(C426="План",A426&amp;"|"&amp;J426,"")</f>
        <v/>
      </c>
    </row>
    <row r="427">
      <c r="A427" s="3" t="inlineStr">
        <is>
          <t>Deling food</t>
        </is>
      </c>
      <c r="B427" s="3" t="inlineStr">
        <is>
          <t>Заруб</t>
        </is>
      </c>
      <c r="C427" s="3" t="inlineStr">
        <is>
          <t>Шкала</t>
        </is>
      </c>
      <c r="D427" s="3" t="inlineStr">
        <is>
          <t>Оборудование</t>
        </is>
      </c>
      <c r="E427" s="3" t="inlineStr">
        <is>
          <t>Оборудование — за полугодие</t>
        </is>
      </c>
      <c r="F427" s="3" t="inlineStr">
        <is>
          <t>Наличие сервисного центра и гарантийное обслуживание</t>
        </is>
      </c>
      <c r="G427" s="4" t="n">
        <v>2</v>
      </c>
      <c r="H427" s="4" t="n"/>
      <c r="I427" s="3" t="inlineStr">
        <is>
          <t>до 75</t>
        </is>
      </c>
      <c r="J427" s="4" t="n">
        <v>1</v>
      </c>
      <c r="K427" s="4" t="n"/>
      <c r="L427" s="4" t="n"/>
      <c r="M427" s="8" t="n">
        <v>0.01</v>
      </c>
      <c r="N427" s="4" t="inlineStr">
        <is>
          <t>%</t>
        </is>
      </c>
      <c r="O427" s="3" t="inlineStr">
        <is>
          <t>Deling fod</t>
        </is>
      </c>
      <c r="P427" s="3" t="inlineStr">
        <is>
          <t>E15</t>
        </is>
      </c>
      <c t="str" r="Q427" s="6">
        <f>A427&amp;"|"&amp;C427&amp;"|"&amp;D427&amp;"|"&amp;G427</f>
        <v>Deling food|Шкала|Оборудование|2</v>
      </c>
      <c t="str" r="R427" s="6">
        <f>A427&amp;"|"&amp;C427&amp;"|"&amp;D427&amp;"|"&amp;J427</f>
        <v>Deling food|Шкала|Оборудование|1</v>
      </c>
      <c t="str" r="S427" s="6">
        <f>A427&amp;"|"&amp;C427&amp;"|"&amp;D427&amp;"|"&amp;G427&amp;"|"&amp;J427</f>
        <v>Deling food|Шкала|Оборудование|2|1</v>
      </c>
      <c t="str" r="T427" s="6">
        <f>A427&amp;"|"&amp;C427&amp;"|"&amp;G427</f>
        <v>Deling food|Шкала|2</v>
      </c>
      <c t="str" r="U427" s="6">
        <f>IF(H427="да",A427&amp;"|"&amp;C427&amp;"|"&amp;D427&amp;"|"&amp;J427,"")</f>
        <v/>
      </c>
      <c t="str" r="V427" s="6">
        <f>IF(C427="План",A427&amp;"|"&amp;J427,"")</f>
        <v/>
      </c>
    </row>
    <row r="428">
      <c r="A428" s="3" t="inlineStr">
        <is>
          <t>Deling food</t>
        </is>
      </c>
      <c r="B428" s="3" t="inlineStr">
        <is>
          <t>Заруб</t>
        </is>
      </c>
      <c r="C428" s="3" t="inlineStr">
        <is>
          <t>Шкала</t>
        </is>
      </c>
      <c r="D428" s="3" t="inlineStr">
        <is>
          <t>Оборудование</t>
        </is>
      </c>
      <c r="E428" s="3" t="inlineStr">
        <is>
          <t>Оборудование — за полугодие</t>
        </is>
      </c>
      <c r="F428" s="3" t="inlineStr">
        <is>
          <t>Наличие сервисного центра и гарантийное обслуживание</t>
        </is>
      </c>
      <c r="G428" s="4" t="n">
        <v>2</v>
      </c>
      <c r="H428" s="4" t="n"/>
      <c r="I428" s="3" t="inlineStr">
        <is>
          <t>75-114</t>
        </is>
      </c>
      <c r="J428" s="4" t="n">
        <v>2</v>
      </c>
      <c r="K428" s="4" t="n"/>
      <c r="L428" s="4" t="n"/>
      <c r="M428" s="8" t="n">
        <v>0.01</v>
      </c>
      <c r="N428" s="4" t="inlineStr">
        <is>
          <t>%</t>
        </is>
      </c>
      <c r="O428" s="3" t="inlineStr">
        <is>
          <t>Deling fod</t>
        </is>
      </c>
      <c r="P428" s="3" t="inlineStr">
        <is>
          <t>F15</t>
        </is>
      </c>
      <c t="str" r="Q428" s="6">
        <f>A428&amp;"|"&amp;C428&amp;"|"&amp;D428&amp;"|"&amp;G428</f>
        <v>Deling food|Шкала|Оборудование|2</v>
      </c>
      <c t="str" r="R428" s="6">
        <f>A428&amp;"|"&amp;C428&amp;"|"&amp;D428&amp;"|"&amp;J428</f>
        <v>Deling food|Шкала|Оборудование|2</v>
      </c>
      <c t="str" r="S428" s="6">
        <f>A428&amp;"|"&amp;C428&amp;"|"&amp;D428&amp;"|"&amp;G428&amp;"|"&amp;J428</f>
        <v>Deling food|Шкала|Оборудование|2|2</v>
      </c>
      <c t="str" r="T428" s="6">
        <f>A428&amp;"|"&amp;C428&amp;"|"&amp;G428</f>
        <v>Deling food|Шкала|2</v>
      </c>
      <c t="str" r="U428" s="6">
        <f>IF(H428="да",A428&amp;"|"&amp;C428&amp;"|"&amp;D428&amp;"|"&amp;J428,"")</f>
        <v/>
      </c>
      <c t="str" r="V428" s="6">
        <f>IF(C428="План",A428&amp;"|"&amp;J428,"")</f>
        <v/>
      </c>
    </row>
    <row r="429">
      <c r="A429" s="3" t="inlineStr">
        <is>
          <t>Deling food</t>
        </is>
      </c>
      <c r="B429" s="3" t="inlineStr">
        <is>
          <t>Заруб</t>
        </is>
      </c>
      <c r="C429" s="3" t="inlineStr">
        <is>
          <t>Шкала</t>
        </is>
      </c>
      <c r="D429" s="3" t="inlineStr">
        <is>
          <t>Оборудование</t>
        </is>
      </c>
      <c r="E429" s="3" t="inlineStr">
        <is>
          <t>Оборудование — за полугодие</t>
        </is>
      </c>
      <c r="F429" s="3" t="inlineStr">
        <is>
          <t>Наличие сервисного центра и гарантийное обслуживание</t>
        </is>
      </c>
      <c r="G429" s="4" t="n">
        <v>2</v>
      </c>
      <c r="H429" s="4" t="n"/>
      <c r="I429" s="3" t="inlineStr">
        <is>
          <t>115-149</t>
        </is>
      </c>
      <c r="J429" s="4" t="n">
        <v>3</v>
      </c>
      <c r="K429" s="4" t="n"/>
      <c r="L429" s="4" t="n"/>
      <c r="M429" s="8" t="n">
        <v>0.01</v>
      </c>
      <c r="N429" s="4" t="inlineStr">
        <is>
          <t>%</t>
        </is>
      </c>
      <c r="O429" s="3" t="inlineStr">
        <is>
          <t>Deling fod</t>
        </is>
      </c>
      <c r="P429" s="3" t="inlineStr">
        <is>
          <t>G15</t>
        </is>
      </c>
      <c t="str" r="Q429" s="6">
        <f>A429&amp;"|"&amp;C429&amp;"|"&amp;D429&amp;"|"&amp;G429</f>
        <v>Deling food|Шкала|Оборудование|2</v>
      </c>
      <c t="str" r="R429" s="6">
        <f>A429&amp;"|"&amp;C429&amp;"|"&amp;D429&amp;"|"&amp;J429</f>
        <v>Deling food|Шкала|Оборудование|3</v>
      </c>
      <c t="str" r="S429" s="6">
        <f>A429&amp;"|"&amp;C429&amp;"|"&amp;D429&amp;"|"&amp;G429&amp;"|"&amp;J429</f>
        <v>Deling food|Шкала|Оборудование|2|3</v>
      </c>
      <c t="str" r="T429" s="6">
        <f>A429&amp;"|"&amp;C429&amp;"|"&amp;G429</f>
        <v>Deling food|Шкала|2</v>
      </c>
      <c t="str" r="U429" s="6">
        <f>IF(H429="да",A429&amp;"|"&amp;C429&amp;"|"&amp;D429&amp;"|"&amp;J429,"")</f>
        <v/>
      </c>
      <c t="str" r="V429" s="6">
        <f>IF(C429="План",A429&amp;"|"&amp;J429,"")</f>
        <v/>
      </c>
    </row>
    <row r="430">
      <c r="A430" s="3" t="inlineStr">
        <is>
          <t>Deling food</t>
        </is>
      </c>
      <c r="B430" s="3" t="inlineStr">
        <is>
          <t>Заруб</t>
        </is>
      </c>
      <c r="C430" s="3" t="inlineStr">
        <is>
          <t>Шкала</t>
        </is>
      </c>
      <c r="D430" s="3" t="inlineStr">
        <is>
          <t>Оборудование</t>
        </is>
      </c>
      <c r="E430" s="3" t="inlineStr">
        <is>
          <t>Оборудование — за полугодие</t>
        </is>
      </c>
      <c r="F430" s="3" t="inlineStr">
        <is>
          <t>Наличие сервисного центра и гарантийное обслуживание</t>
        </is>
      </c>
      <c r="G430" s="4" t="n">
        <v>2</v>
      </c>
      <c r="H430" s="4" t="n"/>
      <c r="I430" s="3" t="inlineStr">
        <is>
          <t>150-189</t>
        </is>
      </c>
      <c r="J430" s="4" t="n">
        <v>4</v>
      </c>
      <c r="K430" s="4" t="n"/>
      <c r="L430" s="4" t="n"/>
      <c r="M430" s="8" t="n">
        <v>0.01</v>
      </c>
      <c r="N430" s="4" t="inlineStr">
        <is>
          <t>%</t>
        </is>
      </c>
      <c r="O430" s="3" t="inlineStr">
        <is>
          <t>Deling fod</t>
        </is>
      </c>
      <c r="P430" s="3" t="inlineStr">
        <is>
          <t>H15</t>
        </is>
      </c>
      <c t="str" r="Q430" s="6">
        <f>A430&amp;"|"&amp;C430&amp;"|"&amp;D430&amp;"|"&amp;G430</f>
        <v>Deling food|Шкала|Оборудование|2</v>
      </c>
      <c t="str" r="R430" s="6">
        <f>A430&amp;"|"&amp;C430&amp;"|"&amp;D430&amp;"|"&amp;J430</f>
        <v>Deling food|Шкала|Оборудование|4</v>
      </c>
      <c t="str" r="S430" s="6">
        <f>A430&amp;"|"&amp;C430&amp;"|"&amp;D430&amp;"|"&amp;G430&amp;"|"&amp;J430</f>
        <v>Deling food|Шкала|Оборудование|2|4</v>
      </c>
      <c t="str" r="T430" s="6">
        <f>A430&amp;"|"&amp;C430&amp;"|"&amp;G430</f>
        <v>Deling food|Шкала|2</v>
      </c>
      <c t="str" r="U430" s="6">
        <f>IF(H430="да",A430&amp;"|"&amp;C430&amp;"|"&amp;D430&amp;"|"&amp;J430,"")</f>
        <v/>
      </c>
      <c t="str" r="V430" s="6">
        <f>IF(C430="План",A430&amp;"|"&amp;J430,"")</f>
        <v/>
      </c>
    </row>
    <row r="431">
      <c r="A431" s="3" t="inlineStr">
        <is>
          <t>Deling food</t>
        </is>
      </c>
      <c r="B431" s="3" t="inlineStr">
        <is>
          <t>Заруб</t>
        </is>
      </c>
      <c r="C431" s="3" t="inlineStr">
        <is>
          <t>Шкала</t>
        </is>
      </c>
      <c r="D431" s="3" t="inlineStr">
        <is>
          <t>Оборудование</t>
        </is>
      </c>
      <c r="E431" s="3" t="inlineStr">
        <is>
          <t>Оборудование — за полугодие</t>
        </is>
      </c>
      <c r="F431" s="3" t="inlineStr">
        <is>
          <t>Наличие сервисного центра и гарантийное обслуживание</t>
        </is>
      </c>
      <c r="G431" s="4" t="n">
        <v>2</v>
      </c>
      <c r="H431" s="4" t="n"/>
      <c r="I431" s="3" t="inlineStr">
        <is>
          <t>190-224</t>
        </is>
      </c>
      <c r="J431" s="4" t="n">
        <v>5</v>
      </c>
      <c r="K431" s="4" t="n"/>
      <c r="L431" s="4" t="n"/>
      <c r="M431" s="8" t="n">
        <v>0.01</v>
      </c>
      <c r="N431" s="4" t="inlineStr">
        <is>
          <t>%</t>
        </is>
      </c>
      <c r="O431" s="3" t="inlineStr">
        <is>
          <t>Deling fod</t>
        </is>
      </c>
      <c r="P431" s="3" t="inlineStr">
        <is>
          <t>I15</t>
        </is>
      </c>
      <c t="str" r="Q431" s="6">
        <f>A431&amp;"|"&amp;C431&amp;"|"&amp;D431&amp;"|"&amp;G431</f>
        <v>Deling food|Шкала|Оборудование|2</v>
      </c>
      <c t="str" r="R431" s="6">
        <f>A431&amp;"|"&amp;C431&amp;"|"&amp;D431&amp;"|"&amp;J431</f>
        <v>Deling food|Шкала|Оборудование|5</v>
      </c>
      <c t="str" r="S431" s="6">
        <f>A431&amp;"|"&amp;C431&amp;"|"&amp;D431&amp;"|"&amp;G431&amp;"|"&amp;J431</f>
        <v>Deling food|Шкала|Оборудование|2|5</v>
      </c>
      <c t="str" r="T431" s="6">
        <f>A431&amp;"|"&amp;C431&amp;"|"&amp;G431</f>
        <v>Deling food|Шкала|2</v>
      </c>
      <c t="str" r="U431" s="6">
        <f>IF(H431="да",A431&amp;"|"&amp;C431&amp;"|"&amp;D431&amp;"|"&amp;J431,"")</f>
        <v/>
      </c>
      <c t="str" r="V431" s="6">
        <f>IF(C431="План",A431&amp;"|"&amp;J431,"")</f>
        <v/>
      </c>
    </row>
    <row r="432">
      <c r="A432" s="3" t="inlineStr">
        <is>
          <t>Deling food</t>
        </is>
      </c>
      <c r="B432" s="3" t="inlineStr">
        <is>
          <t>Заруб</t>
        </is>
      </c>
      <c r="C432" s="3" t="inlineStr">
        <is>
          <t>Шкала</t>
        </is>
      </c>
      <c r="D432" s="3" t="inlineStr">
        <is>
          <t>Оборудование</t>
        </is>
      </c>
      <c r="E432" s="3" t="inlineStr">
        <is>
          <t>Оборудование — за полугодие</t>
        </is>
      </c>
      <c r="F432" s="3" t="inlineStr">
        <is>
          <t>Наличие сервисного центра и гарантийное обслуживание</t>
        </is>
      </c>
      <c r="G432" s="4" t="n">
        <v>2</v>
      </c>
      <c r="H432" s="4" t="n"/>
      <c r="I432" s="3" t="inlineStr">
        <is>
          <t>225 и более</t>
        </is>
      </c>
      <c r="J432" s="4" t="n">
        <v>6</v>
      </c>
      <c r="K432" s="4" t="n"/>
      <c r="L432" s="4" t="n"/>
      <c r="M432" s="8" t="n">
        <v>0.01</v>
      </c>
      <c r="N432" s="4" t="inlineStr">
        <is>
          <t>%</t>
        </is>
      </c>
      <c r="O432" s="3" t="inlineStr">
        <is>
          <t>Deling fod</t>
        </is>
      </c>
      <c r="P432" s="3" t="inlineStr">
        <is>
          <t>J15</t>
        </is>
      </c>
      <c t="str" r="Q432" s="6">
        <f>A432&amp;"|"&amp;C432&amp;"|"&amp;D432&amp;"|"&amp;G432</f>
        <v>Deling food|Шкала|Оборудование|2</v>
      </c>
      <c t="str" r="R432" s="6">
        <f>A432&amp;"|"&amp;C432&amp;"|"&amp;D432&amp;"|"&amp;J432</f>
        <v>Deling food|Шкала|Оборудование|6</v>
      </c>
      <c t="str" r="S432" s="6">
        <f>A432&amp;"|"&amp;C432&amp;"|"&amp;D432&amp;"|"&amp;G432&amp;"|"&amp;J432</f>
        <v>Deling food|Шкала|Оборудование|2|6</v>
      </c>
      <c t="str" r="T432" s="6">
        <f>A432&amp;"|"&amp;C432&amp;"|"&amp;G432</f>
        <v>Deling food|Шкала|2</v>
      </c>
      <c t="str" r="U432" s="6">
        <f>IF(H432="да",A432&amp;"|"&amp;C432&amp;"|"&amp;D432&amp;"|"&amp;J432,"")</f>
        <v/>
      </c>
      <c t="str" r="V432" s="6">
        <f>IF(C432="План",A432&amp;"|"&amp;J432,"")</f>
        <v/>
      </c>
    </row>
    <row r="433">
      <c r="A433" s="3" t="inlineStr">
        <is>
          <t>Deling food</t>
        </is>
      </c>
      <c r="B433" s="3" t="inlineStr">
        <is>
          <t>Заруб</t>
        </is>
      </c>
      <c r="C433" s="3" t="inlineStr">
        <is>
          <t>Шкала</t>
        </is>
      </c>
      <c r="D433" s="3" t="inlineStr">
        <is>
          <t>Оборудование</t>
        </is>
      </c>
      <c r="E433" s="3" t="inlineStr">
        <is>
          <t>Оборудование — за полугодие</t>
        </is>
      </c>
      <c r="F433" s="3" t="inlineStr">
        <is>
          <t>Объем закупок МП</t>
        </is>
      </c>
      <c r="G433" s="4" t="n">
        <v>3</v>
      </c>
      <c r="H433" s="4" t="n"/>
      <c r="I433" s="3" t="inlineStr">
        <is>
          <t>до 75</t>
        </is>
      </c>
      <c r="J433" s="4" t="n">
        <v>1</v>
      </c>
      <c r="K433" s="4" t="n"/>
      <c r="L433" s="4" t="n"/>
      <c r="M433" s="8" t="n">
        <v>0.07000000000000001</v>
      </c>
      <c r="N433" s="4" t="inlineStr">
        <is>
          <t>%</t>
        </is>
      </c>
      <c r="O433" s="3" t="inlineStr">
        <is>
          <t>Deling fod</t>
        </is>
      </c>
      <c r="P433" s="3" t="inlineStr">
        <is>
          <t>E16</t>
        </is>
      </c>
      <c t="str" r="Q433" s="6">
        <f>A433&amp;"|"&amp;C433&amp;"|"&amp;D433&amp;"|"&amp;G433</f>
        <v>Deling food|Шкала|Оборудование|3</v>
      </c>
      <c t="str" r="R433" s="6">
        <f>A433&amp;"|"&amp;C433&amp;"|"&amp;D433&amp;"|"&amp;J433</f>
        <v>Deling food|Шкала|Оборудование|1</v>
      </c>
      <c t="str" r="S433" s="6">
        <f>A433&amp;"|"&amp;C433&amp;"|"&amp;D433&amp;"|"&amp;G433&amp;"|"&amp;J433</f>
        <v>Deling food|Шкала|Оборудование|3|1</v>
      </c>
      <c t="str" r="T433" s="6">
        <f>A433&amp;"|"&amp;C433&amp;"|"&amp;G433</f>
        <v>Deling food|Шкала|3</v>
      </c>
      <c t="str" r="U433" s="6">
        <f>IF(H433="да",A433&amp;"|"&amp;C433&amp;"|"&amp;D433&amp;"|"&amp;J433,"")</f>
        <v/>
      </c>
      <c t="str" r="V433" s="6">
        <f>IF(C433="План",A433&amp;"|"&amp;J433,"")</f>
        <v/>
      </c>
    </row>
    <row r="434">
      <c r="A434" s="3" t="inlineStr">
        <is>
          <t>Deling food</t>
        </is>
      </c>
      <c r="B434" s="3" t="inlineStr">
        <is>
          <t>Заруб</t>
        </is>
      </c>
      <c r="C434" s="3" t="inlineStr">
        <is>
          <t>Шкала</t>
        </is>
      </c>
      <c r="D434" s="3" t="inlineStr">
        <is>
          <t>Оборудование</t>
        </is>
      </c>
      <c r="E434" s="3" t="inlineStr">
        <is>
          <t>Оборудование — за полугодие</t>
        </is>
      </c>
      <c r="F434" s="3" t="inlineStr">
        <is>
          <t>Объем закупок МП</t>
        </is>
      </c>
      <c r="G434" s="4" t="n">
        <v>3</v>
      </c>
      <c r="H434" s="4" t="n"/>
      <c r="I434" s="3" t="inlineStr">
        <is>
          <t>75-114</t>
        </is>
      </c>
      <c r="J434" s="4" t="n">
        <v>2</v>
      </c>
      <c r="K434" s="4" t="n"/>
      <c r="L434" s="4" t="n"/>
      <c r="M434" s="8" t="n">
        <v>0.09</v>
      </c>
      <c r="N434" s="4" t="inlineStr">
        <is>
          <t>%</t>
        </is>
      </c>
      <c r="O434" s="3" t="inlineStr">
        <is>
          <t>Deling fod</t>
        </is>
      </c>
      <c r="P434" s="3" t="inlineStr">
        <is>
          <t>F16</t>
        </is>
      </c>
      <c t="str" r="Q434" s="6">
        <f>A434&amp;"|"&amp;C434&amp;"|"&amp;D434&amp;"|"&amp;G434</f>
        <v>Deling food|Шкала|Оборудование|3</v>
      </c>
      <c t="str" r="R434" s="6">
        <f>A434&amp;"|"&amp;C434&amp;"|"&amp;D434&amp;"|"&amp;J434</f>
        <v>Deling food|Шкала|Оборудование|2</v>
      </c>
      <c t="str" r="S434" s="6">
        <f>A434&amp;"|"&amp;C434&amp;"|"&amp;D434&amp;"|"&amp;G434&amp;"|"&amp;J434</f>
        <v>Deling food|Шкала|Оборудование|3|2</v>
      </c>
      <c t="str" r="T434" s="6">
        <f>A434&amp;"|"&amp;C434&amp;"|"&amp;G434</f>
        <v>Deling food|Шкала|3</v>
      </c>
      <c t="str" r="U434" s="6">
        <f>IF(H434="да",A434&amp;"|"&amp;C434&amp;"|"&amp;D434&amp;"|"&amp;J434,"")</f>
        <v/>
      </c>
      <c t="str" r="V434" s="6">
        <f>IF(C434="План",A434&amp;"|"&amp;J434,"")</f>
        <v/>
      </c>
    </row>
    <row r="435">
      <c r="A435" s="3" t="inlineStr">
        <is>
          <t>Deling food</t>
        </is>
      </c>
      <c r="B435" s="3" t="inlineStr">
        <is>
          <t>Заруб</t>
        </is>
      </c>
      <c r="C435" s="3" t="inlineStr">
        <is>
          <t>Шкала</t>
        </is>
      </c>
      <c r="D435" s="3" t="inlineStr">
        <is>
          <t>Оборудование</t>
        </is>
      </c>
      <c r="E435" s="3" t="inlineStr">
        <is>
          <t>Оборудование — за полугодие</t>
        </is>
      </c>
      <c r="F435" s="3" t="inlineStr">
        <is>
          <t>Объем закупок МП</t>
        </is>
      </c>
      <c r="G435" s="4" t="n">
        <v>3</v>
      </c>
      <c r="H435" s="4" t="n"/>
      <c r="I435" s="3" t="inlineStr">
        <is>
          <t>115-149</t>
        </is>
      </c>
      <c r="J435" s="4" t="n">
        <v>3</v>
      </c>
      <c r="K435" s="4" t="n"/>
      <c r="L435" s="4" t="n"/>
      <c r="M435" s="8" t="n">
        <v>0.1</v>
      </c>
      <c r="N435" s="4" t="inlineStr">
        <is>
          <t>%</t>
        </is>
      </c>
      <c r="O435" s="3" t="inlineStr">
        <is>
          <t>Deling fod</t>
        </is>
      </c>
      <c r="P435" s="3" t="inlineStr">
        <is>
          <t>G16</t>
        </is>
      </c>
      <c t="str" r="Q435" s="6">
        <f>A435&amp;"|"&amp;C435&amp;"|"&amp;D435&amp;"|"&amp;G435</f>
        <v>Deling food|Шкала|Оборудование|3</v>
      </c>
      <c t="str" r="R435" s="6">
        <f>A435&amp;"|"&amp;C435&amp;"|"&amp;D435&amp;"|"&amp;J435</f>
        <v>Deling food|Шкала|Оборудование|3</v>
      </c>
      <c t="str" r="S435" s="6">
        <f>A435&amp;"|"&amp;C435&amp;"|"&amp;D435&amp;"|"&amp;G435&amp;"|"&amp;J435</f>
        <v>Deling food|Шкала|Оборудование|3|3</v>
      </c>
      <c t="str" r="T435" s="6">
        <f>A435&amp;"|"&amp;C435&amp;"|"&amp;G435</f>
        <v>Deling food|Шкала|3</v>
      </c>
      <c t="str" r="U435" s="6">
        <f>IF(H435="да",A435&amp;"|"&amp;C435&amp;"|"&amp;D435&amp;"|"&amp;J435,"")</f>
        <v/>
      </c>
      <c t="str" r="V435" s="6">
        <f>IF(C435="План",A435&amp;"|"&amp;J435,"")</f>
        <v/>
      </c>
    </row>
    <row r="436">
      <c r="A436" s="3" t="inlineStr">
        <is>
          <t>Deling food</t>
        </is>
      </c>
      <c r="B436" s="3" t="inlineStr">
        <is>
          <t>Заруб</t>
        </is>
      </c>
      <c r="C436" s="3" t="inlineStr">
        <is>
          <t>Шкала</t>
        </is>
      </c>
      <c r="D436" s="3" t="inlineStr">
        <is>
          <t>Оборудование</t>
        </is>
      </c>
      <c r="E436" s="3" t="inlineStr">
        <is>
          <t>Оборудование — за полугодие</t>
        </is>
      </c>
      <c r="F436" s="3" t="inlineStr">
        <is>
          <t>Объем закупок МП</t>
        </is>
      </c>
      <c r="G436" s="4" t="n">
        <v>3</v>
      </c>
      <c r="H436" s="4" t="n"/>
      <c r="I436" s="3" t="inlineStr">
        <is>
          <t>150-189</t>
        </is>
      </c>
      <c r="J436" s="4" t="n">
        <v>4</v>
      </c>
      <c r="K436" s="4" t="n"/>
      <c r="L436" s="4" t="n"/>
      <c r="M436" s="8" t="n">
        <v>0.11</v>
      </c>
      <c r="N436" s="4" t="inlineStr">
        <is>
          <t>%</t>
        </is>
      </c>
      <c r="O436" s="3" t="inlineStr">
        <is>
          <t>Deling fod</t>
        </is>
      </c>
      <c r="P436" s="3" t="inlineStr">
        <is>
          <t>H16</t>
        </is>
      </c>
      <c t="str" r="Q436" s="6">
        <f>A436&amp;"|"&amp;C436&amp;"|"&amp;D436&amp;"|"&amp;G436</f>
        <v>Deling food|Шкала|Оборудование|3</v>
      </c>
      <c t="str" r="R436" s="6">
        <f>A436&amp;"|"&amp;C436&amp;"|"&amp;D436&amp;"|"&amp;J436</f>
        <v>Deling food|Шкала|Оборудование|4</v>
      </c>
      <c t="str" r="S436" s="6">
        <f>A436&amp;"|"&amp;C436&amp;"|"&amp;D436&amp;"|"&amp;G436&amp;"|"&amp;J436</f>
        <v>Deling food|Шкала|Оборудование|3|4</v>
      </c>
      <c t="str" r="T436" s="6">
        <f>A436&amp;"|"&amp;C436&amp;"|"&amp;G436</f>
        <v>Deling food|Шкала|3</v>
      </c>
      <c t="str" r="U436" s="6">
        <f>IF(H436="да",A436&amp;"|"&amp;C436&amp;"|"&amp;D436&amp;"|"&amp;J436,"")</f>
        <v/>
      </c>
      <c t="str" r="V436" s="6">
        <f>IF(C436="План",A436&amp;"|"&amp;J436,"")</f>
        <v/>
      </c>
    </row>
    <row r="437">
      <c r="A437" s="3" t="inlineStr">
        <is>
          <t>Deling food</t>
        </is>
      </c>
      <c r="B437" s="3" t="inlineStr">
        <is>
          <t>Заруб</t>
        </is>
      </c>
      <c r="C437" s="3" t="inlineStr">
        <is>
          <t>Шкала</t>
        </is>
      </c>
      <c r="D437" s="3" t="inlineStr">
        <is>
          <t>Оборудование</t>
        </is>
      </c>
      <c r="E437" s="3" t="inlineStr">
        <is>
          <t>Оборудование — за полугодие</t>
        </is>
      </c>
      <c r="F437" s="3" t="inlineStr">
        <is>
          <t>Объем закупок МП</t>
        </is>
      </c>
      <c r="G437" s="4" t="n">
        <v>3</v>
      </c>
      <c r="H437" s="4" t="n"/>
      <c r="I437" s="3" t="inlineStr">
        <is>
          <t>190-224</t>
        </is>
      </c>
      <c r="J437" s="4" t="n">
        <v>5</v>
      </c>
      <c r="K437" s="4" t="n"/>
      <c r="L437" s="4" t="n"/>
      <c r="M437" s="8" t="n">
        <v>0.12</v>
      </c>
      <c r="N437" s="4" t="inlineStr">
        <is>
          <t>%</t>
        </is>
      </c>
      <c r="O437" s="3" t="inlineStr">
        <is>
          <t>Deling fod</t>
        </is>
      </c>
      <c r="P437" s="3" t="inlineStr">
        <is>
          <t>I16</t>
        </is>
      </c>
      <c t="str" r="Q437" s="6">
        <f>A437&amp;"|"&amp;C437&amp;"|"&amp;D437&amp;"|"&amp;G437</f>
        <v>Deling food|Шкала|Оборудование|3</v>
      </c>
      <c t="str" r="R437" s="6">
        <f>A437&amp;"|"&amp;C437&amp;"|"&amp;D437&amp;"|"&amp;J437</f>
        <v>Deling food|Шкала|Оборудование|5</v>
      </c>
      <c t="str" r="S437" s="6">
        <f>A437&amp;"|"&amp;C437&amp;"|"&amp;D437&amp;"|"&amp;G437&amp;"|"&amp;J437</f>
        <v>Deling food|Шкала|Оборудование|3|5</v>
      </c>
      <c t="str" r="T437" s="6">
        <f>A437&amp;"|"&amp;C437&amp;"|"&amp;G437</f>
        <v>Deling food|Шкала|3</v>
      </c>
      <c t="str" r="U437" s="6">
        <f>IF(H437="да",A437&amp;"|"&amp;C437&amp;"|"&amp;D437&amp;"|"&amp;J437,"")</f>
        <v/>
      </c>
      <c t="str" r="V437" s="6">
        <f>IF(C437="План",A437&amp;"|"&amp;J437,"")</f>
        <v/>
      </c>
    </row>
    <row r="438">
      <c r="A438" s="3" t="inlineStr">
        <is>
          <t>Deling food</t>
        </is>
      </c>
      <c r="B438" s="3" t="inlineStr">
        <is>
          <t>Заруб</t>
        </is>
      </c>
      <c r="C438" s="3" t="inlineStr">
        <is>
          <t>Шкала</t>
        </is>
      </c>
      <c r="D438" s="3" t="inlineStr">
        <is>
          <t>Оборудование</t>
        </is>
      </c>
      <c r="E438" s="3" t="inlineStr">
        <is>
          <t>Оборудование — за полугодие</t>
        </is>
      </c>
      <c r="F438" s="3" t="inlineStr">
        <is>
          <t>Объем закупок МП</t>
        </is>
      </c>
      <c r="G438" s="4" t="n">
        <v>3</v>
      </c>
      <c r="H438" s="4" t="n"/>
      <c r="I438" s="3" t="inlineStr">
        <is>
          <t>225 и более</t>
        </is>
      </c>
      <c r="J438" s="4" t="n">
        <v>6</v>
      </c>
      <c r="K438" s="4" t="n"/>
      <c r="L438" s="4" t="n"/>
      <c r="M438" s="8" t="n">
        <v>0.13</v>
      </c>
      <c r="N438" s="4" t="inlineStr">
        <is>
          <t>%</t>
        </is>
      </c>
      <c r="O438" s="3" t="inlineStr">
        <is>
          <t>Deling fod</t>
        </is>
      </c>
      <c r="P438" s="3" t="inlineStr">
        <is>
          <t>J16</t>
        </is>
      </c>
      <c t="str" r="Q438" s="6">
        <f>A438&amp;"|"&amp;C438&amp;"|"&amp;D438&amp;"|"&amp;G438</f>
        <v>Deling food|Шкала|Оборудование|3</v>
      </c>
      <c t="str" r="R438" s="6">
        <f>A438&amp;"|"&amp;C438&amp;"|"&amp;D438&amp;"|"&amp;J438</f>
        <v>Deling food|Шкала|Оборудование|6</v>
      </c>
      <c t="str" r="S438" s="6">
        <f>A438&amp;"|"&amp;C438&amp;"|"&amp;D438&amp;"|"&amp;G438&amp;"|"&amp;J438</f>
        <v>Deling food|Шкала|Оборудование|3|6</v>
      </c>
      <c t="str" r="T438" s="6">
        <f>A438&amp;"|"&amp;C438&amp;"|"&amp;G438</f>
        <v>Deling food|Шкала|3</v>
      </c>
      <c t="str" r="U438" s="6">
        <f>IF(H438="да",A438&amp;"|"&amp;C438&amp;"|"&amp;D438&amp;"|"&amp;J438,"")</f>
        <v/>
      </c>
      <c t="str" r="V438" s="6">
        <f>IF(C438="План",A438&amp;"|"&amp;J438,"")</f>
        <v/>
      </c>
    </row>
    <row r="439">
      <c r="A439" s="3" t="inlineStr">
        <is>
          <t>Deling food</t>
        </is>
      </c>
      <c r="B439" s="3" t="inlineStr">
        <is>
          <t>Заруб</t>
        </is>
      </c>
      <c r="C439" s="3" t="inlineStr">
        <is>
          <t>Шкала</t>
        </is>
      </c>
      <c r="D439" s="3" t="inlineStr">
        <is>
          <t>Оборудование</t>
        </is>
      </c>
      <c r="E439" s="3" t="inlineStr">
        <is>
          <t>Оборудование — за полугодие</t>
        </is>
      </c>
      <c r="F439" s="3" t="inlineStr">
        <is>
          <t>ИТОГО</t>
        </is>
      </c>
      <c r="G439" s="4" t="n">
        <v>4</v>
      </c>
      <c r="H439" s="4" t="inlineStr">
        <is>
          <t>да</t>
        </is>
      </c>
      <c r="I439" s="3" t="inlineStr">
        <is>
          <t>до 75</t>
        </is>
      </c>
      <c r="J439" s="4" t="n">
        <v>1</v>
      </c>
      <c r="K439" s="4" t="n"/>
      <c r="L439" s="4" t="n"/>
      <c r="M439" s="8" t="n">
        <v>0.14</v>
      </c>
      <c r="N439" s="4" t="inlineStr">
        <is>
          <t>%</t>
        </is>
      </c>
      <c r="O439" s="3" t="inlineStr">
        <is>
          <t>Deling fod</t>
        </is>
      </c>
      <c r="P439" s="3" t="inlineStr">
        <is>
          <t>E17</t>
        </is>
      </c>
      <c t="str" r="Q439" s="6">
        <f>A439&amp;"|"&amp;C439&amp;"|"&amp;D439&amp;"|"&amp;G439</f>
        <v>Deling food|Шкала|Оборудование|4</v>
      </c>
      <c t="str" r="R439" s="6">
        <f>A439&amp;"|"&amp;C439&amp;"|"&amp;D439&amp;"|"&amp;J439</f>
        <v>Deling food|Шкала|Оборудование|1</v>
      </c>
      <c t="str" r="S439" s="6">
        <f>A439&amp;"|"&amp;C439&amp;"|"&amp;D439&amp;"|"&amp;G439&amp;"|"&amp;J439</f>
        <v>Deling food|Шкала|Оборудование|4|1</v>
      </c>
      <c t="str" r="T439" s="6">
        <f>A439&amp;"|"&amp;C439&amp;"|"&amp;G439</f>
        <v>Deling food|Шкала|4</v>
      </c>
      <c t="str" r="U439" s="6">
        <f>IF(H439="да",A439&amp;"|"&amp;C439&amp;"|"&amp;D439&amp;"|"&amp;J439,"")</f>
        <v>Deling food|Шкала|Оборудование|1</v>
      </c>
      <c t="str" r="V439" s="6">
        <f>IF(C439="План",A439&amp;"|"&amp;J439,"")</f>
        <v/>
      </c>
    </row>
    <row r="440">
      <c r="A440" s="3" t="inlineStr">
        <is>
          <t>Deling food</t>
        </is>
      </c>
      <c r="B440" s="3" t="inlineStr">
        <is>
          <t>Заруб</t>
        </is>
      </c>
      <c r="C440" s="3" t="inlineStr">
        <is>
          <t>Шкала</t>
        </is>
      </c>
      <c r="D440" s="3" t="inlineStr">
        <is>
          <t>Оборудование</t>
        </is>
      </c>
      <c r="E440" s="3" t="inlineStr">
        <is>
          <t>Оборудование — за полугодие</t>
        </is>
      </c>
      <c r="F440" s="3" t="inlineStr">
        <is>
          <t>ИТОГО</t>
        </is>
      </c>
      <c r="G440" s="4" t="n">
        <v>4</v>
      </c>
      <c r="H440" s="4" t="inlineStr">
        <is>
          <t>да</t>
        </is>
      </c>
      <c r="I440" s="3" t="inlineStr">
        <is>
          <t>75-114</t>
        </is>
      </c>
      <c r="J440" s="4" t="n">
        <v>2</v>
      </c>
      <c r="K440" s="4" t="n"/>
      <c r="L440" s="4" t="n"/>
      <c r="M440" s="8" t="n">
        <v>0.16</v>
      </c>
      <c r="N440" s="4" t="inlineStr">
        <is>
          <t>%</t>
        </is>
      </c>
      <c r="O440" s="3" t="inlineStr">
        <is>
          <t>Deling fod</t>
        </is>
      </c>
      <c r="P440" s="3" t="inlineStr">
        <is>
          <t>F17</t>
        </is>
      </c>
      <c t="str" r="Q440" s="6">
        <f>A440&amp;"|"&amp;C440&amp;"|"&amp;D440&amp;"|"&amp;G440</f>
        <v>Deling food|Шкала|Оборудование|4</v>
      </c>
      <c t="str" r="R440" s="6">
        <f>A440&amp;"|"&amp;C440&amp;"|"&amp;D440&amp;"|"&amp;J440</f>
        <v>Deling food|Шкала|Оборудование|2</v>
      </c>
      <c t="str" r="S440" s="6">
        <f>A440&amp;"|"&amp;C440&amp;"|"&amp;D440&amp;"|"&amp;G440&amp;"|"&amp;J440</f>
        <v>Deling food|Шкала|Оборудование|4|2</v>
      </c>
      <c t="str" r="T440" s="6">
        <f>A440&amp;"|"&amp;C440&amp;"|"&amp;G440</f>
        <v>Deling food|Шкала|4</v>
      </c>
      <c t="str" r="U440" s="6">
        <f>IF(H440="да",A440&amp;"|"&amp;C440&amp;"|"&amp;D440&amp;"|"&amp;J440,"")</f>
        <v>Deling food|Шкала|Оборудование|2</v>
      </c>
      <c t="str" r="V440" s="6">
        <f>IF(C440="План",A440&amp;"|"&amp;J440,"")</f>
        <v/>
      </c>
    </row>
    <row r="441">
      <c r="A441" s="3" t="inlineStr">
        <is>
          <t>Deling food</t>
        </is>
      </c>
      <c r="B441" s="3" t="inlineStr">
        <is>
          <t>Заруб</t>
        </is>
      </c>
      <c r="C441" s="3" t="inlineStr">
        <is>
          <t>Шкала</t>
        </is>
      </c>
      <c r="D441" s="3" t="inlineStr">
        <is>
          <t>Оборудование</t>
        </is>
      </c>
      <c r="E441" s="3" t="inlineStr">
        <is>
          <t>Оборудование — за полугодие</t>
        </is>
      </c>
      <c r="F441" s="3" t="inlineStr">
        <is>
          <t>ИТОГО</t>
        </is>
      </c>
      <c r="G441" s="4" t="n">
        <v>4</v>
      </c>
      <c r="H441" s="4" t="inlineStr">
        <is>
          <t>да</t>
        </is>
      </c>
      <c r="I441" s="3" t="inlineStr">
        <is>
          <t>115-149</t>
        </is>
      </c>
      <c r="J441" s="4" t="n">
        <v>3</v>
      </c>
      <c r="K441" s="4" t="n"/>
      <c r="L441" s="4" t="n"/>
      <c r="M441" s="8" t="n">
        <v>0.17</v>
      </c>
      <c r="N441" s="4" t="inlineStr">
        <is>
          <t>%</t>
        </is>
      </c>
      <c r="O441" s="3" t="inlineStr">
        <is>
          <t>Deling fod</t>
        </is>
      </c>
      <c r="P441" s="3" t="inlineStr">
        <is>
          <t>G17</t>
        </is>
      </c>
      <c t="str" r="Q441" s="6">
        <f>A441&amp;"|"&amp;C441&amp;"|"&amp;D441&amp;"|"&amp;G441</f>
        <v>Deling food|Шкала|Оборудование|4</v>
      </c>
      <c t="str" r="R441" s="6">
        <f>A441&amp;"|"&amp;C441&amp;"|"&amp;D441&amp;"|"&amp;J441</f>
        <v>Deling food|Шкала|Оборудование|3</v>
      </c>
      <c t="str" r="S441" s="6">
        <f>A441&amp;"|"&amp;C441&amp;"|"&amp;D441&amp;"|"&amp;G441&amp;"|"&amp;J441</f>
        <v>Deling food|Шкала|Оборудование|4|3</v>
      </c>
      <c t="str" r="T441" s="6">
        <f>A441&amp;"|"&amp;C441&amp;"|"&amp;G441</f>
        <v>Deling food|Шкала|4</v>
      </c>
      <c t="str" r="U441" s="6">
        <f>IF(H441="да",A441&amp;"|"&amp;C441&amp;"|"&amp;D441&amp;"|"&amp;J441,"")</f>
        <v>Deling food|Шкала|Оборудование|3</v>
      </c>
      <c t="str" r="V441" s="6">
        <f>IF(C441="План",A441&amp;"|"&amp;J441,"")</f>
        <v/>
      </c>
    </row>
    <row r="442">
      <c r="A442" s="3" t="inlineStr">
        <is>
          <t>Deling food</t>
        </is>
      </c>
      <c r="B442" s="3" t="inlineStr">
        <is>
          <t>Заруб</t>
        </is>
      </c>
      <c r="C442" s="3" t="inlineStr">
        <is>
          <t>Шкала</t>
        </is>
      </c>
      <c r="D442" s="3" t="inlineStr">
        <is>
          <t>Оборудование</t>
        </is>
      </c>
      <c r="E442" s="3" t="inlineStr">
        <is>
          <t>Оборудование — за полугодие</t>
        </is>
      </c>
      <c r="F442" s="3" t="inlineStr">
        <is>
          <t>ИТОГО</t>
        </is>
      </c>
      <c r="G442" s="4" t="n">
        <v>4</v>
      </c>
      <c r="H442" s="4" t="inlineStr">
        <is>
          <t>да</t>
        </is>
      </c>
      <c r="I442" s="3" t="inlineStr">
        <is>
          <t>150-189</t>
        </is>
      </c>
      <c r="J442" s="4" t="n">
        <v>4</v>
      </c>
      <c r="K442" s="4" t="n"/>
      <c r="L442" s="4" t="n"/>
      <c r="M442" s="8" t="n">
        <v>0.18</v>
      </c>
      <c r="N442" s="4" t="inlineStr">
        <is>
          <t>%</t>
        </is>
      </c>
      <c r="O442" s="3" t="inlineStr">
        <is>
          <t>Deling fod</t>
        </is>
      </c>
      <c r="P442" s="3" t="inlineStr">
        <is>
          <t>H17</t>
        </is>
      </c>
      <c t="str" r="Q442" s="6">
        <f>A442&amp;"|"&amp;C442&amp;"|"&amp;D442&amp;"|"&amp;G442</f>
        <v>Deling food|Шкала|Оборудование|4</v>
      </c>
      <c t="str" r="R442" s="6">
        <f>A442&amp;"|"&amp;C442&amp;"|"&amp;D442&amp;"|"&amp;J442</f>
        <v>Deling food|Шкала|Оборудование|4</v>
      </c>
      <c t="str" r="S442" s="6">
        <f>A442&amp;"|"&amp;C442&amp;"|"&amp;D442&amp;"|"&amp;G442&amp;"|"&amp;J442</f>
        <v>Deling food|Шкала|Оборудование|4|4</v>
      </c>
      <c t="str" r="T442" s="6">
        <f>A442&amp;"|"&amp;C442&amp;"|"&amp;G442</f>
        <v>Deling food|Шкала|4</v>
      </c>
      <c t="str" r="U442" s="6">
        <f>IF(H442="да",A442&amp;"|"&amp;C442&amp;"|"&amp;D442&amp;"|"&amp;J442,"")</f>
        <v>Deling food|Шкала|Оборудование|4</v>
      </c>
      <c t="str" r="V442" s="6">
        <f>IF(C442="План",A442&amp;"|"&amp;J442,"")</f>
        <v/>
      </c>
    </row>
    <row r="443">
      <c r="A443" s="3" t="inlineStr">
        <is>
          <t>Deling food</t>
        </is>
      </c>
      <c r="B443" s="3" t="inlineStr">
        <is>
          <t>Заруб</t>
        </is>
      </c>
      <c r="C443" s="3" t="inlineStr">
        <is>
          <t>Шкала</t>
        </is>
      </c>
      <c r="D443" s="3" t="inlineStr">
        <is>
          <t>Оборудование</t>
        </is>
      </c>
      <c r="E443" s="3" t="inlineStr">
        <is>
          <t>Оборудование — за полугодие</t>
        </is>
      </c>
      <c r="F443" s="3" t="inlineStr">
        <is>
          <t>ИТОГО</t>
        </is>
      </c>
      <c r="G443" s="4" t="n">
        <v>4</v>
      </c>
      <c r="H443" s="4" t="inlineStr">
        <is>
          <t>да</t>
        </is>
      </c>
      <c r="I443" s="3" t="inlineStr">
        <is>
          <t>190-224</t>
        </is>
      </c>
      <c r="J443" s="4" t="n">
        <v>5</v>
      </c>
      <c r="K443" s="4" t="n"/>
      <c r="L443" s="4" t="n"/>
      <c r="M443" s="8" t="n">
        <v>0.19</v>
      </c>
      <c r="N443" s="4" t="inlineStr">
        <is>
          <t>%</t>
        </is>
      </c>
      <c r="O443" s="3" t="inlineStr">
        <is>
          <t>Deling fod</t>
        </is>
      </c>
      <c r="P443" s="3" t="inlineStr">
        <is>
          <t>I17</t>
        </is>
      </c>
      <c t="str" r="Q443" s="6">
        <f>A443&amp;"|"&amp;C443&amp;"|"&amp;D443&amp;"|"&amp;G443</f>
        <v>Deling food|Шкала|Оборудование|4</v>
      </c>
      <c t="str" r="R443" s="6">
        <f>A443&amp;"|"&amp;C443&amp;"|"&amp;D443&amp;"|"&amp;J443</f>
        <v>Deling food|Шкала|Оборудование|5</v>
      </c>
      <c t="str" r="S443" s="6">
        <f>A443&amp;"|"&amp;C443&amp;"|"&amp;D443&amp;"|"&amp;G443&amp;"|"&amp;J443</f>
        <v>Deling food|Шкала|Оборудование|4|5</v>
      </c>
      <c t="str" r="T443" s="6">
        <f>A443&amp;"|"&amp;C443&amp;"|"&amp;G443</f>
        <v>Deling food|Шкала|4</v>
      </c>
      <c t="str" r="U443" s="6">
        <f>IF(H443="да",A443&amp;"|"&amp;C443&amp;"|"&amp;D443&amp;"|"&amp;J443,"")</f>
        <v>Deling food|Шкала|Оборудование|5</v>
      </c>
      <c t="str" r="V443" s="6">
        <f>IF(C443="План",A443&amp;"|"&amp;J443,"")</f>
        <v/>
      </c>
    </row>
    <row r="444">
      <c r="A444" s="3" t="inlineStr">
        <is>
          <t>Deling food</t>
        </is>
      </c>
      <c r="B444" s="3" t="inlineStr">
        <is>
          <t>Заруб</t>
        </is>
      </c>
      <c r="C444" s="3" t="inlineStr">
        <is>
          <t>Шкала</t>
        </is>
      </c>
      <c r="D444" s="3" t="inlineStr">
        <is>
          <t>Оборудование</t>
        </is>
      </c>
      <c r="E444" s="3" t="inlineStr">
        <is>
          <t>Оборудование — за полугодие</t>
        </is>
      </c>
      <c r="F444" s="3" t="inlineStr">
        <is>
          <t>ИТОГО</t>
        </is>
      </c>
      <c r="G444" s="4" t="n">
        <v>4</v>
      </c>
      <c r="H444" s="4" t="inlineStr">
        <is>
          <t>да</t>
        </is>
      </c>
      <c r="I444" s="3" t="inlineStr">
        <is>
          <t>225 и более</t>
        </is>
      </c>
      <c r="J444" s="4" t="n">
        <v>6</v>
      </c>
      <c r="K444" s="4" t="n"/>
      <c r="L444" s="4" t="n"/>
      <c r="M444" s="8" t="n">
        <v>0.2</v>
      </c>
      <c r="N444" s="4" t="inlineStr">
        <is>
          <t>%</t>
        </is>
      </c>
      <c r="O444" s="3" t="inlineStr">
        <is>
          <t>Deling fod</t>
        </is>
      </c>
      <c r="P444" s="3" t="inlineStr">
        <is>
          <t>J17</t>
        </is>
      </c>
      <c t="str" r="Q444" s="6">
        <f>A444&amp;"|"&amp;C444&amp;"|"&amp;D444&amp;"|"&amp;G444</f>
        <v>Deling food|Шкала|Оборудование|4</v>
      </c>
      <c t="str" r="R444" s="6">
        <f>A444&amp;"|"&amp;C444&amp;"|"&amp;D444&amp;"|"&amp;J444</f>
        <v>Deling food|Шкала|Оборудование|6</v>
      </c>
      <c t="str" r="S444" s="6">
        <f>A444&amp;"|"&amp;C444&amp;"|"&amp;D444&amp;"|"&amp;G444&amp;"|"&amp;J444</f>
        <v>Deling food|Шкала|Оборудование|4|6</v>
      </c>
      <c t="str" r="T444" s="6">
        <f>A444&amp;"|"&amp;C444&amp;"|"&amp;G444</f>
        <v>Deling food|Шкала|4</v>
      </c>
      <c t="str" r="U444" s="6">
        <f>IF(H444="да",A444&amp;"|"&amp;C444&amp;"|"&amp;D444&amp;"|"&amp;J444,"")</f>
        <v>Deling food|Шкала|Оборудование|6</v>
      </c>
      <c t="str" r="V444" s="6">
        <f>IF(C444="План",A444&amp;"|"&amp;J444,"")</f>
        <v/>
      </c>
    </row>
    <row r="445">
      <c r="A445" s="3" t="inlineStr">
        <is>
          <t>Deling food</t>
        </is>
      </c>
      <c r="B445" s="3" t="inlineStr">
        <is>
          <t>Заруб</t>
        </is>
      </c>
      <c r="C445" s="3" t="inlineStr">
        <is>
          <t>Шкала</t>
        </is>
      </c>
      <c r="D445" s="3" t="inlineStr">
        <is>
          <t>Расходные материалы</t>
        </is>
      </c>
      <c r="E445" s="3" t="inlineStr">
        <is>
          <t>Расходные материалы — за полугодие</t>
        </is>
      </c>
      <c r="F445" s="3" t="inlineStr">
        <is>
          <t>Объем закупок РМ</t>
        </is>
      </c>
      <c r="G445" s="4" t="n">
        <v>1</v>
      </c>
      <c r="H445" s="4" t="n"/>
      <c r="I445" s="3" t="inlineStr">
        <is>
          <t>до 24</t>
        </is>
      </c>
      <c r="J445" s="4" t="n">
        <v>1</v>
      </c>
      <c r="K445" s="4" t="n"/>
      <c r="L445" s="4" t="n"/>
      <c r="M445" s="8" t="n">
        <v>0</v>
      </c>
      <c r="N445" s="4" t="inlineStr">
        <is>
          <t>%</t>
        </is>
      </c>
      <c r="O445" s="3" t="inlineStr">
        <is>
          <t>Deling fod</t>
        </is>
      </c>
      <c r="P445" s="3" t="inlineStr">
        <is>
          <t>E20</t>
        </is>
      </c>
      <c t="str" r="Q445" s="6">
        <f>A445&amp;"|"&amp;C445&amp;"|"&amp;D445&amp;"|"&amp;G445</f>
        <v>Deling food|Шкала|Расходные материалы|1</v>
      </c>
      <c t="str" r="R445" s="6">
        <f>A445&amp;"|"&amp;C445&amp;"|"&amp;D445&amp;"|"&amp;J445</f>
        <v>Deling food|Шкала|Расходные материалы|1</v>
      </c>
      <c t="str" r="S445" s="6">
        <f>A445&amp;"|"&amp;C445&amp;"|"&amp;D445&amp;"|"&amp;G445&amp;"|"&amp;J445</f>
        <v>Deling food|Шкала|Расходные материалы|1|1</v>
      </c>
      <c t="str" r="T445" s="6">
        <f>A445&amp;"|"&amp;C445&amp;"|"&amp;G445</f>
        <v>Deling food|Шкала|1</v>
      </c>
      <c t="str" r="U445" s="6">
        <f>IF(H445="да",A445&amp;"|"&amp;C445&amp;"|"&amp;D445&amp;"|"&amp;J445,"")</f>
        <v/>
      </c>
      <c t="str" r="V445" s="6">
        <f>IF(C445="План",A445&amp;"|"&amp;J445,"")</f>
        <v/>
      </c>
    </row>
    <row r="446">
      <c r="A446" s="3" t="inlineStr">
        <is>
          <t>Deling food</t>
        </is>
      </c>
      <c r="B446" s="3" t="inlineStr">
        <is>
          <t>Заруб</t>
        </is>
      </c>
      <c r="C446" s="3" t="inlineStr">
        <is>
          <t>Шкала</t>
        </is>
      </c>
      <c r="D446" s="3" t="inlineStr">
        <is>
          <t>Расходные материалы</t>
        </is>
      </c>
      <c r="E446" s="3" t="inlineStr">
        <is>
          <t>Расходные материалы — за полугодие</t>
        </is>
      </c>
      <c r="F446" s="3" t="inlineStr">
        <is>
          <t>Объем закупок РМ</t>
        </is>
      </c>
      <c r="G446" s="4" t="n">
        <v>1</v>
      </c>
      <c r="H446" s="4" t="n"/>
      <c r="I446" s="3" t="inlineStr">
        <is>
          <t>25-34</t>
        </is>
      </c>
      <c r="J446" s="4" t="n">
        <v>2</v>
      </c>
      <c r="K446" s="4" t="n"/>
      <c r="L446" s="4" t="n"/>
      <c r="M446" s="8" t="n">
        <v>0.01</v>
      </c>
      <c r="N446" s="4" t="inlineStr">
        <is>
          <t>%</t>
        </is>
      </c>
      <c r="O446" s="3" t="inlineStr">
        <is>
          <t>Deling fod</t>
        </is>
      </c>
      <c r="P446" s="3" t="inlineStr">
        <is>
          <t>F20</t>
        </is>
      </c>
      <c t="str" r="Q446" s="6">
        <f>A446&amp;"|"&amp;C446&amp;"|"&amp;D446&amp;"|"&amp;G446</f>
        <v>Deling food|Шкала|Расходные материалы|1</v>
      </c>
      <c t="str" r="R446" s="6">
        <f>A446&amp;"|"&amp;C446&amp;"|"&amp;D446&amp;"|"&amp;J446</f>
        <v>Deling food|Шкала|Расходные материалы|2</v>
      </c>
      <c t="str" r="S446" s="6">
        <f>A446&amp;"|"&amp;C446&amp;"|"&amp;D446&amp;"|"&amp;G446&amp;"|"&amp;J446</f>
        <v>Deling food|Шкала|Расходные материалы|1|2</v>
      </c>
      <c t="str" r="T446" s="6">
        <f>A446&amp;"|"&amp;C446&amp;"|"&amp;G446</f>
        <v>Deling food|Шкала|1</v>
      </c>
      <c t="str" r="U446" s="6">
        <f>IF(H446="да",A446&amp;"|"&amp;C446&amp;"|"&amp;D446&amp;"|"&amp;J446,"")</f>
        <v/>
      </c>
      <c t="str" r="V446" s="6">
        <f>IF(C446="План",A446&amp;"|"&amp;J446,"")</f>
        <v/>
      </c>
    </row>
    <row r="447">
      <c r="A447" s="3" t="inlineStr">
        <is>
          <t>Deling food</t>
        </is>
      </c>
      <c r="B447" s="3" t="inlineStr">
        <is>
          <t>Заруб</t>
        </is>
      </c>
      <c r="C447" s="3" t="inlineStr">
        <is>
          <t>Шкала</t>
        </is>
      </c>
      <c r="D447" s="3" t="inlineStr">
        <is>
          <t>Расходные материалы</t>
        </is>
      </c>
      <c r="E447" s="3" t="inlineStr">
        <is>
          <t>Расходные материалы — за полугодие</t>
        </is>
      </c>
      <c r="F447" s="3" t="inlineStr">
        <is>
          <t>Объем закупок РМ</t>
        </is>
      </c>
      <c r="G447" s="4" t="n">
        <v>1</v>
      </c>
      <c r="H447" s="4" t="n"/>
      <c r="I447" s="3" t="inlineStr">
        <is>
          <t>35-44</t>
        </is>
      </c>
      <c r="J447" s="4" t="n">
        <v>3</v>
      </c>
      <c r="K447" s="4" t="n"/>
      <c r="L447" s="4" t="n"/>
      <c r="M447" s="8" t="n">
        <v>0.02</v>
      </c>
      <c r="N447" s="4" t="inlineStr">
        <is>
          <t>%</t>
        </is>
      </c>
      <c r="O447" s="3" t="inlineStr">
        <is>
          <t>Deling fod</t>
        </is>
      </c>
      <c r="P447" s="3" t="inlineStr">
        <is>
          <t>G20</t>
        </is>
      </c>
      <c t="str" r="Q447" s="6">
        <f>A447&amp;"|"&amp;C447&amp;"|"&amp;D447&amp;"|"&amp;G447</f>
        <v>Deling food|Шкала|Расходные материалы|1</v>
      </c>
      <c t="str" r="R447" s="6">
        <f>A447&amp;"|"&amp;C447&amp;"|"&amp;D447&amp;"|"&amp;J447</f>
        <v>Deling food|Шкала|Расходные материалы|3</v>
      </c>
      <c t="str" r="S447" s="6">
        <f>A447&amp;"|"&amp;C447&amp;"|"&amp;D447&amp;"|"&amp;G447&amp;"|"&amp;J447</f>
        <v>Deling food|Шкала|Расходные материалы|1|3</v>
      </c>
      <c t="str" r="T447" s="6">
        <f>A447&amp;"|"&amp;C447&amp;"|"&amp;G447</f>
        <v>Deling food|Шкала|1</v>
      </c>
      <c t="str" r="U447" s="6">
        <f>IF(H447="да",A447&amp;"|"&amp;C447&amp;"|"&amp;D447&amp;"|"&amp;J447,"")</f>
        <v/>
      </c>
      <c t="str" r="V447" s="6">
        <f>IF(C447="План",A447&amp;"|"&amp;J447,"")</f>
        <v/>
      </c>
    </row>
    <row r="448">
      <c r="A448" s="3" t="inlineStr">
        <is>
          <t>Deling food</t>
        </is>
      </c>
      <c r="B448" s="3" t="inlineStr">
        <is>
          <t>Заруб</t>
        </is>
      </c>
      <c r="C448" s="3" t="inlineStr">
        <is>
          <t>Шкала</t>
        </is>
      </c>
      <c r="D448" s="3" t="inlineStr">
        <is>
          <t>Расходные материалы</t>
        </is>
      </c>
      <c r="E448" s="3" t="inlineStr">
        <is>
          <t>Расходные материалы — за полугодие</t>
        </is>
      </c>
      <c r="F448" s="3" t="inlineStr">
        <is>
          <t>Объем закупок РМ</t>
        </is>
      </c>
      <c r="G448" s="4" t="n">
        <v>1</v>
      </c>
      <c r="H448" s="4" t="n"/>
      <c r="I448" s="3" t="inlineStr">
        <is>
          <t>45-54</t>
        </is>
      </c>
      <c r="J448" s="4" t="n">
        <v>4</v>
      </c>
      <c r="K448" s="4" t="n"/>
      <c r="L448" s="4" t="n"/>
      <c r="M448" s="8" t="n">
        <v>0.03</v>
      </c>
      <c r="N448" s="4" t="inlineStr">
        <is>
          <t>%</t>
        </is>
      </c>
      <c r="O448" s="3" t="inlineStr">
        <is>
          <t>Deling fod</t>
        </is>
      </c>
      <c r="P448" s="3" t="inlineStr">
        <is>
          <t>H20</t>
        </is>
      </c>
      <c t="str" r="Q448" s="6">
        <f>A448&amp;"|"&amp;C448&amp;"|"&amp;D448&amp;"|"&amp;G448</f>
        <v>Deling food|Шкала|Расходные материалы|1</v>
      </c>
      <c t="str" r="R448" s="6">
        <f>A448&amp;"|"&amp;C448&amp;"|"&amp;D448&amp;"|"&amp;J448</f>
        <v>Deling food|Шкала|Расходные материалы|4</v>
      </c>
      <c t="str" r="S448" s="6">
        <f>A448&amp;"|"&amp;C448&amp;"|"&amp;D448&amp;"|"&amp;G448&amp;"|"&amp;J448</f>
        <v>Deling food|Шкала|Расходные материалы|1|4</v>
      </c>
      <c t="str" r="T448" s="6">
        <f>A448&amp;"|"&amp;C448&amp;"|"&amp;G448</f>
        <v>Deling food|Шкала|1</v>
      </c>
      <c t="str" r="U448" s="6">
        <f>IF(H448="да",A448&amp;"|"&amp;C448&amp;"|"&amp;D448&amp;"|"&amp;J448,"")</f>
        <v/>
      </c>
      <c t="str" r="V448" s="6">
        <f>IF(C448="План",A448&amp;"|"&amp;J448,"")</f>
        <v/>
      </c>
    </row>
    <row r="449">
      <c r="A449" s="3" t="inlineStr">
        <is>
          <t>Deling food</t>
        </is>
      </c>
      <c r="B449" s="3" t="inlineStr">
        <is>
          <t>Заруб</t>
        </is>
      </c>
      <c r="C449" s="3" t="inlineStr">
        <is>
          <t>Шкала</t>
        </is>
      </c>
      <c r="D449" s="3" t="inlineStr">
        <is>
          <t>Расходные материалы</t>
        </is>
      </c>
      <c r="E449" s="3" t="inlineStr">
        <is>
          <t>Расходные материалы — за полугодие</t>
        </is>
      </c>
      <c r="F449" s="3" t="inlineStr">
        <is>
          <t>Объем закупок РМ</t>
        </is>
      </c>
      <c r="G449" s="4" t="n">
        <v>1</v>
      </c>
      <c r="H449" s="4" t="n"/>
      <c r="I449" s="3" t="inlineStr">
        <is>
          <t>55-64</t>
        </is>
      </c>
      <c r="J449" s="4" t="n">
        <v>5</v>
      </c>
      <c r="K449" s="4" t="n"/>
      <c r="L449" s="4" t="n"/>
      <c r="M449" s="8" t="n">
        <v>0.04</v>
      </c>
      <c r="N449" s="4" t="inlineStr">
        <is>
          <t>%</t>
        </is>
      </c>
      <c r="O449" s="3" t="inlineStr">
        <is>
          <t>Deling fod</t>
        </is>
      </c>
      <c r="P449" s="3" t="inlineStr">
        <is>
          <t>I20</t>
        </is>
      </c>
      <c t="str" r="Q449" s="6">
        <f>A449&amp;"|"&amp;C449&amp;"|"&amp;D449&amp;"|"&amp;G449</f>
        <v>Deling food|Шкала|Расходные материалы|1</v>
      </c>
      <c t="str" r="R449" s="6">
        <f>A449&amp;"|"&amp;C449&amp;"|"&amp;D449&amp;"|"&amp;J449</f>
        <v>Deling food|Шкала|Расходные материалы|5</v>
      </c>
      <c t="str" r="S449" s="6">
        <f>A449&amp;"|"&amp;C449&amp;"|"&amp;D449&amp;"|"&amp;G449&amp;"|"&amp;J449</f>
        <v>Deling food|Шкала|Расходные материалы|1|5</v>
      </c>
      <c t="str" r="T449" s="6">
        <f>A449&amp;"|"&amp;C449&amp;"|"&amp;G449</f>
        <v>Deling food|Шкала|1</v>
      </c>
      <c t="str" r="U449" s="6">
        <f>IF(H449="да",A449&amp;"|"&amp;C449&amp;"|"&amp;D449&amp;"|"&amp;J449,"")</f>
        <v/>
      </c>
      <c t="str" r="V449" s="6">
        <f>IF(C449="План",A449&amp;"|"&amp;J449,"")</f>
        <v/>
      </c>
    </row>
    <row r="450">
      <c r="A450" s="3" t="inlineStr">
        <is>
          <t>Deling food</t>
        </is>
      </c>
      <c r="B450" s="3" t="inlineStr">
        <is>
          <t>Заруб</t>
        </is>
      </c>
      <c r="C450" s="3" t="inlineStr">
        <is>
          <t>Шкала</t>
        </is>
      </c>
      <c r="D450" s="3" t="inlineStr">
        <is>
          <t>Расходные материалы</t>
        </is>
      </c>
      <c r="E450" s="3" t="inlineStr">
        <is>
          <t>Расходные материалы — за полугодие</t>
        </is>
      </c>
      <c r="F450" s="3" t="inlineStr">
        <is>
          <t>Объем закупок РМ</t>
        </is>
      </c>
      <c r="G450" s="4" t="n">
        <v>1</v>
      </c>
      <c r="H450" s="4" t="n"/>
      <c r="I450" s="3" t="inlineStr">
        <is>
          <t>65 и более</t>
        </is>
      </c>
      <c r="J450" s="4" t="n">
        <v>6</v>
      </c>
      <c r="K450" s="4" t="n"/>
      <c r="L450" s="4" t="n"/>
      <c r="M450" s="8" t="n">
        <v>0.05</v>
      </c>
      <c r="N450" s="4" t="inlineStr">
        <is>
          <t>%</t>
        </is>
      </c>
      <c r="O450" s="3" t="inlineStr">
        <is>
          <t>Deling fod</t>
        </is>
      </c>
      <c r="P450" s="3" t="inlineStr">
        <is>
          <t>J20</t>
        </is>
      </c>
      <c t="str" r="Q450" s="6">
        <f>A450&amp;"|"&amp;C450&amp;"|"&amp;D450&amp;"|"&amp;G450</f>
        <v>Deling food|Шкала|Расходные материалы|1</v>
      </c>
      <c t="str" r="R450" s="6">
        <f>A450&amp;"|"&amp;C450&amp;"|"&amp;D450&amp;"|"&amp;J450</f>
        <v>Deling food|Шкала|Расходные материалы|6</v>
      </c>
      <c t="str" r="S450" s="6">
        <f>A450&amp;"|"&amp;C450&amp;"|"&amp;D450&amp;"|"&amp;G450&amp;"|"&amp;J450</f>
        <v>Deling food|Шкала|Расходные материалы|1|6</v>
      </c>
      <c t="str" r="T450" s="6">
        <f>A450&amp;"|"&amp;C450&amp;"|"&amp;G450</f>
        <v>Deling food|Шкала|1</v>
      </c>
      <c t="str" r="U450" s="6">
        <f>IF(H450="да",A450&amp;"|"&amp;C450&amp;"|"&amp;D450&amp;"|"&amp;J450,"")</f>
        <v/>
      </c>
      <c t="str" r="V450" s="6">
        <f>IF(C450="План",A450&amp;"|"&amp;J450,"")</f>
        <v/>
      </c>
    </row>
    <row r="451">
      <c r="A451" s="3" t="inlineStr">
        <is>
          <t>Deling food</t>
        </is>
      </c>
      <c r="B451" s="3" t="inlineStr">
        <is>
          <t>Заруб</t>
        </is>
      </c>
      <c r="C451" s="3" t="inlineStr">
        <is>
          <t>Шкала</t>
        </is>
      </c>
      <c r="D451" s="3" t="inlineStr">
        <is>
          <t>Сервис (ЗЧ)</t>
        </is>
      </c>
      <c r="E451" s="3" t="inlineStr">
        <is>
          <t>Сервис (ЗЧ) — абсолютные отгрузки за 12 месяцев</t>
        </is>
      </c>
      <c r="F451" s="3" t="inlineStr">
        <is>
          <t>Скидка по сервису</t>
        </is>
      </c>
      <c r="G451" s="4" t="n">
        <v>1</v>
      </c>
      <c r="H451" s="4" t="inlineStr">
        <is>
          <t>да</t>
        </is>
      </c>
      <c r="I451" s="3" t="inlineStr">
        <is>
          <t>0–7000</t>
        </is>
      </c>
      <c r="J451" s="4" t="n">
        <v>1</v>
      </c>
      <c r="K451" s="4" t="n">
        <v>0</v>
      </c>
      <c r="L451" s="4" t="n">
        <v>7000</v>
      </c>
      <c r="M451" s="8" t="n">
        <v>0.1</v>
      </c>
      <c r="N451" s="4" t="inlineStr">
        <is>
          <t>%</t>
        </is>
      </c>
      <c r="O451" s="3" t="inlineStr">
        <is>
          <t>Deling fod</t>
        </is>
      </c>
      <c r="P451" s="3" t="inlineStr">
        <is>
          <t>F23</t>
        </is>
      </c>
      <c t="str" r="Q451" s="6">
        <f>A451&amp;"|"&amp;C451&amp;"|"&amp;D451&amp;"|"&amp;G451</f>
        <v>Deling food|Шкала|Сервис (ЗЧ)|1</v>
      </c>
      <c t="str" r="R451" s="6">
        <f>A451&amp;"|"&amp;C451&amp;"|"&amp;D451&amp;"|"&amp;J451</f>
        <v>Deling food|Шкала|Сервис (ЗЧ)|1</v>
      </c>
      <c t="str" r="S451" s="6">
        <f>A451&amp;"|"&amp;C451&amp;"|"&amp;D451&amp;"|"&amp;G451&amp;"|"&amp;J451</f>
        <v>Deling food|Шкала|Сервис (ЗЧ)|1|1</v>
      </c>
      <c t="str" r="T451" s="6">
        <f>A451&amp;"|"&amp;C451&amp;"|"&amp;G451</f>
        <v>Deling food|Шкала|1</v>
      </c>
      <c t="str" r="U451" s="6">
        <f>IF(H451="да",A451&amp;"|"&amp;C451&amp;"|"&amp;D451&amp;"|"&amp;J451,"")</f>
        <v>Deling food|Шкала|Сервис (ЗЧ)|1</v>
      </c>
      <c t="str" r="V451" s="6">
        <f>IF(C451="План",A451&amp;"|"&amp;J451,"")</f>
        <v/>
      </c>
    </row>
    <row r="452">
      <c r="A452" s="3" t="inlineStr">
        <is>
          <t>Deling food</t>
        </is>
      </c>
      <c r="B452" s="3" t="inlineStr">
        <is>
          <t>Заруб</t>
        </is>
      </c>
      <c r="C452" s="3" t="inlineStr">
        <is>
          <t>Шкала</t>
        </is>
      </c>
      <c r="D452" s="3" t="inlineStr">
        <is>
          <t>Сервис (ЗЧ)</t>
        </is>
      </c>
      <c r="E452" s="3" t="inlineStr">
        <is>
          <t>Сервис (ЗЧ) — абсолютные отгрузки за 12 месяцев</t>
        </is>
      </c>
      <c r="F452" s="3" t="inlineStr">
        <is>
          <t>Скидка по сервису</t>
        </is>
      </c>
      <c r="G452" s="4" t="n">
        <v>1</v>
      </c>
      <c r="H452" s="4" t="inlineStr">
        <is>
          <t>да</t>
        </is>
      </c>
      <c r="I452" s="3" t="inlineStr">
        <is>
          <t>7001–19000</t>
        </is>
      </c>
      <c r="J452" s="4" t="n">
        <v>2</v>
      </c>
      <c r="K452" s="4" t="n">
        <v>7001</v>
      </c>
      <c r="L452" s="4" t="n">
        <v>19000</v>
      </c>
      <c r="M452" s="8" t="n">
        <v>0.11</v>
      </c>
      <c r="N452" s="4" t="inlineStr">
        <is>
          <t>%</t>
        </is>
      </c>
      <c r="O452" s="3" t="inlineStr">
        <is>
          <t>Deling fod</t>
        </is>
      </c>
      <c r="P452" s="3" t="inlineStr">
        <is>
          <t>F24</t>
        </is>
      </c>
      <c t="str" r="Q452" s="6">
        <f>A452&amp;"|"&amp;C452&amp;"|"&amp;D452&amp;"|"&amp;G452</f>
        <v>Deling food|Шкала|Сервис (ЗЧ)|1</v>
      </c>
      <c t="str" r="R452" s="6">
        <f>A452&amp;"|"&amp;C452&amp;"|"&amp;D452&amp;"|"&amp;J452</f>
        <v>Deling food|Шкала|Сервис (ЗЧ)|2</v>
      </c>
      <c t="str" r="S452" s="6">
        <f>A452&amp;"|"&amp;C452&amp;"|"&amp;D452&amp;"|"&amp;G452&amp;"|"&amp;J452</f>
        <v>Deling food|Шкала|Сервис (ЗЧ)|1|2</v>
      </c>
      <c t="str" r="T452" s="6">
        <f>A452&amp;"|"&amp;C452&amp;"|"&amp;G452</f>
        <v>Deling food|Шкала|1</v>
      </c>
      <c t="str" r="U452" s="6">
        <f>IF(H452="да",A452&amp;"|"&amp;C452&amp;"|"&amp;D452&amp;"|"&amp;J452,"")</f>
        <v>Deling food|Шкала|Сервис (ЗЧ)|2</v>
      </c>
      <c t="str" r="V452" s="6">
        <f>IF(C452="План",A452&amp;"|"&amp;J452,"")</f>
        <v/>
      </c>
    </row>
    <row r="453">
      <c r="A453" s="3" t="inlineStr">
        <is>
          <t>Deling food</t>
        </is>
      </c>
      <c r="B453" s="3" t="inlineStr">
        <is>
          <t>Заруб</t>
        </is>
      </c>
      <c r="C453" s="3" t="inlineStr">
        <is>
          <t>Шкала</t>
        </is>
      </c>
      <c r="D453" s="3" t="inlineStr">
        <is>
          <t>Сервис (ЗЧ)</t>
        </is>
      </c>
      <c r="E453" s="3" t="inlineStr">
        <is>
          <t>Сервис (ЗЧ) — абсолютные отгрузки за 12 месяцев</t>
        </is>
      </c>
      <c r="F453" s="3" t="inlineStr">
        <is>
          <t>Скидка по сервису</t>
        </is>
      </c>
      <c r="G453" s="4" t="n">
        <v>1</v>
      </c>
      <c r="H453" s="4" t="inlineStr">
        <is>
          <t>да</t>
        </is>
      </c>
      <c r="I453" s="3" t="inlineStr">
        <is>
          <t>19001–24000</t>
        </is>
      </c>
      <c r="J453" s="4" t="n">
        <v>3</v>
      </c>
      <c r="K453" s="4" t="n">
        <v>19001</v>
      </c>
      <c r="L453" s="4" t="n">
        <v>24000</v>
      </c>
      <c r="M453" s="8" t="n">
        <v>0.13</v>
      </c>
      <c r="N453" s="4" t="inlineStr">
        <is>
          <t>%</t>
        </is>
      </c>
      <c r="O453" s="3" t="inlineStr">
        <is>
          <t>Deling fod</t>
        </is>
      </c>
      <c r="P453" s="3" t="inlineStr">
        <is>
          <t>F25</t>
        </is>
      </c>
      <c t="str" r="Q453" s="6">
        <f>A453&amp;"|"&amp;C453&amp;"|"&amp;D453&amp;"|"&amp;G453</f>
        <v>Deling food|Шкала|Сервис (ЗЧ)|1</v>
      </c>
      <c t="str" r="R453" s="6">
        <f>A453&amp;"|"&amp;C453&amp;"|"&amp;D453&amp;"|"&amp;J453</f>
        <v>Deling food|Шкала|Сервис (ЗЧ)|3</v>
      </c>
      <c t="str" r="S453" s="6">
        <f>A453&amp;"|"&amp;C453&amp;"|"&amp;D453&amp;"|"&amp;G453&amp;"|"&amp;J453</f>
        <v>Deling food|Шкала|Сервис (ЗЧ)|1|3</v>
      </c>
      <c t="str" r="T453" s="6">
        <f>A453&amp;"|"&amp;C453&amp;"|"&amp;G453</f>
        <v>Deling food|Шкала|1</v>
      </c>
      <c t="str" r="U453" s="6">
        <f>IF(H453="да",A453&amp;"|"&amp;C453&amp;"|"&amp;D453&amp;"|"&amp;J453,"")</f>
        <v>Deling food|Шкала|Сервис (ЗЧ)|3</v>
      </c>
      <c t="str" r="V453" s="6">
        <f>IF(C453="План",A453&amp;"|"&amp;J453,"")</f>
        <v/>
      </c>
    </row>
    <row r="454">
      <c r="A454" s="3" t="inlineStr">
        <is>
          <t>Deling food</t>
        </is>
      </c>
      <c r="B454" s="3" t="inlineStr">
        <is>
          <t>Заруб</t>
        </is>
      </c>
      <c r="C454" s="3" t="inlineStr">
        <is>
          <t>Шкала</t>
        </is>
      </c>
      <c r="D454" s="3" t="inlineStr">
        <is>
          <t>Сервис (ЗЧ)</t>
        </is>
      </c>
      <c r="E454" s="3" t="inlineStr">
        <is>
          <t>Сервис (ЗЧ) — абсолютные отгрузки за 12 месяцев</t>
        </is>
      </c>
      <c r="F454" s="3" t="inlineStr">
        <is>
          <t>Скидка по сервису</t>
        </is>
      </c>
      <c r="G454" s="4" t="n">
        <v>1</v>
      </c>
      <c r="H454" s="4" t="inlineStr">
        <is>
          <t>да</t>
        </is>
      </c>
      <c r="I454" s="3" t="inlineStr">
        <is>
          <t>24001–28000</t>
        </is>
      </c>
      <c r="J454" s="4" t="n">
        <v>4</v>
      </c>
      <c r="K454" s="4" t="n">
        <v>24001</v>
      </c>
      <c r="L454" s="4" t="n">
        <v>28000</v>
      </c>
      <c r="M454" s="8" t="n">
        <v>0.14</v>
      </c>
      <c r="N454" s="4" t="inlineStr">
        <is>
          <t>%</t>
        </is>
      </c>
      <c r="O454" s="3" t="inlineStr">
        <is>
          <t>Deling fod</t>
        </is>
      </c>
      <c r="P454" s="3" t="inlineStr">
        <is>
          <t>F26</t>
        </is>
      </c>
      <c t="str" r="Q454" s="6">
        <f>A454&amp;"|"&amp;C454&amp;"|"&amp;D454&amp;"|"&amp;G454</f>
        <v>Deling food|Шкала|Сервис (ЗЧ)|1</v>
      </c>
      <c t="str" r="R454" s="6">
        <f>A454&amp;"|"&amp;C454&amp;"|"&amp;D454&amp;"|"&amp;J454</f>
        <v>Deling food|Шкала|Сервис (ЗЧ)|4</v>
      </c>
      <c t="str" r="S454" s="6">
        <f>A454&amp;"|"&amp;C454&amp;"|"&amp;D454&amp;"|"&amp;G454&amp;"|"&amp;J454</f>
        <v>Deling food|Шкала|Сервис (ЗЧ)|1|4</v>
      </c>
      <c t="str" r="T454" s="6">
        <f>A454&amp;"|"&amp;C454&amp;"|"&amp;G454</f>
        <v>Deling food|Шкала|1</v>
      </c>
      <c t="str" r="U454" s="6">
        <f>IF(H454="да",A454&amp;"|"&amp;C454&amp;"|"&amp;D454&amp;"|"&amp;J454,"")</f>
        <v>Deling food|Шкала|Сервис (ЗЧ)|4</v>
      </c>
      <c t="str" r="V454" s="6">
        <f>IF(C454="План",A454&amp;"|"&amp;J454,"")</f>
        <v/>
      </c>
    </row>
    <row r="455">
      <c r="A455" s="3" t="inlineStr">
        <is>
          <t>Deling food</t>
        </is>
      </c>
      <c r="B455" s="3" t="inlineStr">
        <is>
          <t>Заруб</t>
        </is>
      </c>
      <c r="C455" s="3" t="inlineStr">
        <is>
          <t>Шкала</t>
        </is>
      </c>
      <c r="D455" s="3" t="inlineStr">
        <is>
          <t>Сервис (ЗЧ)</t>
        </is>
      </c>
      <c r="E455" s="3" t="inlineStr">
        <is>
          <t>Сервис (ЗЧ) — абсолютные отгрузки за 12 месяцев</t>
        </is>
      </c>
      <c r="F455" s="3" t="inlineStr">
        <is>
          <t>Скидка по сервису</t>
        </is>
      </c>
      <c r="G455" s="4" t="n">
        <v>1</v>
      </c>
      <c r="H455" s="4" t="inlineStr">
        <is>
          <t>да</t>
        </is>
      </c>
      <c r="I455" s="3" t="inlineStr">
        <is>
          <t>28001–40000</t>
        </is>
      </c>
      <c r="J455" s="4" t="n">
        <v>5</v>
      </c>
      <c r="K455" s="4" t="n">
        <v>28001</v>
      </c>
      <c r="L455" s="4" t="n">
        <v>40000</v>
      </c>
      <c r="M455" s="8" t="n">
        <v>0.15</v>
      </c>
      <c r="N455" s="4" t="inlineStr">
        <is>
          <t>%</t>
        </is>
      </c>
      <c r="O455" s="3" t="inlineStr">
        <is>
          <t>Deling fod</t>
        </is>
      </c>
      <c r="P455" s="3" t="inlineStr">
        <is>
          <t>F27</t>
        </is>
      </c>
      <c t="str" r="Q455" s="6">
        <f>A455&amp;"|"&amp;C455&amp;"|"&amp;D455&amp;"|"&amp;G455</f>
        <v>Deling food|Шкала|Сервис (ЗЧ)|1</v>
      </c>
      <c t="str" r="R455" s="6">
        <f>A455&amp;"|"&amp;C455&amp;"|"&amp;D455&amp;"|"&amp;J455</f>
        <v>Deling food|Шкала|Сервис (ЗЧ)|5</v>
      </c>
      <c t="str" r="S455" s="6">
        <f>A455&amp;"|"&amp;C455&amp;"|"&amp;D455&amp;"|"&amp;G455&amp;"|"&amp;J455</f>
        <v>Deling food|Шкала|Сервис (ЗЧ)|1|5</v>
      </c>
      <c t="str" r="T455" s="6">
        <f>A455&amp;"|"&amp;C455&amp;"|"&amp;G455</f>
        <v>Deling food|Шкала|1</v>
      </c>
      <c t="str" r="U455" s="6">
        <f>IF(H455="да",A455&amp;"|"&amp;C455&amp;"|"&amp;D455&amp;"|"&amp;J455,"")</f>
        <v>Deling food|Шкала|Сервис (ЗЧ)|5</v>
      </c>
      <c t="str" r="V455" s="6">
        <f>IF(C455="План",A455&amp;"|"&amp;J455,"")</f>
        <v/>
      </c>
    </row>
    <row r="456">
      <c r="A456" s="3" t="inlineStr">
        <is>
          <t>Deling food</t>
        </is>
      </c>
      <c r="B456" s="3" t="inlineStr">
        <is>
          <t>Заруб</t>
        </is>
      </c>
      <c r="C456" s="3" t="inlineStr">
        <is>
          <t>Шкала</t>
        </is>
      </c>
      <c r="D456" s="3" t="inlineStr">
        <is>
          <t>Сервис (ЗЧ)</t>
        </is>
      </c>
      <c r="E456" s="3" t="inlineStr">
        <is>
          <t>Сервис (ЗЧ) — абсолютные отгрузки за 12 месяцев</t>
        </is>
      </c>
      <c r="F456" s="3" t="inlineStr">
        <is>
          <t>Скидка по сервису</t>
        </is>
      </c>
      <c r="G456" s="4" t="n">
        <v>1</v>
      </c>
      <c r="H456" s="4" t="inlineStr">
        <is>
          <t>да</t>
        </is>
      </c>
      <c r="I456" s="3" t="inlineStr">
        <is>
          <t>40001–48000</t>
        </is>
      </c>
      <c r="J456" s="4" t="n">
        <v>6</v>
      </c>
      <c r="K456" s="4" t="n">
        <v>40001</v>
      </c>
      <c r="L456" s="4" t="n">
        <v>48000</v>
      </c>
      <c r="M456" s="8" t="n">
        <v>0.16</v>
      </c>
      <c r="N456" s="4" t="inlineStr">
        <is>
          <t>%</t>
        </is>
      </c>
      <c r="O456" s="3" t="inlineStr">
        <is>
          <t>Deling fod</t>
        </is>
      </c>
      <c r="P456" s="3" t="inlineStr">
        <is>
          <t>F28</t>
        </is>
      </c>
      <c t="str" r="Q456" s="6">
        <f>A456&amp;"|"&amp;C456&amp;"|"&amp;D456&amp;"|"&amp;G456</f>
        <v>Deling food|Шкала|Сервис (ЗЧ)|1</v>
      </c>
      <c t="str" r="R456" s="6">
        <f>A456&amp;"|"&amp;C456&amp;"|"&amp;D456&amp;"|"&amp;J456</f>
        <v>Deling food|Шкала|Сервис (ЗЧ)|6</v>
      </c>
      <c t="str" r="S456" s="6">
        <f>A456&amp;"|"&amp;C456&amp;"|"&amp;D456&amp;"|"&amp;G456&amp;"|"&amp;J456</f>
        <v>Deling food|Шкала|Сервис (ЗЧ)|1|6</v>
      </c>
      <c t="str" r="T456" s="6">
        <f>A456&amp;"|"&amp;C456&amp;"|"&amp;G456</f>
        <v>Deling food|Шкала|1</v>
      </c>
      <c t="str" r="U456" s="6">
        <f>IF(H456="да",A456&amp;"|"&amp;C456&amp;"|"&amp;D456&amp;"|"&amp;J456,"")</f>
        <v>Deling food|Шкала|Сервис (ЗЧ)|6</v>
      </c>
      <c t="str" r="V456" s="6">
        <f>IF(C456="План",A456&amp;"|"&amp;J456,"")</f>
        <v/>
      </c>
    </row>
    <row r="457">
      <c r="A457" s="3" t="inlineStr">
        <is>
          <t>Deling food</t>
        </is>
      </c>
      <c r="B457" s="3" t="inlineStr">
        <is>
          <t>Заруб</t>
        </is>
      </c>
      <c r="C457" s="3" t="inlineStr">
        <is>
          <t>Шкала</t>
        </is>
      </c>
      <c r="D457" s="3" t="inlineStr">
        <is>
          <t>Сервис (ЗЧ)</t>
        </is>
      </c>
      <c r="E457" s="3" t="inlineStr">
        <is>
          <t>Сервис (ЗЧ) — абсолютные отгрузки за 12 месяцев</t>
        </is>
      </c>
      <c r="F457" s="3" t="inlineStr">
        <is>
          <t>Скидка по сервису</t>
        </is>
      </c>
      <c r="G457" s="4" t="n">
        <v>1</v>
      </c>
      <c r="H457" s="4" t="inlineStr">
        <is>
          <t>да</t>
        </is>
      </c>
      <c r="I457" s="3" t="inlineStr">
        <is>
          <t>48001–60000</t>
        </is>
      </c>
      <c r="J457" s="4" t="n">
        <v>7</v>
      </c>
      <c r="K457" s="4" t="n">
        <v>48001</v>
      </c>
      <c r="L457" s="4" t="n">
        <v>60000</v>
      </c>
      <c r="M457" s="8" t="n">
        <v>0.17</v>
      </c>
      <c r="N457" s="4" t="inlineStr">
        <is>
          <t>%</t>
        </is>
      </c>
      <c r="O457" s="3" t="inlineStr">
        <is>
          <t>Deling fod</t>
        </is>
      </c>
      <c r="P457" s="3" t="inlineStr">
        <is>
          <t>F29</t>
        </is>
      </c>
      <c t="str" r="Q457" s="6">
        <f>A457&amp;"|"&amp;C457&amp;"|"&amp;D457&amp;"|"&amp;G457</f>
        <v>Deling food|Шкала|Сервис (ЗЧ)|1</v>
      </c>
      <c t="str" r="R457" s="6">
        <f>A457&amp;"|"&amp;C457&amp;"|"&amp;D457&amp;"|"&amp;J457</f>
        <v>Deling food|Шкала|Сервис (ЗЧ)|7</v>
      </c>
      <c t="str" r="S457" s="6">
        <f>A457&amp;"|"&amp;C457&amp;"|"&amp;D457&amp;"|"&amp;G457&amp;"|"&amp;J457</f>
        <v>Deling food|Шкала|Сервис (ЗЧ)|1|7</v>
      </c>
      <c t="str" r="T457" s="6">
        <f>A457&amp;"|"&amp;C457&amp;"|"&amp;G457</f>
        <v>Deling food|Шкала|1</v>
      </c>
      <c t="str" r="U457" s="6">
        <f>IF(H457="да",A457&amp;"|"&amp;C457&amp;"|"&amp;D457&amp;"|"&amp;J457,"")</f>
        <v>Deling food|Шкала|Сервис (ЗЧ)|7</v>
      </c>
      <c t="str" r="V457" s="6">
        <f>IF(C457="План",A457&amp;"|"&amp;J457,"")</f>
        <v/>
      </c>
    </row>
    <row r="458">
      <c r="A458" s="3" t="inlineStr">
        <is>
          <t>Deling food</t>
        </is>
      </c>
      <c r="B458" s="3" t="inlineStr">
        <is>
          <t>Заруб</t>
        </is>
      </c>
      <c r="C458" s="3" t="inlineStr">
        <is>
          <t>Шкала</t>
        </is>
      </c>
      <c r="D458" s="3" t="inlineStr">
        <is>
          <t>Сервис (ЗЧ)</t>
        </is>
      </c>
      <c r="E458" s="3" t="inlineStr">
        <is>
          <t>Сервис (ЗЧ) — абсолютные отгрузки за 12 месяцев</t>
        </is>
      </c>
      <c r="F458" s="3" t="inlineStr">
        <is>
          <t>Скидка по сервису</t>
        </is>
      </c>
      <c r="G458" s="4" t="n">
        <v>1</v>
      </c>
      <c r="H458" s="4" t="inlineStr">
        <is>
          <t>да</t>
        </is>
      </c>
      <c r="I458" s="3" t="inlineStr">
        <is>
          <t>60001–75000</t>
        </is>
      </c>
      <c r="J458" s="4" t="n">
        <v>8</v>
      </c>
      <c r="K458" s="4" t="n">
        <v>60001</v>
      </c>
      <c r="L458" s="4" t="n">
        <v>75000</v>
      </c>
      <c r="M458" s="8" t="n">
        <v>0.18</v>
      </c>
      <c r="N458" s="4" t="inlineStr">
        <is>
          <t>%</t>
        </is>
      </c>
      <c r="O458" s="3" t="inlineStr">
        <is>
          <t>Deling fod</t>
        </is>
      </c>
      <c r="P458" s="3" t="inlineStr">
        <is>
          <t>F30</t>
        </is>
      </c>
      <c t="str" r="Q458" s="6">
        <f>A458&amp;"|"&amp;C458&amp;"|"&amp;D458&amp;"|"&amp;G458</f>
        <v>Deling food|Шкала|Сервис (ЗЧ)|1</v>
      </c>
      <c t="str" r="R458" s="6">
        <f>A458&amp;"|"&amp;C458&amp;"|"&amp;D458&amp;"|"&amp;J458</f>
        <v>Deling food|Шкала|Сервис (ЗЧ)|8</v>
      </c>
      <c t="str" r="S458" s="6">
        <f>A458&amp;"|"&amp;C458&amp;"|"&amp;D458&amp;"|"&amp;G458&amp;"|"&amp;J458</f>
        <v>Deling food|Шкала|Сервис (ЗЧ)|1|8</v>
      </c>
      <c t="str" r="T458" s="6">
        <f>A458&amp;"|"&amp;C458&amp;"|"&amp;G458</f>
        <v>Deling food|Шкала|1</v>
      </c>
      <c t="str" r="U458" s="6">
        <f>IF(H458="да",A458&amp;"|"&amp;C458&amp;"|"&amp;D458&amp;"|"&amp;J458,"")</f>
        <v>Deling food|Шкала|Сервис (ЗЧ)|8</v>
      </c>
      <c t="str" r="V458" s="6">
        <f>IF(C458="План",A458&amp;"|"&amp;J458,"")</f>
        <v/>
      </c>
    </row>
    <row r="459">
      <c r="A459" s="3" t="inlineStr">
        <is>
          <t>Deling food</t>
        </is>
      </c>
      <c r="B459" s="3" t="inlineStr">
        <is>
          <t>Заруб</t>
        </is>
      </c>
      <c r="C459" s="3" t="inlineStr">
        <is>
          <t>Шкала</t>
        </is>
      </c>
      <c r="D459" s="3" t="inlineStr">
        <is>
          <t>Сервис (ЗЧ)</t>
        </is>
      </c>
      <c r="E459" s="3" t="inlineStr">
        <is>
          <t>Сервис (ЗЧ) — абсолютные отгрузки за 12 месяцев</t>
        </is>
      </c>
      <c r="F459" s="3" t="inlineStr">
        <is>
          <t>Скидка по сервису</t>
        </is>
      </c>
      <c r="G459" s="4" t="n">
        <v>1</v>
      </c>
      <c r="H459" s="4" t="inlineStr">
        <is>
          <t>да</t>
        </is>
      </c>
      <c r="I459" s="3" t="inlineStr">
        <is>
          <t>75001–90000</t>
        </is>
      </c>
      <c r="J459" s="4" t="n">
        <v>9</v>
      </c>
      <c r="K459" s="4" t="n">
        <v>75001</v>
      </c>
      <c r="L459" s="4" t="n">
        <v>90000</v>
      </c>
      <c r="M459" s="8" t="n">
        <v>0.19</v>
      </c>
      <c r="N459" s="4" t="inlineStr">
        <is>
          <t>%</t>
        </is>
      </c>
      <c r="O459" s="3" t="inlineStr">
        <is>
          <t>Deling fod</t>
        </is>
      </c>
      <c r="P459" s="3" t="inlineStr">
        <is>
          <t>F31</t>
        </is>
      </c>
      <c t="str" r="Q459" s="6">
        <f>A459&amp;"|"&amp;C459&amp;"|"&amp;D459&amp;"|"&amp;G459</f>
        <v>Deling food|Шкала|Сервис (ЗЧ)|1</v>
      </c>
      <c t="str" r="R459" s="6">
        <f>A459&amp;"|"&amp;C459&amp;"|"&amp;D459&amp;"|"&amp;J459</f>
        <v>Deling food|Шкала|Сервис (ЗЧ)|9</v>
      </c>
      <c t="str" r="S459" s="6">
        <f>A459&amp;"|"&amp;C459&amp;"|"&amp;D459&amp;"|"&amp;G459&amp;"|"&amp;J459</f>
        <v>Deling food|Шкала|Сервис (ЗЧ)|1|9</v>
      </c>
      <c t="str" r="T459" s="6">
        <f>A459&amp;"|"&amp;C459&amp;"|"&amp;G459</f>
        <v>Deling food|Шкала|1</v>
      </c>
      <c t="str" r="U459" s="6">
        <f>IF(H459="да",A459&amp;"|"&amp;C459&amp;"|"&amp;D459&amp;"|"&amp;J459,"")</f>
        <v>Deling food|Шкала|Сервис (ЗЧ)|9</v>
      </c>
      <c t="str" r="V459" s="6">
        <f>IF(C459="План",A459&amp;"|"&amp;J459,"")</f>
        <v/>
      </c>
    </row>
    <row r="460">
      <c r="A460" s="3" t="inlineStr">
        <is>
          <t>Deling food</t>
        </is>
      </c>
      <c r="B460" s="3" t="inlineStr">
        <is>
          <t>Заруб</t>
        </is>
      </c>
      <c r="C460" s="3" t="inlineStr">
        <is>
          <t>Шкала</t>
        </is>
      </c>
      <c r="D460" s="3" t="inlineStr">
        <is>
          <t>Сервис (ЗЧ)</t>
        </is>
      </c>
      <c r="E460" s="3" t="inlineStr">
        <is>
          <t>Сервис (ЗЧ) — абсолютные отгрузки за 12 месяцев</t>
        </is>
      </c>
      <c r="F460" s="3" t="inlineStr">
        <is>
          <t>Скидка по сервису</t>
        </is>
      </c>
      <c r="G460" s="4" t="n">
        <v>1</v>
      </c>
      <c r="H460" s="4" t="inlineStr">
        <is>
          <t>да</t>
        </is>
      </c>
      <c r="I460" s="3" t="inlineStr">
        <is>
          <t>90001–105000</t>
        </is>
      </c>
      <c r="J460" s="4" t="n">
        <v>10</v>
      </c>
      <c r="K460" s="4" t="n">
        <v>90001</v>
      </c>
      <c r="L460" s="4" t="n">
        <v>105000</v>
      </c>
      <c r="M460" s="8" t="n">
        <v>0.2</v>
      </c>
      <c r="N460" s="4" t="inlineStr">
        <is>
          <t>%</t>
        </is>
      </c>
      <c r="O460" s="3" t="inlineStr">
        <is>
          <t>Deling fod</t>
        </is>
      </c>
      <c r="P460" s="3" t="inlineStr">
        <is>
          <t>F32</t>
        </is>
      </c>
      <c t="str" r="Q460" s="6">
        <f>A460&amp;"|"&amp;C460&amp;"|"&amp;D460&amp;"|"&amp;G460</f>
        <v>Deling food|Шкала|Сервис (ЗЧ)|1</v>
      </c>
      <c t="str" r="R460" s="6">
        <f>A460&amp;"|"&amp;C460&amp;"|"&amp;D460&amp;"|"&amp;J460</f>
        <v>Deling food|Шкала|Сервис (ЗЧ)|10</v>
      </c>
      <c t="str" r="S460" s="6">
        <f>A460&amp;"|"&amp;C460&amp;"|"&amp;D460&amp;"|"&amp;G460&amp;"|"&amp;J460</f>
        <v>Deling food|Шкала|Сервис (ЗЧ)|1|10</v>
      </c>
      <c t="str" r="T460" s="6">
        <f>A460&amp;"|"&amp;C460&amp;"|"&amp;G460</f>
        <v>Deling food|Шкала|1</v>
      </c>
      <c t="str" r="U460" s="6">
        <f>IF(H460="да",A460&amp;"|"&amp;C460&amp;"|"&amp;D460&amp;"|"&amp;J460,"")</f>
        <v>Deling food|Шкала|Сервис (ЗЧ)|10</v>
      </c>
      <c t="str" r="V460" s="6">
        <f>IF(C460="План",A460&amp;"|"&amp;J460,"")</f>
        <v/>
      </c>
    </row>
    <row r="461">
      <c r="A461" s="3" t="inlineStr">
        <is>
          <t>Deling food</t>
        </is>
      </c>
      <c r="B461" s="3" t="inlineStr">
        <is>
          <t>Заруб</t>
        </is>
      </c>
      <c r="C461" s="3" t="inlineStr">
        <is>
          <t>Шкала</t>
        </is>
      </c>
      <c r="D461" s="3" t="inlineStr">
        <is>
          <t>Сервис (ЗЧ)</t>
        </is>
      </c>
      <c r="E461" s="3" t="inlineStr">
        <is>
          <t>Сервис (ЗЧ) — абсолютные отгрузки за 12 месяцев</t>
        </is>
      </c>
      <c r="F461" s="3" t="inlineStr">
        <is>
          <t>Скидка по сервису</t>
        </is>
      </c>
      <c r="G461" s="4" t="n">
        <v>1</v>
      </c>
      <c r="H461" s="4" t="inlineStr">
        <is>
          <t>да</t>
        </is>
      </c>
      <c r="I461" s="3" t="inlineStr">
        <is>
          <t>105001–115000</t>
        </is>
      </c>
      <c r="J461" s="4" t="n">
        <v>11</v>
      </c>
      <c r="K461" s="4" t="n">
        <v>105001</v>
      </c>
      <c r="L461" s="4" t="n">
        <v>115000</v>
      </c>
      <c r="M461" s="8" t="n">
        <v>0.21</v>
      </c>
      <c r="N461" s="4" t="inlineStr">
        <is>
          <t>%</t>
        </is>
      </c>
      <c r="O461" s="3" t="inlineStr">
        <is>
          <t>Deling fod</t>
        </is>
      </c>
      <c r="P461" s="3" t="inlineStr">
        <is>
          <t>F33</t>
        </is>
      </c>
      <c t="str" r="Q461" s="6">
        <f>A461&amp;"|"&amp;C461&amp;"|"&amp;D461&amp;"|"&amp;G461</f>
        <v>Deling food|Шкала|Сервис (ЗЧ)|1</v>
      </c>
      <c t="str" r="R461" s="6">
        <f>A461&amp;"|"&amp;C461&amp;"|"&amp;D461&amp;"|"&amp;J461</f>
        <v>Deling food|Шкала|Сервис (ЗЧ)|11</v>
      </c>
      <c t="str" r="S461" s="6">
        <f>A461&amp;"|"&amp;C461&amp;"|"&amp;D461&amp;"|"&amp;G461&amp;"|"&amp;J461</f>
        <v>Deling food|Шкала|Сервис (ЗЧ)|1|11</v>
      </c>
      <c t="str" r="T461" s="6">
        <f>A461&amp;"|"&amp;C461&amp;"|"&amp;G461</f>
        <v>Deling food|Шкала|1</v>
      </c>
      <c t="str" r="U461" s="6">
        <f>IF(H461="да",A461&amp;"|"&amp;C461&amp;"|"&amp;D461&amp;"|"&amp;J461,"")</f>
        <v>Deling food|Шкала|Сервис (ЗЧ)|11</v>
      </c>
      <c t="str" r="V461" s="6">
        <f>IF(C461="План",A461&amp;"|"&amp;J461,"")</f>
        <v/>
      </c>
    </row>
    <row r="462">
      <c r="A462" s="3" t="inlineStr">
        <is>
          <t>Deling food</t>
        </is>
      </c>
      <c r="B462" s="3" t="inlineStr">
        <is>
          <t>Заруб</t>
        </is>
      </c>
      <c r="C462" s="3" t="inlineStr">
        <is>
          <t>Шкала</t>
        </is>
      </c>
      <c r="D462" s="3" t="inlineStr">
        <is>
          <t>Сервис (ЗЧ)</t>
        </is>
      </c>
      <c r="E462" s="3" t="inlineStr">
        <is>
          <t>Сервис (ЗЧ) — абсолютные отгрузки за 12 месяцев</t>
        </is>
      </c>
      <c r="F462" s="3" t="inlineStr">
        <is>
          <t>Скидка по сервису</t>
        </is>
      </c>
      <c r="G462" s="4" t="n">
        <v>1</v>
      </c>
      <c r="H462" s="4" t="inlineStr">
        <is>
          <t>да</t>
        </is>
      </c>
      <c r="I462" s="3" t="inlineStr">
        <is>
          <t>115001+</t>
        </is>
      </c>
      <c r="J462" s="4" t="n">
        <v>12</v>
      </c>
      <c r="K462" s="4" t="n">
        <v>115001</v>
      </c>
      <c r="L462" s="4" t="n">
        <v>0</v>
      </c>
      <c r="M462" s="8" t="n">
        <v>0.22</v>
      </c>
      <c r="N462" s="4" t="inlineStr">
        <is>
          <t>%</t>
        </is>
      </c>
      <c r="O462" s="3" t="inlineStr">
        <is>
          <t>Deling fod</t>
        </is>
      </c>
      <c r="P462" s="3" t="inlineStr">
        <is>
          <t>F34</t>
        </is>
      </c>
      <c t="str" r="Q462" s="6">
        <f>A462&amp;"|"&amp;C462&amp;"|"&amp;D462&amp;"|"&amp;G462</f>
        <v>Deling food|Шкала|Сервис (ЗЧ)|1</v>
      </c>
      <c t="str" r="R462" s="6">
        <f>A462&amp;"|"&amp;C462&amp;"|"&amp;D462&amp;"|"&amp;J462</f>
        <v>Deling food|Шкала|Сервис (ЗЧ)|12</v>
      </c>
      <c t="str" r="S462" s="6">
        <f>A462&amp;"|"&amp;C462&amp;"|"&amp;D462&amp;"|"&amp;G462&amp;"|"&amp;J462</f>
        <v>Deling food|Шкала|Сервис (ЗЧ)|1|12</v>
      </c>
      <c t="str" r="T462" s="6">
        <f>A462&amp;"|"&amp;C462&amp;"|"&amp;G462</f>
        <v>Deling food|Шкала|1</v>
      </c>
      <c t="str" r="U462" s="6">
        <f>IF(H462="да",A462&amp;"|"&amp;C462&amp;"|"&amp;D462&amp;"|"&amp;J462,"")</f>
        <v>Deling food|Шкала|Сервис (ЗЧ)|12</v>
      </c>
      <c t="str" r="V462" s="6">
        <f>IF(C462="План",A462&amp;"|"&amp;J462,"")</f>
        <v/>
      </c>
    </row>
    <row r="463">
      <c r="A463" s="3" t="inlineStr">
        <is>
          <t>VitLine, Казахстан</t>
        </is>
      </c>
      <c r="B463" s="3" t="inlineStr">
        <is>
          <t>Заруб</t>
        </is>
      </c>
      <c r="C463" s="3" t="inlineStr">
        <is>
          <t>План</t>
        </is>
      </c>
      <c r="D463" s="3" t="inlineStr">
        <is>
          <t>Итого по дилеру</t>
        </is>
      </c>
      <c r="E463" s="3" t="inlineStr">
        <is>
          <t>План и бонусы</t>
        </is>
      </c>
      <c r="F463" s="3" t="inlineStr">
        <is>
          <t>Выручка 2024</t>
        </is>
      </c>
      <c r="G463" s="4" t="n">
        <v>1</v>
      </c>
      <c r="H463" s="4" t="n"/>
      <c r="I463" s="3" t="n"/>
      <c r="J463" s="4" t="n">
        <v>1</v>
      </c>
      <c r="K463" s="4" t="n"/>
      <c r="L463" s="4" t="n"/>
      <c r="M463" s="5" t="n">
        <v>1010089</v>
      </c>
      <c r="N463" s="4" t="inlineStr">
        <is>
          <t>EUR</t>
        </is>
      </c>
      <c r="O463" s="3" t="inlineStr">
        <is>
          <t>VitLine</t>
        </is>
      </c>
      <c r="P463" s="3" t="inlineStr">
        <is>
          <t>D4</t>
        </is>
      </c>
      <c t="str" r="Q463" s="6">
        <f>A463&amp;"|"&amp;C463&amp;"|"&amp;D463&amp;"|"&amp;G463</f>
        <v>VitLine, Казахстан|План|Итого по дилеру|1</v>
      </c>
      <c t="str" r="R463" s="6">
        <f>A463&amp;"|"&amp;C463&amp;"|"&amp;D463&amp;"|"&amp;J463</f>
        <v>VitLine, Казахстан|План|Итого по дилеру|1</v>
      </c>
      <c t="str" r="S463" s="6">
        <f>A463&amp;"|"&amp;C463&amp;"|"&amp;D463&amp;"|"&amp;G463&amp;"|"&amp;J463</f>
        <v>VitLine, Казахстан|План|Итого по дилеру|1|1</v>
      </c>
      <c t="str" r="T463" s="6">
        <f>A463&amp;"|"&amp;C463&amp;"|"&amp;G463</f>
        <v>VitLine, Казахстан|План|1</v>
      </c>
      <c t="str" r="U463" s="6">
        <f>IF(H463="да",A463&amp;"|"&amp;C463&amp;"|"&amp;D463&amp;"|"&amp;J463,"")</f>
        <v/>
      </c>
      <c t="str" r="V463" s="6">
        <f>IF(C463="План",A463&amp;"|"&amp;J463,"")</f>
        <v>VitLine, Казахстан|1</v>
      </c>
    </row>
    <row r="464">
      <c r="A464" s="3" t="inlineStr">
        <is>
          <t>VitLine, Казахстан</t>
        </is>
      </c>
      <c r="B464" s="3" t="inlineStr">
        <is>
          <t>Заруб</t>
        </is>
      </c>
      <c r="C464" s="3" t="inlineStr">
        <is>
          <t>План</t>
        </is>
      </c>
      <c r="D464" s="3" t="inlineStr">
        <is>
          <t>Итого по дилеру</t>
        </is>
      </c>
      <c r="E464" s="3" t="inlineStr">
        <is>
          <t>План и бонусы</t>
        </is>
      </c>
      <c r="F464" s="3" t="inlineStr">
        <is>
          <t>Выручка 2025</t>
        </is>
      </c>
      <c r="G464" s="4" t="n">
        <v>1</v>
      </c>
      <c r="H464" s="4" t="n"/>
      <c r="I464" s="3" t="n"/>
      <c r="J464" s="4" t="n">
        <v>2</v>
      </c>
      <c r="K464" s="4" t="n"/>
      <c r="L464" s="4" t="n"/>
      <c r="M464" s="5" t="n">
        <v>1013606</v>
      </c>
      <c r="N464" s="4" t="inlineStr">
        <is>
          <t>EUR</t>
        </is>
      </c>
      <c r="O464" s="3" t="inlineStr">
        <is>
          <t>VitLine</t>
        </is>
      </c>
      <c r="P464" s="3" t="inlineStr">
        <is>
          <t>E4</t>
        </is>
      </c>
      <c t="str" r="Q464" s="6">
        <f>A464&amp;"|"&amp;C464&amp;"|"&amp;D464&amp;"|"&amp;G464</f>
        <v>VitLine, Казахстан|План|Итого по дилеру|1</v>
      </c>
      <c t="str" r="R464" s="6">
        <f>A464&amp;"|"&amp;C464&amp;"|"&amp;D464&amp;"|"&amp;J464</f>
        <v>VitLine, Казахстан|План|Итого по дилеру|2</v>
      </c>
      <c t="str" r="S464" s="6">
        <f>A464&amp;"|"&amp;C464&amp;"|"&amp;D464&amp;"|"&amp;G464&amp;"|"&amp;J464</f>
        <v>VitLine, Казахстан|План|Итого по дилеру|1|2</v>
      </c>
      <c t="str" r="T464" s="6">
        <f>A464&amp;"|"&amp;C464&amp;"|"&amp;G464</f>
        <v>VitLine, Казахстан|План|1</v>
      </c>
      <c t="str" r="U464" s="6">
        <f>IF(H464="да",A464&amp;"|"&amp;C464&amp;"|"&amp;D464&amp;"|"&amp;J464,"")</f>
        <v/>
      </c>
      <c t="str" r="V464" s="6">
        <f>IF(C464="План",A464&amp;"|"&amp;J464,"")</f>
        <v>VitLine, Казахстан|2</v>
      </c>
    </row>
    <row r="465">
      <c r="A465" s="3" t="inlineStr">
        <is>
          <t>VitLine, Казахстан</t>
        </is>
      </c>
      <c r="B465" s="3" t="inlineStr">
        <is>
          <t>Заруб</t>
        </is>
      </c>
      <c r="C465" s="3" t="inlineStr">
        <is>
          <t>План</t>
        </is>
      </c>
      <c r="D465" s="3" t="inlineStr">
        <is>
          <t>Итого по дилеру</t>
        </is>
      </c>
      <c r="E465" s="3" t="inlineStr">
        <is>
          <t>План и бонусы</t>
        </is>
      </c>
      <c r="F465" s="3" t="inlineStr">
        <is>
          <t>План 2026</t>
        </is>
      </c>
      <c r="G465" s="4" t="n">
        <v>1</v>
      </c>
      <c r="H465" s="4" t="n"/>
      <c r="I465" s="3" t="n"/>
      <c r="J465" s="4" t="n">
        <v>3</v>
      </c>
      <c r="K465" s="4" t="n"/>
      <c r="L465" s="4" t="n"/>
      <c r="M465" s="5" t="n">
        <v>1315000</v>
      </c>
      <c r="N465" s="4" t="inlineStr">
        <is>
          <t>EUR</t>
        </is>
      </c>
      <c r="O465" s="3" t="inlineStr">
        <is>
          <t>VitLine</t>
        </is>
      </c>
      <c r="P465" s="3" t="inlineStr">
        <is>
          <t>F4</t>
        </is>
      </c>
      <c t="str" r="Q465" s="6">
        <f>A465&amp;"|"&amp;C465&amp;"|"&amp;D465&amp;"|"&amp;G465</f>
        <v>VitLine, Казахстан|План|Итого по дилеру|1</v>
      </c>
      <c t="str" r="R465" s="6">
        <f>A465&amp;"|"&amp;C465&amp;"|"&amp;D465&amp;"|"&amp;J465</f>
        <v>VitLine, Казахстан|План|Итого по дилеру|3</v>
      </c>
      <c t="str" r="S465" s="6">
        <f>A465&amp;"|"&amp;C465&amp;"|"&amp;D465&amp;"|"&amp;G465&amp;"|"&amp;J465</f>
        <v>VitLine, Казахстан|План|Итого по дилеру|1|3</v>
      </c>
      <c t="str" r="T465" s="6">
        <f>A465&amp;"|"&amp;C465&amp;"|"&amp;G465</f>
        <v>VitLine, Казахстан|План|1</v>
      </c>
      <c t="str" r="U465" s="6">
        <f>IF(H465="да",A465&amp;"|"&amp;C465&amp;"|"&amp;D465&amp;"|"&amp;J465,"")</f>
        <v/>
      </c>
      <c t="str" r="V465" s="6">
        <f>IF(C465="План",A465&amp;"|"&amp;J465,"")</f>
        <v>VitLine, Казахстан|3</v>
      </c>
    </row>
    <row r="466">
      <c r="A466" s="3" t="inlineStr">
        <is>
          <t>VitLine, Казахстан</t>
        </is>
      </c>
      <c r="B466" s="3" t="inlineStr">
        <is>
          <t>Заруб</t>
        </is>
      </c>
      <c r="C466" s="3" t="inlineStr">
        <is>
          <t>План</t>
        </is>
      </c>
      <c r="D466" s="3" t="inlineStr">
        <is>
          <t>Итого по дилеру</t>
        </is>
      </c>
      <c r="E466" s="3" t="inlineStr">
        <is>
          <t>План и бонусы</t>
        </is>
      </c>
      <c r="F466" s="3" t="inlineStr">
        <is>
          <t>Прирост П/Ф</t>
        </is>
      </c>
      <c r="G466" s="4" t="n">
        <v>1</v>
      </c>
      <c r="H466" s="4" t="n"/>
      <c r="I466" s="3" t="n"/>
      <c r="J466" s="4" t="n">
        <v>4</v>
      </c>
      <c r="K466" s="4" t="n"/>
      <c r="L466" s="4" t="n"/>
      <c r="M466" s="7" t="n">
        <v>0.2973482793116853</v>
      </c>
      <c r="N466" s="4" t="inlineStr">
        <is>
          <t>%</t>
        </is>
      </c>
      <c r="O466" s="3" t="inlineStr">
        <is>
          <t>VitLine</t>
        </is>
      </c>
      <c r="P466" s="3" t="inlineStr">
        <is>
          <t>G4</t>
        </is>
      </c>
      <c t="str" r="Q466" s="6">
        <f>A466&amp;"|"&amp;C466&amp;"|"&amp;D466&amp;"|"&amp;G466</f>
        <v>VitLine, Казахстан|План|Итого по дилеру|1</v>
      </c>
      <c t="str" r="R466" s="6">
        <f>A466&amp;"|"&amp;C466&amp;"|"&amp;D466&amp;"|"&amp;J466</f>
        <v>VitLine, Казахстан|План|Итого по дилеру|4</v>
      </c>
      <c t="str" r="S466" s="6">
        <f>A466&amp;"|"&amp;C466&amp;"|"&amp;D466&amp;"|"&amp;G466&amp;"|"&amp;J466</f>
        <v>VitLine, Казахстан|План|Итого по дилеру|1|4</v>
      </c>
      <c t="str" r="T466" s="6">
        <f>A466&amp;"|"&amp;C466&amp;"|"&amp;G466</f>
        <v>VitLine, Казахстан|План|1</v>
      </c>
      <c t="str" r="U466" s="6">
        <f>IF(H466="да",A466&amp;"|"&amp;C466&amp;"|"&amp;D466&amp;"|"&amp;J466,"")</f>
        <v/>
      </c>
      <c t="str" r="V466" s="6">
        <f>IF(C466="План",A466&amp;"|"&amp;J466,"")</f>
        <v>VitLine, Казахстан|4</v>
      </c>
    </row>
    <row r="467">
      <c r="A467" s="3" t="inlineStr">
        <is>
          <t>VitLine, Казахстан</t>
        </is>
      </c>
      <c r="B467" s="3" t="inlineStr">
        <is>
          <t>Заруб</t>
        </is>
      </c>
      <c r="C467" s="3" t="inlineStr">
        <is>
          <t>План</t>
        </is>
      </c>
      <c r="D467" s="3" t="inlineStr">
        <is>
          <t>Сервис</t>
        </is>
      </c>
      <c r="E467" s="3" t="inlineStr">
        <is>
          <t>План и бонусы</t>
        </is>
      </c>
      <c r="F467" s="3" t="inlineStr">
        <is>
          <t>Выручка 2024</t>
        </is>
      </c>
      <c r="G467" s="4" t="n">
        <v>2</v>
      </c>
      <c r="H467" s="4" t="n"/>
      <c r="I467" s="3" t="n"/>
      <c r="J467" s="4" t="n">
        <v>1</v>
      </c>
      <c r="K467" s="4" t="n"/>
      <c r="L467" s="4" t="n"/>
      <c r="M467" s="5" t="n">
        <v>131600</v>
      </c>
      <c r="N467" s="4" t="inlineStr">
        <is>
          <t>EUR</t>
        </is>
      </c>
      <c r="O467" s="3" t="inlineStr">
        <is>
          <t>VitLine</t>
        </is>
      </c>
      <c r="P467" s="3" t="inlineStr">
        <is>
          <t>D5</t>
        </is>
      </c>
      <c t="str" r="Q467" s="6">
        <f>A467&amp;"|"&amp;C467&amp;"|"&amp;D467&amp;"|"&amp;G467</f>
        <v>VitLine, Казахстан|План|Сервис|2</v>
      </c>
      <c t="str" r="R467" s="6">
        <f>A467&amp;"|"&amp;C467&amp;"|"&amp;D467&amp;"|"&amp;J467</f>
        <v>VitLine, Казахстан|План|Сервис|1</v>
      </c>
      <c t="str" r="S467" s="6">
        <f>A467&amp;"|"&amp;C467&amp;"|"&amp;D467&amp;"|"&amp;G467&amp;"|"&amp;J467</f>
        <v>VitLine, Казахстан|План|Сервис|2|1</v>
      </c>
      <c t="str" r="T467" s="6">
        <f>A467&amp;"|"&amp;C467&amp;"|"&amp;G467</f>
        <v>VitLine, Казахстан|План|2</v>
      </c>
      <c t="str" r="U467" s="6">
        <f>IF(H467="да",A467&amp;"|"&amp;C467&amp;"|"&amp;D467&amp;"|"&amp;J467,"")</f>
        <v/>
      </c>
      <c t="str" r="V467" s="6">
        <f>IF(C467="План",A467&amp;"|"&amp;J467,"")</f>
        <v>VitLine, Казахстан|1</v>
      </c>
    </row>
    <row r="468">
      <c r="A468" s="3" t="inlineStr">
        <is>
          <t>VitLine, Казахстан</t>
        </is>
      </c>
      <c r="B468" s="3" t="inlineStr">
        <is>
          <t>Заруб</t>
        </is>
      </c>
      <c r="C468" s="3" t="inlineStr">
        <is>
          <t>План</t>
        </is>
      </c>
      <c r="D468" s="3" t="inlineStr">
        <is>
          <t>Сервис</t>
        </is>
      </c>
      <c r="E468" s="3" t="inlineStr">
        <is>
          <t>План и бонусы</t>
        </is>
      </c>
      <c r="F468" s="3" t="inlineStr">
        <is>
          <t>Выручка 2025</t>
        </is>
      </c>
      <c r="G468" s="4" t="n">
        <v>2</v>
      </c>
      <c r="H468" s="4" t="n"/>
      <c r="I468" s="3" t="n"/>
      <c r="J468" s="4" t="n">
        <v>2</v>
      </c>
      <c r="K468" s="4" t="n"/>
      <c r="L468" s="4" t="n"/>
      <c r="M468" s="5" t="n">
        <v>99727</v>
      </c>
      <c r="N468" s="4" t="inlineStr">
        <is>
          <t>EUR</t>
        </is>
      </c>
      <c r="O468" s="3" t="inlineStr">
        <is>
          <t>VitLine</t>
        </is>
      </c>
      <c r="P468" s="3" t="inlineStr">
        <is>
          <t>E5</t>
        </is>
      </c>
      <c t="str" r="Q468" s="6">
        <f>A468&amp;"|"&amp;C468&amp;"|"&amp;D468&amp;"|"&amp;G468</f>
        <v>VitLine, Казахстан|План|Сервис|2</v>
      </c>
      <c t="str" r="R468" s="6">
        <f>A468&amp;"|"&amp;C468&amp;"|"&amp;D468&amp;"|"&amp;J468</f>
        <v>VitLine, Казахстан|План|Сервис|2</v>
      </c>
      <c t="str" r="S468" s="6">
        <f>A468&amp;"|"&amp;C468&amp;"|"&amp;D468&amp;"|"&amp;G468&amp;"|"&amp;J468</f>
        <v>VitLine, Казахстан|План|Сервис|2|2</v>
      </c>
      <c t="str" r="T468" s="6">
        <f>A468&amp;"|"&amp;C468&amp;"|"&amp;G468</f>
        <v>VitLine, Казахстан|План|2</v>
      </c>
      <c t="str" r="U468" s="6">
        <f>IF(H468="да",A468&amp;"|"&amp;C468&amp;"|"&amp;D468&amp;"|"&amp;J468,"")</f>
        <v/>
      </c>
      <c t="str" r="V468" s="6">
        <f>IF(C468="План",A468&amp;"|"&amp;J468,"")</f>
        <v>VitLine, Казахстан|2</v>
      </c>
    </row>
    <row r="469">
      <c r="A469" s="3" t="inlineStr">
        <is>
          <t>VitLine, Казахстан</t>
        </is>
      </c>
      <c r="B469" s="3" t="inlineStr">
        <is>
          <t>Заруб</t>
        </is>
      </c>
      <c r="C469" s="3" t="inlineStr">
        <is>
          <t>План</t>
        </is>
      </c>
      <c r="D469" s="3" t="inlineStr">
        <is>
          <t>Сервис</t>
        </is>
      </c>
      <c r="E469" s="3" t="inlineStr">
        <is>
          <t>План и бонусы</t>
        </is>
      </c>
      <c r="F469" s="3" t="inlineStr">
        <is>
          <t>План 2026</t>
        </is>
      </c>
      <c r="G469" s="4" t="n">
        <v>2</v>
      </c>
      <c r="H469" s="4" t="n"/>
      <c r="I469" s="3" t="n"/>
      <c r="J469" s="4" t="n">
        <v>3</v>
      </c>
      <c r="K469" s="4" t="n"/>
      <c r="L469" s="4" t="n"/>
      <c r="M469" s="5" t="n">
        <v>100000</v>
      </c>
      <c r="N469" s="4" t="inlineStr">
        <is>
          <t>EUR</t>
        </is>
      </c>
      <c r="O469" s="3" t="inlineStr">
        <is>
          <t>VitLine</t>
        </is>
      </c>
      <c r="P469" s="3" t="inlineStr">
        <is>
          <t>F5</t>
        </is>
      </c>
      <c t="str" r="Q469" s="6">
        <f>A469&amp;"|"&amp;C469&amp;"|"&amp;D469&amp;"|"&amp;G469</f>
        <v>VitLine, Казахстан|План|Сервис|2</v>
      </c>
      <c t="str" r="R469" s="6">
        <f>A469&amp;"|"&amp;C469&amp;"|"&amp;D469&amp;"|"&amp;J469</f>
        <v>VitLine, Казахстан|План|Сервис|3</v>
      </c>
      <c t="str" r="S469" s="6">
        <f>A469&amp;"|"&amp;C469&amp;"|"&amp;D469&amp;"|"&amp;G469&amp;"|"&amp;J469</f>
        <v>VitLine, Казахстан|План|Сервис|2|3</v>
      </c>
      <c t="str" r="T469" s="6">
        <f>A469&amp;"|"&amp;C469&amp;"|"&amp;G469</f>
        <v>VitLine, Казахстан|План|2</v>
      </c>
      <c t="str" r="U469" s="6">
        <f>IF(H469="да",A469&amp;"|"&amp;C469&amp;"|"&amp;D469&amp;"|"&amp;J469,"")</f>
        <v/>
      </c>
      <c t="str" r="V469" s="6">
        <f>IF(C469="План",A469&amp;"|"&amp;J469,"")</f>
        <v>VitLine, Казахстан|3</v>
      </c>
    </row>
    <row r="470">
      <c r="A470" s="3" t="inlineStr">
        <is>
          <t>VitLine, Казахстан</t>
        </is>
      </c>
      <c r="B470" s="3" t="inlineStr">
        <is>
          <t>Заруб</t>
        </is>
      </c>
      <c r="C470" s="3" t="inlineStr">
        <is>
          <t>План</t>
        </is>
      </c>
      <c r="D470" s="3" t="inlineStr">
        <is>
          <t>Сервис</t>
        </is>
      </c>
      <c r="E470" s="3" t="inlineStr">
        <is>
          <t>План и бонусы</t>
        </is>
      </c>
      <c r="F470" s="3" t="inlineStr">
        <is>
          <t>Размер бонуса по итогам 2026 г</t>
        </is>
      </c>
      <c r="G470" s="4" t="n">
        <v>2</v>
      </c>
      <c r="H470" s="4" t="n"/>
      <c r="I470" s="3" t="n"/>
      <c r="J470" s="4" t="n">
        <v>5</v>
      </c>
      <c r="K470" s="4" t="n"/>
      <c r="L470" s="4" t="n"/>
      <c r="M470" s="7" t="n">
        <v>0.01</v>
      </c>
      <c r="N470" s="4" t="inlineStr">
        <is>
          <t>%</t>
        </is>
      </c>
      <c r="O470" s="3" t="inlineStr">
        <is>
          <t>VitLine</t>
        </is>
      </c>
      <c r="P470" s="3" t="inlineStr">
        <is>
          <t>H5</t>
        </is>
      </c>
      <c t="str" r="Q470" s="6">
        <f>A470&amp;"|"&amp;C470&amp;"|"&amp;D470&amp;"|"&amp;G470</f>
        <v>VitLine, Казахстан|План|Сервис|2</v>
      </c>
      <c t="str" r="R470" s="6">
        <f>A470&amp;"|"&amp;C470&amp;"|"&amp;D470&amp;"|"&amp;J470</f>
        <v>VitLine, Казахстан|План|Сервис|5</v>
      </c>
      <c t="str" r="S470" s="6">
        <f>A470&amp;"|"&amp;C470&amp;"|"&amp;D470&amp;"|"&amp;G470&amp;"|"&amp;J470</f>
        <v>VitLine, Казахстан|План|Сервис|2|5</v>
      </c>
      <c t="str" r="T470" s="6">
        <f>A470&amp;"|"&amp;C470&amp;"|"&amp;G470</f>
        <v>VitLine, Казахстан|План|2</v>
      </c>
      <c t="str" r="U470" s="6">
        <f>IF(H470="да",A470&amp;"|"&amp;C470&amp;"|"&amp;D470&amp;"|"&amp;J470,"")</f>
        <v/>
      </c>
      <c t="str" r="V470" s="6">
        <f>IF(C470="План",A470&amp;"|"&amp;J470,"")</f>
        <v>VitLine, Казахстан|5</v>
      </c>
    </row>
    <row r="471">
      <c r="A471" s="3" t="inlineStr">
        <is>
          <t>VitLine, Казахстан</t>
        </is>
      </c>
      <c r="B471" s="3" t="inlineStr">
        <is>
          <t>Заруб</t>
        </is>
      </c>
      <c r="C471" s="3" t="inlineStr">
        <is>
          <t>План</t>
        </is>
      </c>
      <c r="D471" s="3" t="inlineStr">
        <is>
          <t>Сервис</t>
        </is>
      </c>
      <c r="E471" s="3" t="inlineStr">
        <is>
          <t>План и бонусы</t>
        </is>
      </c>
      <c r="F471" s="3" t="inlineStr">
        <is>
          <t>Скидка в 1 кв. 2026 ф.г.*</t>
        </is>
      </c>
      <c r="G471" s="4" t="n">
        <v>2</v>
      </c>
      <c r="H471" s="4" t="n"/>
      <c r="I471" s="3" t="n"/>
      <c r="J471" s="4" t="n">
        <v>6</v>
      </c>
      <c r="K471" s="4" t="n"/>
      <c r="L471" s="4" t="n"/>
      <c r="M471" s="8" t="n">
        <v>0.19</v>
      </c>
      <c r="N471" s="4" t="inlineStr">
        <is>
          <t>%</t>
        </is>
      </c>
      <c r="O471" s="3" t="inlineStr">
        <is>
          <t>VitLine</t>
        </is>
      </c>
      <c r="P471" s="3" t="inlineStr">
        <is>
          <t>I5</t>
        </is>
      </c>
      <c t="str" r="Q471" s="6">
        <f>A471&amp;"|"&amp;C471&amp;"|"&amp;D471&amp;"|"&amp;G471</f>
        <v>VitLine, Казахстан|План|Сервис|2</v>
      </c>
      <c t="str" r="R471" s="6">
        <f>A471&amp;"|"&amp;C471&amp;"|"&amp;D471&amp;"|"&amp;J471</f>
        <v>VitLine, Казахстан|План|Сервис|6</v>
      </c>
      <c t="str" r="S471" s="6">
        <f>A471&amp;"|"&amp;C471&amp;"|"&amp;D471&amp;"|"&amp;G471&amp;"|"&amp;J471</f>
        <v>VitLine, Казахстан|План|Сервис|2|6</v>
      </c>
      <c t="str" r="T471" s="6">
        <f>A471&amp;"|"&amp;C471&amp;"|"&amp;G471</f>
        <v>VitLine, Казахстан|План|2</v>
      </c>
      <c t="str" r="U471" s="6">
        <f>IF(H471="да",A471&amp;"|"&amp;C471&amp;"|"&amp;D471&amp;"|"&amp;J471,"")</f>
        <v/>
      </c>
      <c t="str" r="V471" s="6">
        <f>IF(C471="План",A471&amp;"|"&amp;J471,"")</f>
        <v>VitLine, Казахстан|6</v>
      </c>
    </row>
    <row r="472">
      <c r="A472" s="3" t="inlineStr">
        <is>
          <t>VitLine, Казахстан</t>
        </is>
      </c>
      <c r="B472" s="3" t="inlineStr">
        <is>
          <t>Заруб</t>
        </is>
      </c>
      <c r="C472" s="3" t="inlineStr">
        <is>
          <t>План</t>
        </is>
      </c>
      <c r="D472" s="3" t="inlineStr">
        <is>
          <t>Оборудование</t>
        </is>
      </c>
      <c r="E472" s="3" t="inlineStr">
        <is>
          <t>План и бонусы</t>
        </is>
      </c>
      <c r="F472" s="3" t="inlineStr">
        <is>
          <t>Выручка 2024</t>
        </is>
      </c>
      <c r="G472" s="4" t="n">
        <v>3</v>
      </c>
      <c r="H472" s="4" t="n"/>
      <c r="I472" s="3" t="n"/>
      <c r="J472" s="4" t="n">
        <v>1</v>
      </c>
      <c r="K472" s="4" t="n"/>
      <c r="L472" s="4" t="n"/>
      <c r="M472" s="5" t="n">
        <v>65169</v>
      </c>
      <c r="N472" s="4" t="inlineStr">
        <is>
          <t>EUR</t>
        </is>
      </c>
      <c r="O472" s="3" t="inlineStr">
        <is>
          <t>VitLine</t>
        </is>
      </c>
      <c r="P472" s="3" t="inlineStr">
        <is>
          <t>D6</t>
        </is>
      </c>
      <c t="str" r="Q472" s="6">
        <f>A472&amp;"|"&amp;C472&amp;"|"&amp;D472&amp;"|"&amp;G472</f>
        <v>VitLine, Казахстан|План|Оборудование|3</v>
      </c>
      <c t="str" r="R472" s="6">
        <f>A472&amp;"|"&amp;C472&amp;"|"&amp;D472&amp;"|"&amp;J472</f>
        <v>VitLine, Казахстан|План|Оборудование|1</v>
      </c>
      <c t="str" r="S472" s="6">
        <f>A472&amp;"|"&amp;C472&amp;"|"&amp;D472&amp;"|"&amp;G472&amp;"|"&amp;J472</f>
        <v>VitLine, Казахстан|План|Оборудование|3|1</v>
      </c>
      <c t="str" r="T472" s="6">
        <f>A472&amp;"|"&amp;C472&amp;"|"&amp;G472</f>
        <v>VitLine, Казахстан|План|3</v>
      </c>
      <c t="str" r="U472" s="6">
        <f>IF(H472="да",A472&amp;"|"&amp;C472&amp;"|"&amp;D472&amp;"|"&amp;J472,"")</f>
        <v/>
      </c>
      <c t="str" r="V472" s="6">
        <f>IF(C472="План",A472&amp;"|"&amp;J472,"")</f>
        <v>VitLine, Казахстан|1</v>
      </c>
    </row>
    <row r="473">
      <c r="A473" s="3" t="inlineStr">
        <is>
          <t>VitLine, Казахстан</t>
        </is>
      </c>
      <c r="B473" s="3" t="inlineStr">
        <is>
          <t>Заруб</t>
        </is>
      </c>
      <c r="C473" s="3" t="inlineStr">
        <is>
          <t>План</t>
        </is>
      </c>
      <c r="D473" s="3" t="inlineStr">
        <is>
          <t>Оборудование</t>
        </is>
      </c>
      <c r="E473" s="3" t="inlineStr">
        <is>
          <t>План и бонусы</t>
        </is>
      </c>
      <c r="F473" s="3" t="inlineStr">
        <is>
          <t>Выручка 2025</t>
        </is>
      </c>
      <c r="G473" s="4" t="n">
        <v>3</v>
      </c>
      <c r="H473" s="4" t="n"/>
      <c r="I473" s="3" t="n"/>
      <c r="J473" s="4" t="n">
        <v>2</v>
      </c>
      <c r="K473" s="4" t="n"/>
      <c r="L473" s="4" t="n"/>
      <c r="M473" s="5" t="n">
        <v>126990</v>
      </c>
      <c r="N473" s="4" t="inlineStr">
        <is>
          <t>EUR</t>
        </is>
      </c>
      <c r="O473" s="3" t="inlineStr">
        <is>
          <t>VitLine</t>
        </is>
      </c>
      <c r="P473" s="3" t="inlineStr">
        <is>
          <t>E6</t>
        </is>
      </c>
      <c t="str" r="Q473" s="6">
        <f>A473&amp;"|"&amp;C473&amp;"|"&amp;D473&amp;"|"&amp;G473</f>
        <v>VitLine, Казахстан|План|Оборудование|3</v>
      </c>
      <c t="str" r="R473" s="6">
        <f>A473&amp;"|"&amp;C473&amp;"|"&amp;D473&amp;"|"&amp;J473</f>
        <v>VitLine, Казахстан|План|Оборудование|2</v>
      </c>
      <c t="str" r="S473" s="6">
        <f>A473&amp;"|"&amp;C473&amp;"|"&amp;D473&amp;"|"&amp;G473&amp;"|"&amp;J473</f>
        <v>VitLine, Казахстан|План|Оборудование|3|2</v>
      </c>
      <c t="str" r="T473" s="6">
        <f>A473&amp;"|"&amp;C473&amp;"|"&amp;G473</f>
        <v>VitLine, Казахстан|План|3</v>
      </c>
      <c t="str" r="U473" s="6">
        <f>IF(H473="да",A473&amp;"|"&amp;C473&amp;"|"&amp;D473&amp;"|"&amp;J473,"")</f>
        <v/>
      </c>
      <c t="str" r="V473" s="6">
        <f>IF(C473="План",A473&amp;"|"&amp;J473,"")</f>
        <v>VitLine, Казахстан|2</v>
      </c>
    </row>
    <row r="474">
      <c r="A474" s="3" t="inlineStr">
        <is>
          <t>VitLine, Казахстан</t>
        </is>
      </c>
      <c r="B474" s="3" t="inlineStr">
        <is>
          <t>Заруб</t>
        </is>
      </c>
      <c r="C474" s="3" t="inlineStr">
        <is>
          <t>План</t>
        </is>
      </c>
      <c r="D474" s="3" t="inlineStr">
        <is>
          <t>Оборудование</t>
        </is>
      </c>
      <c r="E474" s="3" t="inlineStr">
        <is>
          <t>План и бонусы</t>
        </is>
      </c>
      <c r="F474" s="3" t="inlineStr">
        <is>
          <t>План 2026</t>
        </is>
      </c>
      <c r="G474" s="4" t="n">
        <v>3</v>
      </c>
      <c r="H474" s="4" t="n"/>
      <c r="I474" s="3" t="n"/>
      <c r="J474" s="4" t="n">
        <v>3</v>
      </c>
      <c r="K474" s="4" t="n"/>
      <c r="L474" s="4" t="n"/>
      <c r="M474" s="5" t="n">
        <v>315000</v>
      </c>
      <c r="N474" s="4" t="inlineStr">
        <is>
          <t>EUR</t>
        </is>
      </c>
      <c r="O474" s="3" t="inlineStr">
        <is>
          <t>VitLine</t>
        </is>
      </c>
      <c r="P474" s="3" t="inlineStr">
        <is>
          <t>F6</t>
        </is>
      </c>
      <c t="str" r="Q474" s="6">
        <f>A474&amp;"|"&amp;C474&amp;"|"&amp;D474&amp;"|"&amp;G474</f>
        <v>VitLine, Казахстан|План|Оборудование|3</v>
      </c>
      <c t="str" r="R474" s="6">
        <f>A474&amp;"|"&amp;C474&amp;"|"&amp;D474&amp;"|"&amp;J474</f>
        <v>VitLine, Казахстан|План|Оборудование|3</v>
      </c>
      <c t="str" r="S474" s="6">
        <f>A474&amp;"|"&amp;C474&amp;"|"&amp;D474&amp;"|"&amp;G474&amp;"|"&amp;J474</f>
        <v>VitLine, Казахстан|План|Оборудование|3|3</v>
      </c>
      <c t="str" r="T474" s="6">
        <f>A474&amp;"|"&amp;C474&amp;"|"&amp;G474</f>
        <v>VitLine, Казахстан|План|3</v>
      </c>
      <c t="str" r="U474" s="6">
        <f>IF(H474="да",A474&amp;"|"&amp;C474&amp;"|"&amp;D474&amp;"|"&amp;J474,"")</f>
        <v/>
      </c>
      <c t="str" r="V474" s="6">
        <f>IF(C474="План",A474&amp;"|"&amp;J474,"")</f>
        <v>VitLine, Казахстан|3</v>
      </c>
    </row>
    <row r="475">
      <c r="A475" s="3" t="inlineStr">
        <is>
          <t>VitLine, Казахстан</t>
        </is>
      </c>
      <c r="B475" s="3" t="inlineStr">
        <is>
          <t>Заруб</t>
        </is>
      </c>
      <c r="C475" s="3" t="inlineStr">
        <is>
          <t>План</t>
        </is>
      </c>
      <c r="D475" s="3" t="inlineStr">
        <is>
          <t>Оборудование</t>
        </is>
      </c>
      <c r="E475" s="3" t="inlineStr">
        <is>
          <t>План и бонусы</t>
        </is>
      </c>
      <c r="F475" s="3" t="inlineStr">
        <is>
          <t>Размер бонуса по итогам 2026 г</t>
        </is>
      </c>
      <c r="G475" s="4" t="n">
        <v>3</v>
      </c>
      <c r="H475" s="4" t="n"/>
      <c r="I475" s="3" t="n"/>
      <c r="J475" s="4" t="n">
        <v>5</v>
      </c>
      <c r="K475" s="4" t="n"/>
      <c r="L475" s="4" t="n"/>
      <c r="M475" s="7" t="n">
        <v>0.015</v>
      </c>
      <c r="N475" s="4" t="inlineStr">
        <is>
          <t>%</t>
        </is>
      </c>
      <c r="O475" s="3" t="inlineStr">
        <is>
          <t>VitLine</t>
        </is>
      </c>
      <c r="P475" s="3" t="inlineStr">
        <is>
          <t>H6</t>
        </is>
      </c>
      <c t="str" r="Q475" s="6">
        <f>A475&amp;"|"&amp;C475&amp;"|"&amp;D475&amp;"|"&amp;G475</f>
        <v>VitLine, Казахстан|План|Оборудование|3</v>
      </c>
      <c t="str" r="R475" s="6">
        <f>A475&amp;"|"&amp;C475&amp;"|"&amp;D475&amp;"|"&amp;J475</f>
        <v>VitLine, Казахстан|План|Оборудование|5</v>
      </c>
      <c t="str" r="S475" s="6">
        <f>A475&amp;"|"&amp;C475&amp;"|"&amp;D475&amp;"|"&amp;G475&amp;"|"&amp;J475</f>
        <v>VitLine, Казахстан|План|Оборудование|3|5</v>
      </c>
      <c t="str" r="T475" s="6">
        <f>A475&amp;"|"&amp;C475&amp;"|"&amp;G475</f>
        <v>VitLine, Казахстан|План|3</v>
      </c>
      <c t="str" r="U475" s="6">
        <f>IF(H475="да",A475&amp;"|"&amp;C475&amp;"|"&amp;D475&amp;"|"&amp;J475,"")</f>
        <v/>
      </c>
      <c t="str" r="V475" s="6">
        <f>IF(C475="План",A475&amp;"|"&amp;J475,"")</f>
        <v>VitLine, Казахстан|5</v>
      </c>
    </row>
    <row r="476">
      <c r="A476" s="3" t="inlineStr">
        <is>
          <t>VitLine, Казахстан</t>
        </is>
      </c>
      <c r="B476" s="3" t="inlineStr">
        <is>
          <t>Заруб</t>
        </is>
      </c>
      <c r="C476" s="3" t="inlineStr">
        <is>
          <t>План</t>
        </is>
      </c>
      <c r="D476" s="3" t="inlineStr">
        <is>
          <t>Оборудование</t>
        </is>
      </c>
      <c r="E476" s="3" t="inlineStr">
        <is>
          <t>План и бонусы</t>
        </is>
      </c>
      <c r="F476" s="3" t="inlineStr">
        <is>
          <t>Скидка в 1 кв. 2026 ф.г.*</t>
        </is>
      </c>
      <c r="G476" s="4" t="n">
        <v>3</v>
      </c>
      <c r="H476" s="4" t="n"/>
      <c r="I476" s="3" t="n"/>
      <c r="J476" s="4" t="n">
        <v>6</v>
      </c>
      <c r="K476" s="4" t="n"/>
      <c r="L476" s="4" t="n"/>
      <c r="M476" s="8" t="n">
        <v>0.18</v>
      </c>
      <c r="N476" s="4" t="inlineStr">
        <is>
          <t>%</t>
        </is>
      </c>
      <c r="O476" s="3" t="inlineStr">
        <is>
          <t>VitLine</t>
        </is>
      </c>
      <c r="P476" s="3" t="inlineStr">
        <is>
          <t>I6</t>
        </is>
      </c>
      <c t="str" r="Q476" s="6">
        <f>A476&amp;"|"&amp;C476&amp;"|"&amp;D476&amp;"|"&amp;G476</f>
        <v>VitLine, Казахстан|План|Оборудование|3</v>
      </c>
      <c t="str" r="R476" s="6">
        <f>A476&amp;"|"&amp;C476&amp;"|"&amp;D476&amp;"|"&amp;J476</f>
        <v>VitLine, Казахстан|План|Оборудование|6</v>
      </c>
      <c t="str" r="S476" s="6">
        <f>A476&amp;"|"&amp;C476&amp;"|"&amp;D476&amp;"|"&amp;G476&amp;"|"&amp;J476</f>
        <v>VitLine, Казахстан|План|Оборудование|3|6</v>
      </c>
      <c t="str" r="T476" s="6">
        <f>A476&amp;"|"&amp;C476&amp;"|"&amp;G476</f>
        <v>VitLine, Казахстан|План|3</v>
      </c>
      <c t="str" r="U476" s="6">
        <f>IF(H476="да",A476&amp;"|"&amp;C476&amp;"|"&amp;D476&amp;"|"&amp;J476,"")</f>
        <v/>
      </c>
      <c t="str" r="V476" s="6">
        <f>IF(C476="План",A476&amp;"|"&amp;J476,"")</f>
        <v>VitLine, Казахстан|6</v>
      </c>
    </row>
    <row r="477">
      <c r="A477" s="3" t="inlineStr">
        <is>
          <t>VitLine, Казахстан</t>
        </is>
      </c>
      <c r="B477" s="3" t="inlineStr">
        <is>
          <t>Заруб</t>
        </is>
      </c>
      <c r="C477" s="3" t="inlineStr">
        <is>
          <t>План</t>
        </is>
      </c>
      <c r="D477" s="3" t="inlineStr">
        <is>
          <t>Расходные материалы</t>
        </is>
      </c>
      <c r="E477" s="3" t="inlineStr">
        <is>
          <t>План и бонусы</t>
        </is>
      </c>
      <c r="F477" s="3" t="inlineStr">
        <is>
          <t>Выручка 2024</t>
        </is>
      </c>
      <c r="G477" s="4" t="n">
        <v>4</v>
      </c>
      <c r="H477" s="4" t="n"/>
      <c r="I477" s="3" t="n"/>
      <c r="J477" s="4" t="n">
        <v>1</v>
      </c>
      <c r="K477" s="4" t="n"/>
      <c r="L477" s="4" t="n"/>
      <c r="M477" s="5" t="n">
        <v>813320</v>
      </c>
      <c r="N477" s="4" t="inlineStr">
        <is>
          <t>EUR</t>
        </is>
      </c>
      <c r="O477" s="3" t="inlineStr">
        <is>
          <t>VitLine</t>
        </is>
      </c>
      <c r="P477" s="3" t="inlineStr">
        <is>
          <t>D7</t>
        </is>
      </c>
      <c t="str" r="Q477" s="6">
        <f>A477&amp;"|"&amp;C477&amp;"|"&amp;D477&amp;"|"&amp;G477</f>
        <v>VitLine, Казахстан|План|Расходные материалы|4</v>
      </c>
      <c t="str" r="R477" s="6">
        <f>A477&amp;"|"&amp;C477&amp;"|"&amp;D477&amp;"|"&amp;J477</f>
        <v>VitLine, Казахстан|План|Расходные материалы|1</v>
      </c>
      <c t="str" r="S477" s="6">
        <f>A477&amp;"|"&amp;C477&amp;"|"&amp;D477&amp;"|"&amp;G477&amp;"|"&amp;J477</f>
        <v>VitLine, Казахстан|План|Расходные материалы|4|1</v>
      </c>
      <c t="str" r="T477" s="6">
        <f>A477&amp;"|"&amp;C477&amp;"|"&amp;G477</f>
        <v>VitLine, Казахстан|План|4</v>
      </c>
      <c t="str" r="U477" s="6">
        <f>IF(H477="да",A477&amp;"|"&amp;C477&amp;"|"&amp;D477&amp;"|"&amp;J477,"")</f>
        <v/>
      </c>
      <c t="str" r="V477" s="6">
        <f>IF(C477="План",A477&amp;"|"&amp;J477,"")</f>
        <v>VitLine, Казахстан|1</v>
      </c>
    </row>
    <row r="478">
      <c r="A478" s="3" t="inlineStr">
        <is>
          <t>VitLine, Казахстан</t>
        </is>
      </c>
      <c r="B478" s="3" t="inlineStr">
        <is>
          <t>Заруб</t>
        </is>
      </c>
      <c r="C478" s="3" t="inlineStr">
        <is>
          <t>План</t>
        </is>
      </c>
      <c r="D478" s="3" t="inlineStr">
        <is>
          <t>Расходные материалы</t>
        </is>
      </c>
      <c r="E478" s="3" t="inlineStr">
        <is>
          <t>План и бонусы</t>
        </is>
      </c>
      <c r="F478" s="3" t="inlineStr">
        <is>
          <t>Выручка 2025</t>
        </is>
      </c>
      <c r="G478" s="4" t="n">
        <v>4</v>
      </c>
      <c r="H478" s="4" t="n"/>
      <c r="I478" s="3" t="n"/>
      <c r="J478" s="4" t="n">
        <v>2</v>
      </c>
      <c r="K478" s="4" t="n"/>
      <c r="L478" s="4" t="n"/>
      <c r="M478" s="5" t="n">
        <v>786889</v>
      </c>
      <c r="N478" s="4" t="inlineStr">
        <is>
          <t>EUR</t>
        </is>
      </c>
      <c r="O478" s="3" t="inlineStr">
        <is>
          <t>VitLine</t>
        </is>
      </c>
      <c r="P478" s="3" t="inlineStr">
        <is>
          <t>E7</t>
        </is>
      </c>
      <c t="str" r="Q478" s="6">
        <f>A478&amp;"|"&amp;C478&amp;"|"&amp;D478&amp;"|"&amp;G478</f>
        <v>VitLine, Казахстан|План|Расходные материалы|4</v>
      </c>
      <c t="str" r="R478" s="6">
        <f>A478&amp;"|"&amp;C478&amp;"|"&amp;D478&amp;"|"&amp;J478</f>
        <v>VitLine, Казахстан|План|Расходные материалы|2</v>
      </c>
      <c t="str" r="S478" s="6">
        <f>A478&amp;"|"&amp;C478&amp;"|"&amp;D478&amp;"|"&amp;G478&amp;"|"&amp;J478</f>
        <v>VitLine, Казахстан|План|Расходные материалы|4|2</v>
      </c>
      <c t="str" r="T478" s="6">
        <f>A478&amp;"|"&amp;C478&amp;"|"&amp;G478</f>
        <v>VitLine, Казахстан|План|4</v>
      </c>
      <c t="str" r="U478" s="6">
        <f>IF(H478="да",A478&amp;"|"&amp;C478&amp;"|"&amp;D478&amp;"|"&amp;J478,"")</f>
        <v/>
      </c>
      <c t="str" r="V478" s="6">
        <f>IF(C478="План",A478&amp;"|"&amp;J478,"")</f>
        <v>VitLine, Казахстан|2</v>
      </c>
    </row>
    <row r="479">
      <c r="A479" s="3" t="inlineStr">
        <is>
          <t>VitLine, Казахстан</t>
        </is>
      </c>
      <c r="B479" s="3" t="inlineStr">
        <is>
          <t>Заруб</t>
        </is>
      </c>
      <c r="C479" s="3" t="inlineStr">
        <is>
          <t>План</t>
        </is>
      </c>
      <c r="D479" s="3" t="inlineStr">
        <is>
          <t>Расходные материалы</t>
        </is>
      </c>
      <c r="E479" s="3" t="inlineStr">
        <is>
          <t>План и бонусы</t>
        </is>
      </c>
      <c r="F479" s="3" t="inlineStr">
        <is>
          <t>План 2026</t>
        </is>
      </c>
      <c r="G479" s="4" t="n">
        <v>4</v>
      </c>
      <c r="H479" s="4" t="n"/>
      <c r="I479" s="3" t="n"/>
      <c r="J479" s="4" t="n">
        <v>3</v>
      </c>
      <c r="K479" s="4" t="n"/>
      <c r="L479" s="4" t="n"/>
      <c r="M479" s="5" t="n">
        <v>900000</v>
      </c>
      <c r="N479" s="4" t="inlineStr">
        <is>
          <t>EUR</t>
        </is>
      </c>
      <c r="O479" s="3" t="inlineStr">
        <is>
          <t>VitLine</t>
        </is>
      </c>
      <c r="P479" s="3" t="inlineStr">
        <is>
          <t>F7</t>
        </is>
      </c>
      <c t="str" r="Q479" s="6">
        <f>A479&amp;"|"&amp;C479&amp;"|"&amp;D479&amp;"|"&amp;G479</f>
        <v>VitLine, Казахстан|План|Расходные материалы|4</v>
      </c>
      <c t="str" r="R479" s="6">
        <f>A479&amp;"|"&amp;C479&amp;"|"&amp;D479&amp;"|"&amp;J479</f>
        <v>VitLine, Казахстан|План|Расходные материалы|3</v>
      </c>
      <c t="str" r="S479" s="6">
        <f>A479&amp;"|"&amp;C479&amp;"|"&amp;D479&amp;"|"&amp;G479&amp;"|"&amp;J479</f>
        <v>VitLine, Казахстан|План|Расходные материалы|4|3</v>
      </c>
      <c t="str" r="T479" s="6">
        <f>A479&amp;"|"&amp;C479&amp;"|"&amp;G479</f>
        <v>VitLine, Казахстан|План|4</v>
      </c>
      <c t="str" r="U479" s="6">
        <f>IF(H479="да",A479&amp;"|"&amp;C479&amp;"|"&amp;D479&amp;"|"&amp;J479,"")</f>
        <v/>
      </c>
      <c t="str" r="V479" s="6">
        <f>IF(C479="План",A479&amp;"|"&amp;J479,"")</f>
        <v>VitLine, Казахстан|3</v>
      </c>
    </row>
    <row r="480">
      <c r="A480" s="3" t="inlineStr">
        <is>
          <t>VitLine, Казахстан</t>
        </is>
      </c>
      <c r="B480" s="3" t="inlineStr">
        <is>
          <t>Заруб</t>
        </is>
      </c>
      <c r="C480" s="3" t="inlineStr">
        <is>
          <t>План</t>
        </is>
      </c>
      <c r="D480" s="3" t="inlineStr">
        <is>
          <t>Расходные материалы</t>
        </is>
      </c>
      <c r="E480" s="3" t="inlineStr">
        <is>
          <t>План и бонусы</t>
        </is>
      </c>
      <c r="F480" s="3" t="inlineStr">
        <is>
          <t>Размер бонуса по итогам 2026 г</t>
        </is>
      </c>
      <c r="G480" s="4" t="n">
        <v>4</v>
      </c>
      <c r="H480" s="4" t="n"/>
      <c r="I480" s="3" t="n"/>
      <c r="J480" s="4" t="n">
        <v>5</v>
      </c>
      <c r="K480" s="4" t="n"/>
      <c r="L480" s="4" t="n"/>
      <c r="M480" s="7" t="n">
        <v>0.005</v>
      </c>
      <c r="N480" s="4" t="inlineStr">
        <is>
          <t>%</t>
        </is>
      </c>
      <c r="O480" s="3" t="inlineStr">
        <is>
          <t>VitLine</t>
        </is>
      </c>
      <c r="P480" s="3" t="inlineStr">
        <is>
          <t>H7</t>
        </is>
      </c>
      <c t="str" r="Q480" s="6">
        <f>A480&amp;"|"&amp;C480&amp;"|"&amp;D480&amp;"|"&amp;G480</f>
        <v>VitLine, Казахстан|План|Расходные материалы|4</v>
      </c>
      <c t="str" r="R480" s="6">
        <f>A480&amp;"|"&amp;C480&amp;"|"&amp;D480&amp;"|"&amp;J480</f>
        <v>VitLine, Казахстан|План|Расходные материалы|5</v>
      </c>
      <c t="str" r="S480" s="6">
        <f>A480&amp;"|"&amp;C480&amp;"|"&amp;D480&amp;"|"&amp;G480&amp;"|"&amp;J480</f>
        <v>VitLine, Казахстан|План|Расходные материалы|4|5</v>
      </c>
      <c t="str" r="T480" s="6">
        <f>A480&amp;"|"&amp;C480&amp;"|"&amp;G480</f>
        <v>VitLine, Казахстан|План|4</v>
      </c>
      <c t="str" r="U480" s="6">
        <f>IF(H480="да",A480&amp;"|"&amp;C480&amp;"|"&amp;D480&amp;"|"&amp;J480,"")</f>
        <v/>
      </c>
      <c t="str" r="V480" s="6">
        <f>IF(C480="План",A480&amp;"|"&amp;J480,"")</f>
        <v>VitLine, Казахстан|5</v>
      </c>
    </row>
    <row r="481">
      <c r="A481" s="3" t="inlineStr">
        <is>
          <t>VitLine, Казахстан</t>
        </is>
      </c>
      <c r="B481" s="3" t="inlineStr">
        <is>
          <t>Заруб</t>
        </is>
      </c>
      <c r="C481" s="3" t="inlineStr">
        <is>
          <t>План</t>
        </is>
      </c>
      <c r="D481" s="3" t="inlineStr">
        <is>
          <t>Расходные материалы</t>
        </is>
      </c>
      <c r="E481" s="3" t="inlineStr">
        <is>
          <t>План и бонусы</t>
        </is>
      </c>
      <c r="F481" s="3" t="inlineStr">
        <is>
          <t>Скидка в 1 кв. 2026 ф.г.*</t>
        </is>
      </c>
      <c r="G481" s="4" t="n">
        <v>4</v>
      </c>
      <c r="H481" s="4" t="n"/>
      <c r="I481" s="3" t="n"/>
      <c r="J481" s="4" t="n">
        <v>6</v>
      </c>
      <c r="K481" s="4" t="n"/>
      <c r="L481" s="4" t="n"/>
      <c r="M481" s="8" t="n">
        <v>0.15</v>
      </c>
      <c r="N481" s="4" t="inlineStr">
        <is>
          <t>%</t>
        </is>
      </c>
      <c r="O481" s="3" t="inlineStr">
        <is>
          <t>VitLine</t>
        </is>
      </c>
      <c r="P481" s="3" t="inlineStr">
        <is>
          <t>I7</t>
        </is>
      </c>
      <c t="str" r="Q481" s="6">
        <f>A481&amp;"|"&amp;C481&amp;"|"&amp;D481&amp;"|"&amp;G481</f>
        <v>VitLine, Казахстан|План|Расходные материалы|4</v>
      </c>
      <c t="str" r="R481" s="6">
        <f>A481&amp;"|"&amp;C481&amp;"|"&amp;D481&amp;"|"&amp;J481</f>
        <v>VitLine, Казахстан|План|Расходные материалы|6</v>
      </c>
      <c t="str" r="S481" s="6">
        <f>A481&amp;"|"&amp;C481&amp;"|"&amp;D481&amp;"|"&amp;G481&amp;"|"&amp;J481</f>
        <v>VitLine, Казахстан|План|Расходные материалы|4|6</v>
      </c>
      <c t="str" r="T481" s="6">
        <f>A481&amp;"|"&amp;C481&amp;"|"&amp;G481</f>
        <v>VitLine, Казахстан|План|4</v>
      </c>
      <c t="str" r="U481" s="6">
        <f>IF(H481="да",A481&amp;"|"&amp;C481&amp;"|"&amp;D481&amp;"|"&amp;J481,"")</f>
        <v/>
      </c>
      <c t="str" r="V481" s="6">
        <f>IF(C481="План",A481&amp;"|"&amp;J481,"")</f>
        <v>VitLine, Казахстан|6</v>
      </c>
    </row>
    <row r="482">
      <c r="A482" s="3" t="inlineStr">
        <is>
          <t>VitLine, Казахстан</t>
        </is>
      </c>
      <c r="B482" s="3" t="inlineStr">
        <is>
          <t>Заруб</t>
        </is>
      </c>
      <c r="C482" s="3" t="inlineStr">
        <is>
          <t>Шкала</t>
        </is>
      </c>
      <c r="D482" s="3" t="inlineStr">
        <is>
          <t>Оборудование</t>
        </is>
      </c>
      <c r="E482" s="3" t="inlineStr">
        <is>
          <t>Оборудование — за полугодие</t>
        </is>
      </c>
      <c r="F482" s="3" t="inlineStr">
        <is>
          <t>Базовое вознаграждение за Дилерский договор</t>
        </is>
      </c>
      <c r="G482" s="4" t="n">
        <v>1</v>
      </c>
      <c r="H482" s="4" t="n"/>
      <c r="I482" s="3" t="inlineStr">
        <is>
          <t>до 75</t>
        </is>
      </c>
      <c r="J482" s="4" t="n">
        <v>1</v>
      </c>
      <c r="K482" s="4" t="n"/>
      <c r="L482" s="4" t="n"/>
      <c r="M482" s="8" t="n">
        <v>0.06</v>
      </c>
      <c r="N482" s="4" t="inlineStr">
        <is>
          <t>%</t>
        </is>
      </c>
      <c r="O482" s="3" t="inlineStr">
        <is>
          <t>VitLine</t>
        </is>
      </c>
      <c r="P482" s="3" t="inlineStr">
        <is>
          <t>E14</t>
        </is>
      </c>
      <c t="str" r="Q482" s="6">
        <f>A482&amp;"|"&amp;C482&amp;"|"&amp;D482&amp;"|"&amp;G482</f>
        <v>VitLine, Казахстан|Шкала|Оборудование|1</v>
      </c>
      <c t="str" r="R482" s="6">
        <f>A482&amp;"|"&amp;C482&amp;"|"&amp;D482&amp;"|"&amp;J482</f>
        <v>VitLine, Казахстан|Шкала|Оборудование|1</v>
      </c>
      <c t="str" r="S482" s="6">
        <f>A482&amp;"|"&amp;C482&amp;"|"&amp;D482&amp;"|"&amp;G482&amp;"|"&amp;J482</f>
        <v>VitLine, Казахстан|Шкала|Оборудование|1|1</v>
      </c>
      <c t="str" r="T482" s="6">
        <f>A482&amp;"|"&amp;C482&amp;"|"&amp;G482</f>
        <v>VitLine, Казахстан|Шкала|1</v>
      </c>
      <c t="str" r="U482" s="6">
        <f>IF(H482="да",A482&amp;"|"&amp;C482&amp;"|"&amp;D482&amp;"|"&amp;J482,"")</f>
        <v/>
      </c>
      <c t="str" r="V482" s="6">
        <f>IF(C482="План",A482&amp;"|"&amp;J482,"")</f>
        <v/>
      </c>
    </row>
    <row r="483">
      <c r="A483" s="3" t="inlineStr">
        <is>
          <t>VitLine, Казахстан</t>
        </is>
      </c>
      <c r="B483" s="3" t="inlineStr">
        <is>
          <t>Заруб</t>
        </is>
      </c>
      <c r="C483" s="3" t="inlineStr">
        <is>
          <t>Шкала</t>
        </is>
      </c>
      <c r="D483" s="3" t="inlineStr">
        <is>
          <t>Оборудование</t>
        </is>
      </c>
      <c r="E483" s="3" t="inlineStr">
        <is>
          <t>Оборудование — за полугодие</t>
        </is>
      </c>
      <c r="F483" s="3" t="inlineStr">
        <is>
          <t>Базовое вознаграждение за Дилерский договор</t>
        </is>
      </c>
      <c r="G483" s="4" t="n">
        <v>1</v>
      </c>
      <c r="H483" s="4" t="n"/>
      <c r="I483" s="3" t="inlineStr">
        <is>
          <t>75-114</t>
        </is>
      </c>
      <c r="J483" s="4" t="n">
        <v>2</v>
      </c>
      <c r="K483" s="4" t="n"/>
      <c r="L483" s="4" t="n"/>
      <c r="M483" s="8" t="n">
        <v>0.06</v>
      </c>
      <c r="N483" s="4" t="inlineStr">
        <is>
          <t>%</t>
        </is>
      </c>
      <c r="O483" s="3" t="inlineStr">
        <is>
          <t>VitLine</t>
        </is>
      </c>
      <c r="P483" s="3" t="inlineStr">
        <is>
          <t>F14</t>
        </is>
      </c>
      <c t="str" r="Q483" s="6">
        <f>A483&amp;"|"&amp;C483&amp;"|"&amp;D483&amp;"|"&amp;G483</f>
        <v>VitLine, Казахстан|Шкала|Оборудование|1</v>
      </c>
      <c t="str" r="R483" s="6">
        <f>A483&amp;"|"&amp;C483&amp;"|"&amp;D483&amp;"|"&amp;J483</f>
        <v>VitLine, Казахстан|Шкала|Оборудование|2</v>
      </c>
      <c t="str" r="S483" s="6">
        <f>A483&amp;"|"&amp;C483&amp;"|"&amp;D483&amp;"|"&amp;G483&amp;"|"&amp;J483</f>
        <v>VitLine, Казахстан|Шкала|Оборудование|1|2</v>
      </c>
      <c t="str" r="T483" s="6">
        <f>A483&amp;"|"&amp;C483&amp;"|"&amp;G483</f>
        <v>VitLine, Казахстан|Шкала|1</v>
      </c>
      <c t="str" r="U483" s="6">
        <f>IF(H483="да",A483&amp;"|"&amp;C483&amp;"|"&amp;D483&amp;"|"&amp;J483,"")</f>
        <v/>
      </c>
      <c t="str" r="V483" s="6">
        <f>IF(C483="План",A483&amp;"|"&amp;J483,"")</f>
        <v/>
      </c>
    </row>
    <row r="484">
      <c r="A484" s="3" t="inlineStr">
        <is>
          <t>VitLine, Казахстан</t>
        </is>
      </c>
      <c r="B484" s="3" t="inlineStr">
        <is>
          <t>Заруб</t>
        </is>
      </c>
      <c r="C484" s="3" t="inlineStr">
        <is>
          <t>Шкала</t>
        </is>
      </c>
      <c r="D484" s="3" t="inlineStr">
        <is>
          <t>Оборудование</t>
        </is>
      </c>
      <c r="E484" s="3" t="inlineStr">
        <is>
          <t>Оборудование — за полугодие</t>
        </is>
      </c>
      <c r="F484" s="3" t="inlineStr">
        <is>
          <t>Базовое вознаграждение за Дилерский договор</t>
        </is>
      </c>
      <c r="G484" s="4" t="n">
        <v>1</v>
      </c>
      <c r="H484" s="4" t="n"/>
      <c r="I484" s="3" t="inlineStr">
        <is>
          <t>115-149</t>
        </is>
      </c>
      <c r="J484" s="4" t="n">
        <v>3</v>
      </c>
      <c r="K484" s="4" t="n"/>
      <c r="L484" s="4" t="n"/>
      <c r="M484" s="8" t="n">
        <v>0.06</v>
      </c>
      <c r="N484" s="4" t="inlineStr">
        <is>
          <t>%</t>
        </is>
      </c>
      <c r="O484" s="3" t="inlineStr">
        <is>
          <t>VitLine</t>
        </is>
      </c>
      <c r="P484" s="3" t="inlineStr">
        <is>
          <t>G14</t>
        </is>
      </c>
      <c t="str" r="Q484" s="6">
        <f>A484&amp;"|"&amp;C484&amp;"|"&amp;D484&amp;"|"&amp;G484</f>
        <v>VitLine, Казахстан|Шкала|Оборудование|1</v>
      </c>
      <c t="str" r="R484" s="6">
        <f>A484&amp;"|"&amp;C484&amp;"|"&amp;D484&amp;"|"&amp;J484</f>
        <v>VitLine, Казахстан|Шкала|Оборудование|3</v>
      </c>
      <c t="str" r="S484" s="6">
        <f>A484&amp;"|"&amp;C484&amp;"|"&amp;D484&amp;"|"&amp;G484&amp;"|"&amp;J484</f>
        <v>VitLine, Казахстан|Шкала|Оборудование|1|3</v>
      </c>
      <c t="str" r="T484" s="6">
        <f>A484&amp;"|"&amp;C484&amp;"|"&amp;G484</f>
        <v>VitLine, Казахстан|Шкала|1</v>
      </c>
      <c t="str" r="U484" s="6">
        <f>IF(H484="да",A484&amp;"|"&amp;C484&amp;"|"&amp;D484&amp;"|"&amp;J484,"")</f>
        <v/>
      </c>
      <c t="str" r="V484" s="6">
        <f>IF(C484="План",A484&amp;"|"&amp;J484,"")</f>
        <v/>
      </c>
    </row>
    <row r="485">
      <c r="A485" s="3" t="inlineStr">
        <is>
          <t>VitLine, Казахстан</t>
        </is>
      </c>
      <c r="B485" s="3" t="inlineStr">
        <is>
          <t>Заруб</t>
        </is>
      </c>
      <c r="C485" s="3" t="inlineStr">
        <is>
          <t>Шкала</t>
        </is>
      </c>
      <c r="D485" s="3" t="inlineStr">
        <is>
          <t>Оборудование</t>
        </is>
      </c>
      <c r="E485" s="3" t="inlineStr">
        <is>
          <t>Оборудование — за полугодие</t>
        </is>
      </c>
      <c r="F485" s="3" t="inlineStr">
        <is>
          <t>Базовое вознаграждение за Дилерский договор</t>
        </is>
      </c>
      <c r="G485" s="4" t="n">
        <v>1</v>
      </c>
      <c r="H485" s="4" t="n"/>
      <c r="I485" s="3" t="inlineStr">
        <is>
          <t>150-189</t>
        </is>
      </c>
      <c r="J485" s="4" t="n">
        <v>4</v>
      </c>
      <c r="K485" s="4" t="n"/>
      <c r="L485" s="4" t="n"/>
      <c r="M485" s="8" t="n">
        <v>0.06</v>
      </c>
      <c r="N485" s="4" t="inlineStr">
        <is>
          <t>%</t>
        </is>
      </c>
      <c r="O485" s="3" t="inlineStr">
        <is>
          <t>VitLine</t>
        </is>
      </c>
      <c r="P485" s="3" t="inlineStr">
        <is>
          <t>H14</t>
        </is>
      </c>
      <c t="str" r="Q485" s="6">
        <f>A485&amp;"|"&amp;C485&amp;"|"&amp;D485&amp;"|"&amp;G485</f>
        <v>VitLine, Казахстан|Шкала|Оборудование|1</v>
      </c>
      <c t="str" r="R485" s="6">
        <f>A485&amp;"|"&amp;C485&amp;"|"&amp;D485&amp;"|"&amp;J485</f>
        <v>VitLine, Казахстан|Шкала|Оборудование|4</v>
      </c>
      <c t="str" r="S485" s="6">
        <f>A485&amp;"|"&amp;C485&amp;"|"&amp;D485&amp;"|"&amp;G485&amp;"|"&amp;J485</f>
        <v>VitLine, Казахстан|Шкала|Оборудование|1|4</v>
      </c>
      <c t="str" r="T485" s="6">
        <f>A485&amp;"|"&amp;C485&amp;"|"&amp;G485</f>
        <v>VitLine, Казахстан|Шкала|1</v>
      </c>
      <c t="str" r="U485" s="6">
        <f>IF(H485="да",A485&amp;"|"&amp;C485&amp;"|"&amp;D485&amp;"|"&amp;J485,"")</f>
        <v/>
      </c>
      <c t="str" r="V485" s="6">
        <f>IF(C485="План",A485&amp;"|"&amp;J485,"")</f>
        <v/>
      </c>
    </row>
    <row r="486">
      <c r="A486" s="3" t="inlineStr">
        <is>
          <t>VitLine, Казахстан</t>
        </is>
      </c>
      <c r="B486" s="3" t="inlineStr">
        <is>
          <t>Заруб</t>
        </is>
      </c>
      <c r="C486" s="3" t="inlineStr">
        <is>
          <t>Шкала</t>
        </is>
      </c>
      <c r="D486" s="3" t="inlineStr">
        <is>
          <t>Оборудование</t>
        </is>
      </c>
      <c r="E486" s="3" t="inlineStr">
        <is>
          <t>Оборудование — за полугодие</t>
        </is>
      </c>
      <c r="F486" s="3" t="inlineStr">
        <is>
          <t>Базовое вознаграждение за Дилерский договор</t>
        </is>
      </c>
      <c r="G486" s="4" t="n">
        <v>1</v>
      </c>
      <c r="H486" s="4" t="n"/>
      <c r="I486" s="3" t="inlineStr">
        <is>
          <t>190-224</t>
        </is>
      </c>
      <c r="J486" s="4" t="n">
        <v>5</v>
      </c>
      <c r="K486" s="4" t="n"/>
      <c r="L486" s="4" t="n"/>
      <c r="M486" s="8" t="n">
        <v>0.06</v>
      </c>
      <c r="N486" s="4" t="inlineStr">
        <is>
          <t>%</t>
        </is>
      </c>
      <c r="O486" s="3" t="inlineStr">
        <is>
          <t>VitLine</t>
        </is>
      </c>
      <c r="P486" s="3" t="inlineStr">
        <is>
          <t>I14</t>
        </is>
      </c>
      <c t="str" r="Q486" s="6">
        <f>A486&amp;"|"&amp;C486&amp;"|"&amp;D486&amp;"|"&amp;G486</f>
        <v>VitLine, Казахстан|Шкала|Оборудование|1</v>
      </c>
      <c t="str" r="R486" s="6">
        <f>A486&amp;"|"&amp;C486&amp;"|"&amp;D486&amp;"|"&amp;J486</f>
        <v>VitLine, Казахстан|Шкала|Оборудование|5</v>
      </c>
      <c t="str" r="S486" s="6">
        <f>A486&amp;"|"&amp;C486&amp;"|"&amp;D486&amp;"|"&amp;G486&amp;"|"&amp;J486</f>
        <v>VitLine, Казахстан|Шкала|Оборудование|1|5</v>
      </c>
      <c t="str" r="T486" s="6">
        <f>A486&amp;"|"&amp;C486&amp;"|"&amp;G486</f>
        <v>VitLine, Казахстан|Шкала|1</v>
      </c>
      <c t="str" r="U486" s="6">
        <f>IF(H486="да",A486&amp;"|"&amp;C486&amp;"|"&amp;D486&amp;"|"&amp;J486,"")</f>
        <v/>
      </c>
      <c t="str" r="V486" s="6">
        <f>IF(C486="План",A486&amp;"|"&amp;J486,"")</f>
        <v/>
      </c>
    </row>
    <row r="487">
      <c r="A487" s="3" t="inlineStr">
        <is>
          <t>VitLine, Казахстан</t>
        </is>
      </c>
      <c r="B487" s="3" t="inlineStr">
        <is>
          <t>Заруб</t>
        </is>
      </c>
      <c r="C487" s="3" t="inlineStr">
        <is>
          <t>Шкала</t>
        </is>
      </c>
      <c r="D487" s="3" t="inlineStr">
        <is>
          <t>Оборудование</t>
        </is>
      </c>
      <c r="E487" s="3" t="inlineStr">
        <is>
          <t>Оборудование — за полугодие</t>
        </is>
      </c>
      <c r="F487" s="3" t="inlineStr">
        <is>
          <t>Базовое вознаграждение за Дилерский договор</t>
        </is>
      </c>
      <c r="G487" s="4" t="n">
        <v>1</v>
      </c>
      <c r="H487" s="4" t="n"/>
      <c r="I487" s="3" t="inlineStr">
        <is>
          <t>225 и более</t>
        </is>
      </c>
      <c r="J487" s="4" t="n">
        <v>6</v>
      </c>
      <c r="K487" s="4" t="n"/>
      <c r="L487" s="4" t="n"/>
      <c r="M487" s="8" t="n">
        <v>0.06</v>
      </c>
      <c r="N487" s="4" t="inlineStr">
        <is>
          <t>%</t>
        </is>
      </c>
      <c r="O487" s="3" t="inlineStr">
        <is>
          <t>VitLine</t>
        </is>
      </c>
      <c r="P487" s="3" t="inlineStr">
        <is>
          <t>J14</t>
        </is>
      </c>
      <c t="str" r="Q487" s="6">
        <f>A487&amp;"|"&amp;C487&amp;"|"&amp;D487&amp;"|"&amp;G487</f>
        <v>VitLine, Казахстан|Шкала|Оборудование|1</v>
      </c>
      <c t="str" r="R487" s="6">
        <f>A487&amp;"|"&amp;C487&amp;"|"&amp;D487&amp;"|"&amp;J487</f>
        <v>VitLine, Казахстан|Шкала|Оборудование|6</v>
      </c>
      <c t="str" r="S487" s="6">
        <f>A487&amp;"|"&amp;C487&amp;"|"&amp;D487&amp;"|"&amp;G487&amp;"|"&amp;J487</f>
        <v>VitLine, Казахстан|Шкала|Оборудование|1|6</v>
      </c>
      <c t="str" r="T487" s="6">
        <f>A487&amp;"|"&amp;C487&amp;"|"&amp;G487</f>
        <v>VitLine, Казахстан|Шкала|1</v>
      </c>
      <c t="str" r="U487" s="6">
        <f>IF(H487="да",A487&amp;"|"&amp;C487&amp;"|"&amp;D487&amp;"|"&amp;J487,"")</f>
        <v/>
      </c>
      <c t="str" r="V487" s="6">
        <f>IF(C487="План",A487&amp;"|"&amp;J487,"")</f>
        <v/>
      </c>
    </row>
    <row r="488">
      <c r="A488" s="3" t="inlineStr">
        <is>
          <t>VitLine, Казахстан</t>
        </is>
      </c>
      <c r="B488" s="3" t="inlineStr">
        <is>
          <t>Заруб</t>
        </is>
      </c>
      <c r="C488" s="3" t="inlineStr">
        <is>
          <t>Шкала</t>
        </is>
      </c>
      <c r="D488" s="3" t="inlineStr">
        <is>
          <t>Оборудование</t>
        </is>
      </c>
      <c r="E488" s="3" t="inlineStr">
        <is>
          <t>Оборудование — за полугодие</t>
        </is>
      </c>
      <c r="F488" s="3" t="inlineStr">
        <is>
          <t>Наличие сервисного центра и гарантийное обслуживание</t>
        </is>
      </c>
      <c r="G488" s="4" t="n">
        <v>2</v>
      </c>
      <c r="H488" s="4" t="n"/>
      <c r="I488" s="3" t="inlineStr">
        <is>
          <t>до 75</t>
        </is>
      </c>
      <c r="J488" s="4" t="n">
        <v>1</v>
      </c>
      <c r="K488" s="4" t="n"/>
      <c r="L488" s="4" t="n"/>
      <c r="M488" s="8" t="n">
        <v>0.01</v>
      </c>
      <c r="N488" s="4" t="inlineStr">
        <is>
          <t>%</t>
        </is>
      </c>
      <c r="O488" s="3" t="inlineStr">
        <is>
          <t>VitLine</t>
        </is>
      </c>
      <c r="P488" s="3" t="inlineStr">
        <is>
          <t>E15</t>
        </is>
      </c>
      <c t="str" r="Q488" s="6">
        <f>A488&amp;"|"&amp;C488&amp;"|"&amp;D488&amp;"|"&amp;G488</f>
        <v>VitLine, Казахстан|Шкала|Оборудование|2</v>
      </c>
      <c t="str" r="R488" s="6">
        <f>A488&amp;"|"&amp;C488&amp;"|"&amp;D488&amp;"|"&amp;J488</f>
        <v>VitLine, Казахстан|Шкала|Оборудование|1</v>
      </c>
      <c t="str" r="S488" s="6">
        <f>A488&amp;"|"&amp;C488&amp;"|"&amp;D488&amp;"|"&amp;G488&amp;"|"&amp;J488</f>
        <v>VitLine, Казахстан|Шкала|Оборудование|2|1</v>
      </c>
      <c t="str" r="T488" s="6">
        <f>A488&amp;"|"&amp;C488&amp;"|"&amp;G488</f>
        <v>VitLine, Казахстан|Шкала|2</v>
      </c>
      <c t="str" r="U488" s="6">
        <f>IF(H488="да",A488&amp;"|"&amp;C488&amp;"|"&amp;D488&amp;"|"&amp;J488,"")</f>
        <v/>
      </c>
      <c t="str" r="V488" s="6">
        <f>IF(C488="План",A488&amp;"|"&amp;J488,"")</f>
        <v/>
      </c>
    </row>
    <row r="489">
      <c r="A489" s="3" t="inlineStr">
        <is>
          <t>VitLine, Казахстан</t>
        </is>
      </c>
      <c r="B489" s="3" t="inlineStr">
        <is>
          <t>Заруб</t>
        </is>
      </c>
      <c r="C489" s="3" t="inlineStr">
        <is>
          <t>Шкала</t>
        </is>
      </c>
      <c r="D489" s="3" t="inlineStr">
        <is>
          <t>Оборудование</t>
        </is>
      </c>
      <c r="E489" s="3" t="inlineStr">
        <is>
          <t>Оборудование — за полугодие</t>
        </is>
      </c>
      <c r="F489" s="3" t="inlineStr">
        <is>
          <t>Наличие сервисного центра и гарантийное обслуживание</t>
        </is>
      </c>
      <c r="G489" s="4" t="n">
        <v>2</v>
      </c>
      <c r="H489" s="4" t="n"/>
      <c r="I489" s="3" t="inlineStr">
        <is>
          <t>75-114</t>
        </is>
      </c>
      <c r="J489" s="4" t="n">
        <v>2</v>
      </c>
      <c r="K489" s="4" t="n"/>
      <c r="L489" s="4" t="n"/>
      <c r="M489" s="8" t="n">
        <v>0.01</v>
      </c>
      <c r="N489" s="4" t="inlineStr">
        <is>
          <t>%</t>
        </is>
      </c>
      <c r="O489" s="3" t="inlineStr">
        <is>
          <t>VitLine</t>
        </is>
      </c>
      <c r="P489" s="3" t="inlineStr">
        <is>
          <t>F15</t>
        </is>
      </c>
      <c t="str" r="Q489" s="6">
        <f>A489&amp;"|"&amp;C489&amp;"|"&amp;D489&amp;"|"&amp;G489</f>
        <v>VitLine, Казахстан|Шкала|Оборудование|2</v>
      </c>
      <c t="str" r="R489" s="6">
        <f>A489&amp;"|"&amp;C489&amp;"|"&amp;D489&amp;"|"&amp;J489</f>
        <v>VitLine, Казахстан|Шкала|Оборудование|2</v>
      </c>
      <c t="str" r="S489" s="6">
        <f>A489&amp;"|"&amp;C489&amp;"|"&amp;D489&amp;"|"&amp;G489&amp;"|"&amp;J489</f>
        <v>VitLine, Казахстан|Шкала|Оборудование|2|2</v>
      </c>
      <c t="str" r="T489" s="6">
        <f>A489&amp;"|"&amp;C489&amp;"|"&amp;G489</f>
        <v>VitLine, Казахстан|Шкала|2</v>
      </c>
      <c t="str" r="U489" s="6">
        <f>IF(H489="да",A489&amp;"|"&amp;C489&amp;"|"&amp;D489&amp;"|"&amp;J489,"")</f>
        <v/>
      </c>
      <c t="str" r="V489" s="6">
        <f>IF(C489="План",A489&amp;"|"&amp;J489,"")</f>
        <v/>
      </c>
    </row>
    <row r="490">
      <c r="A490" s="3" t="inlineStr">
        <is>
          <t>VitLine, Казахстан</t>
        </is>
      </c>
      <c r="B490" s="3" t="inlineStr">
        <is>
          <t>Заруб</t>
        </is>
      </c>
      <c r="C490" s="3" t="inlineStr">
        <is>
          <t>Шкала</t>
        </is>
      </c>
      <c r="D490" s="3" t="inlineStr">
        <is>
          <t>Оборудование</t>
        </is>
      </c>
      <c r="E490" s="3" t="inlineStr">
        <is>
          <t>Оборудование — за полугодие</t>
        </is>
      </c>
      <c r="F490" s="3" t="inlineStr">
        <is>
          <t>Наличие сервисного центра и гарантийное обслуживание</t>
        </is>
      </c>
      <c r="G490" s="4" t="n">
        <v>2</v>
      </c>
      <c r="H490" s="4" t="n"/>
      <c r="I490" s="3" t="inlineStr">
        <is>
          <t>115-149</t>
        </is>
      </c>
      <c r="J490" s="4" t="n">
        <v>3</v>
      </c>
      <c r="K490" s="4" t="n"/>
      <c r="L490" s="4" t="n"/>
      <c r="M490" s="8" t="n">
        <v>0.01</v>
      </c>
      <c r="N490" s="4" t="inlineStr">
        <is>
          <t>%</t>
        </is>
      </c>
      <c r="O490" s="3" t="inlineStr">
        <is>
          <t>VitLine</t>
        </is>
      </c>
      <c r="P490" s="3" t="inlineStr">
        <is>
          <t>G15</t>
        </is>
      </c>
      <c t="str" r="Q490" s="6">
        <f>A490&amp;"|"&amp;C490&amp;"|"&amp;D490&amp;"|"&amp;G490</f>
        <v>VitLine, Казахстан|Шкала|Оборудование|2</v>
      </c>
      <c t="str" r="R490" s="6">
        <f>A490&amp;"|"&amp;C490&amp;"|"&amp;D490&amp;"|"&amp;J490</f>
        <v>VitLine, Казахстан|Шкала|Оборудование|3</v>
      </c>
      <c t="str" r="S490" s="6">
        <f>A490&amp;"|"&amp;C490&amp;"|"&amp;D490&amp;"|"&amp;G490&amp;"|"&amp;J490</f>
        <v>VitLine, Казахстан|Шкала|Оборудование|2|3</v>
      </c>
      <c t="str" r="T490" s="6">
        <f>A490&amp;"|"&amp;C490&amp;"|"&amp;G490</f>
        <v>VitLine, Казахстан|Шкала|2</v>
      </c>
      <c t="str" r="U490" s="6">
        <f>IF(H490="да",A490&amp;"|"&amp;C490&amp;"|"&amp;D490&amp;"|"&amp;J490,"")</f>
        <v/>
      </c>
      <c t="str" r="V490" s="6">
        <f>IF(C490="План",A490&amp;"|"&amp;J490,"")</f>
        <v/>
      </c>
    </row>
    <row r="491">
      <c r="A491" s="3" t="inlineStr">
        <is>
          <t>VitLine, Казахстан</t>
        </is>
      </c>
      <c r="B491" s="3" t="inlineStr">
        <is>
          <t>Заруб</t>
        </is>
      </c>
      <c r="C491" s="3" t="inlineStr">
        <is>
          <t>Шкала</t>
        </is>
      </c>
      <c r="D491" s="3" t="inlineStr">
        <is>
          <t>Оборудование</t>
        </is>
      </c>
      <c r="E491" s="3" t="inlineStr">
        <is>
          <t>Оборудование — за полугодие</t>
        </is>
      </c>
      <c r="F491" s="3" t="inlineStr">
        <is>
          <t>Наличие сервисного центра и гарантийное обслуживание</t>
        </is>
      </c>
      <c r="G491" s="4" t="n">
        <v>2</v>
      </c>
      <c r="H491" s="4" t="n"/>
      <c r="I491" s="3" t="inlineStr">
        <is>
          <t>150-189</t>
        </is>
      </c>
      <c r="J491" s="4" t="n">
        <v>4</v>
      </c>
      <c r="K491" s="4" t="n"/>
      <c r="L491" s="4" t="n"/>
      <c r="M491" s="8" t="n">
        <v>0.01</v>
      </c>
      <c r="N491" s="4" t="inlineStr">
        <is>
          <t>%</t>
        </is>
      </c>
      <c r="O491" s="3" t="inlineStr">
        <is>
          <t>VitLine</t>
        </is>
      </c>
      <c r="P491" s="3" t="inlineStr">
        <is>
          <t>H15</t>
        </is>
      </c>
      <c t="str" r="Q491" s="6">
        <f>A491&amp;"|"&amp;C491&amp;"|"&amp;D491&amp;"|"&amp;G491</f>
        <v>VitLine, Казахстан|Шкала|Оборудование|2</v>
      </c>
      <c t="str" r="R491" s="6">
        <f>A491&amp;"|"&amp;C491&amp;"|"&amp;D491&amp;"|"&amp;J491</f>
        <v>VitLine, Казахстан|Шкала|Оборудование|4</v>
      </c>
      <c t="str" r="S491" s="6">
        <f>A491&amp;"|"&amp;C491&amp;"|"&amp;D491&amp;"|"&amp;G491&amp;"|"&amp;J491</f>
        <v>VitLine, Казахстан|Шкала|Оборудование|2|4</v>
      </c>
      <c t="str" r="T491" s="6">
        <f>A491&amp;"|"&amp;C491&amp;"|"&amp;G491</f>
        <v>VitLine, Казахстан|Шкала|2</v>
      </c>
      <c t="str" r="U491" s="6">
        <f>IF(H491="да",A491&amp;"|"&amp;C491&amp;"|"&amp;D491&amp;"|"&amp;J491,"")</f>
        <v/>
      </c>
      <c t="str" r="V491" s="6">
        <f>IF(C491="План",A491&amp;"|"&amp;J491,"")</f>
        <v/>
      </c>
    </row>
    <row r="492">
      <c r="A492" s="3" t="inlineStr">
        <is>
          <t>VitLine, Казахстан</t>
        </is>
      </c>
      <c r="B492" s="3" t="inlineStr">
        <is>
          <t>Заруб</t>
        </is>
      </c>
      <c r="C492" s="3" t="inlineStr">
        <is>
          <t>Шкала</t>
        </is>
      </c>
      <c r="D492" s="3" t="inlineStr">
        <is>
          <t>Оборудование</t>
        </is>
      </c>
      <c r="E492" s="3" t="inlineStr">
        <is>
          <t>Оборудование — за полугодие</t>
        </is>
      </c>
      <c r="F492" s="3" t="inlineStr">
        <is>
          <t>Наличие сервисного центра и гарантийное обслуживание</t>
        </is>
      </c>
      <c r="G492" s="4" t="n">
        <v>2</v>
      </c>
      <c r="H492" s="4" t="n"/>
      <c r="I492" s="3" t="inlineStr">
        <is>
          <t>190-224</t>
        </is>
      </c>
      <c r="J492" s="4" t="n">
        <v>5</v>
      </c>
      <c r="K492" s="4" t="n"/>
      <c r="L492" s="4" t="n"/>
      <c r="M492" s="8" t="n">
        <v>0.01</v>
      </c>
      <c r="N492" s="4" t="inlineStr">
        <is>
          <t>%</t>
        </is>
      </c>
      <c r="O492" s="3" t="inlineStr">
        <is>
          <t>VitLine</t>
        </is>
      </c>
      <c r="P492" s="3" t="inlineStr">
        <is>
          <t>I15</t>
        </is>
      </c>
      <c t="str" r="Q492" s="6">
        <f>A492&amp;"|"&amp;C492&amp;"|"&amp;D492&amp;"|"&amp;G492</f>
        <v>VitLine, Казахстан|Шкала|Оборудование|2</v>
      </c>
      <c t="str" r="R492" s="6">
        <f>A492&amp;"|"&amp;C492&amp;"|"&amp;D492&amp;"|"&amp;J492</f>
        <v>VitLine, Казахстан|Шкала|Оборудование|5</v>
      </c>
      <c t="str" r="S492" s="6">
        <f>A492&amp;"|"&amp;C492&amp;"|"&amp;D492&amp;"|"&amp;G492&amp;"|"&amp;J492</f>
        <v>VitLine, Казахстан|Шкала|Оборудование|2|5</v>
      </c>
      <c t="str" r="T492" s="6">
        <f>A492&amp;"|"&amp;C492&amp;"|"&amp;G492</f>
        <v>VitLine, Казахстан|Шкала|2</v>
      </c>
      <c t="str" r="U492" s="6">
        <f>IF(H492="да",A492&amp;"|"&amp;C492&amp;"|"&amp;D492&amp;"|"&amp;J492,"")</f>
        <v/>
      </c>
      <c t="str" r="V492" s="6">
        <f>IF(C492="План",A492&amp;"|"&amp;J492,"")</f>
        <v/>
      </c>
    </row>
    <row r="493">
      <c r="A493" s="3" t="inlineStr">
        <is>
          <t>VitLine, Казахстан</t>
        </is>
      </c>
      <c r="B493" s="3" t="inlineStr">
        <is>
          <t>Заруб</t>
        </is>
      </c>
      <c r="C493" s="3" t="inlineStr">
        <is>
          <t>Шкала</t>
        </is>
      </c>
      <c r="D493" s="3" t="inlineStr">
        <is>
          <t>Оборудование</t>
        </is>
      </c>
      <c r="E493" s="3" t="inlineStr">
        <is>
          <t>Оборудование — за полугодие</t>
        </is>
      </c>
      <c r="F493" s="3" t="inlineStr">
        <is>
          <t>Наличие сервисного центра и гарантийное обслуживание</t>
        </is>
      </c>
      <c r="G493" s="4" t="n">
        <v>2</v>
      </c>
      <c r="H493" s="4" t="n"/>
      <c r="I493" s="3" t="inlineStr">
        <is>
          <t>225 и более</t>
        </is>
      </c>
      <c r="J493" s="4" t="n">
        <v>6</v>
      </c>
      <c r="K493" s="4" t="n"/>
      <c r="L493" s="4" t="n"/>
      <c r="M493" s="8" t="n">
        <v>0.01</v>
      </c>
      <c r="N493" s="4" t="inlineStr">
        <is>
          <t>%</t>
        </is>
      </c>
      <c r="O493" s="3" t="inlineStr">
        <is>
          <t>VitLine</t>
        </is>
      </c>
      <c r="P493" s="3" t="inlineStr">
        <is>
          <t>J15</t>
        </is>
      </c>
      <c t="str" r="Q493" s="6">
        <f>A493&amp;"|"&amp;C493&amp;"|"&amp;D493&amp;"|"&amp;G493</f>
        <v>VitLine, Казахстан|Шкала|Оборудование|2</v>
      </c>
      <c t="str" r="R493" s="6">
        <f>A493&amp;"|"&amp;C493&amp;"|"&amp;D493&amp;"|"&amp;J493</f>
        <v>VitLine, Казахстан|Шкала|Оборудование|6</v>
      </c>
      <c t="str" r="S493" s="6">
        <f>A493&amp;"|"&amp;C493&amp;"|"&amp;D493&amp;"|"&amp;G493&amp;"|"&amp;J493</f>
        <v>VitLine, Казахстан|Шкала|Оборудование|2|6</v>
      </c>
      <c t="str" r="T493" s="6">
        <f>A493&amp;"|"&amp;C493&amp;"|"&amp;G493</f>
        <v>VitLine, Казахстан|Шкала|2</v>
      </c>
      <c t="str" r="U493" s="6">
        <f>IF(H493="да",A493&amp;"|"&amp;C493&amp;"|"&amp;D493&amp;"|"&amp;J493,"")</f>
        <v/>
      </c>
      <c t="str" r="V493" s="6">
        <f>IF(C493="План",A493&amp;"|"&amp;J493,"")</f>
        <v/>
      </c>
    </row>
    <row r="494">
      <c r="A494" s="3" t="inlineStr">
        <is>
          <t>VitLine, Казахстан</t>
        </is>
      </c>
      <c r="B494" s="3" t="inlineStr">
        <is>
          <t>Заруб</t>
        </is>
      </c>
      <c r="C494" s="3" t="inlineStr">
        <is>
          <t>Шкала</t>
        </is>
      </c>
      <c r="D494" s="3" t="inlineStr">
        <is>
          <t>Оборудование</t>
        </is>
      </c>
      <c r="E494" s="3" t="inlineStr">
        <is>
          <t>Оборудование — за полугодие</t>
        </is>
      </c>
      <c r="F494" s="3" t="inlineStr">
        <is>
          <t>Объем закупок МП</t>
        </is>
      </c>
      <c r="G494" s="4" t="n">
        <v>3</v>
      </c>
      <c r="H494" s="4" t="n"/>
      <c r="I494" s="3" t="inlineStr">
        <is>
          <t>до 75</t>
        </is>
      </c>
      <c r="J494" s="4" t="n">
        <v>1</v>
      </c>
      <c r="K494" s="4" t="n"/>
      <c r="L494" s="4" t="n"/>
      <c r="M494" s="8" t="n">
        <v>0.07000000000000001</v>
      </c>
      <c r="N494" s="4" t="inlineStr">
        <is>
          <t>%</t>
        </is>
      </c>
      <c r="O494" s="3" t="inlineStr">
        <is>
          <t>VitLine</t>
        </is>
      </c>
      <c r="P494" s="3" t="inlineStr">
        <is>
          <t>E16</t>
        </is>
      </c>
      <c t="str" r="Q494" s="6">
        <f>A494&amp;"|"&amp;C494&amp;"|"&amp;D494&amp;"|"&amp;G494</f>
        <v>VitLine, Казахстан|Шкала|Оборудование|3</v>
      </c>
      <c t="str" r="R494" s="6">
        <f>A494&amp;"|"&amp;C494&amp;"|"&amp;D494&amp;"|"&amp;J494</f>
        <v>VitLine, Казахстан|Шкала|Оборудование|1</v>
      </c>
      <c t="str" r="S494" s="6">
        <f>A494&amp;"|"&amp;C494&amp;"|"&amp;D494&amp;"|"&amp;G494&amp;"|"&amp;J494</f>
        <v>VitLine, Казахстан|Шкала|Оборудование|3|1</v>
      </c>
      <c t="str" r="T494" s="6">
        <f>A494&amp;"|"&amp;C494&amp;"|"&amp;G494</f>
        <v>VitLine, Казахстан|Шкала|3</v>
      </c>
      <c t="str" r="U494" s="6">
        <f>IF(H494="да",A494&amp;"|"&amp;C494&amp;"|"&amp;D494&amp;"|"&amp;J494,"")</f>
        <v/>
      </c>
      <c t="str" r="V494" s="6">
        <f>IF(C494="План",A494&amp;"|"&amp;J494,"")</f>
        <v/>
      </c>
    </row>
    <row r="495">
      <c r="A495" s="3" t="inlineStr">
        <is>
          <t>VitLine, Казахстан</t>
        </is>
      </c>
      <c r="B495" s="3" t="inlineStr">
        <is>
          <t>Заруб</t>
        </is>
      </c>
      <c r="C495" s="3" t="inlineStr">
        <is>
          <t>Шкала</t>
        </is>
      </c>
      <c r="D495" s="3" t="inlineStr">
        <is>
          <t>Оборудование</t>
        </is>
      </c>
      <c r="E495" s="3" t="inlineStr">
        <is>
          <t>Оборудование — за полугодие</t>
        </is>
      </c>
      <c r="F495" s="3" t="inlineStr">
        <is>
          <t>Объем закупок МП</t>
        </is>
      </c>
      <c r="G495" s="4" t="n">
        <v>3</v>
      </c>
      <c r="H495" s="4" t="n"/>
      <c r="I495" s="3" t="inlineStr">
        <is>
          <t>75-114</t>
        </is>
      </c>
      <c r="J495" s="4" t="n">
        <v>2</v>
      </c>
      <c r="K495" s="4" t="n"/>
      <c r="L495" s="4" t="n"/>
      <c r="M495" s="8" t="n">
        <v>0.09</v>
      </c>
      <c r="N495" s="4" t="inlineStr">
        <is>
          <t>%</t>
        </is>
      </c>
      <c r="O495" s="3" t="inlineStr">
        <is>
          <t>VitLine</t>
        </is>
      </c>
      <c r="P495" s="3" t="inlineStr">
        <is>
          <t>F16</t>
        </is>
      </c>
      <c t="str" r="Q495" s="6">
        <f>A495&amp;"|"&amp;C495&amp;"|"&amp;D495&amp;"|"&amp;G495</f>
        <v>VitLine, Казахстан|Шкала|Оборудование|3</v>
      </c>
      <c t="str" r="R495" s="6">
        <f>A495&amp;"|"&amp;C495&amp;"|"&amp;D495&amp;"|"&amp;J495</f>
        <v>VitLine, Казахстан|Шкала|Оборудование|2</v>
      </c>
      <c t="str" r="S495" s="6">
        <f>A495&amp;"|"&amp;C495&amp;"|"&amp;D495&amp;"|"&amp;G495&amp;"|"&amp;J495</f>
        <v>VitLine, Казахстан|Шкала|Оборудование|3|2</v>
      </c>
      <c t="str" r="T495" s="6">
        <f>A495&amp;"|"&amp;C495&amp;"|"&amp;G495</f>
        <v>VitLine, Казахстан|Шкала|3</v>
      </c>
      <c t="str" r="U495" s="6">
        <f>IF(H495="да",A495&amp;"|"&amp;C495&amp;"|"&amp;D495&amp;"|"&amp;J495,"")</f>
        <v/>
      </c>
      <c t="str" r="V495" s="6">
        <f>IF(C495="План",A495&amp;"|"&amp;J495,"")</f>
        <v/>
      </c>
    </row>
    <row r="496">
      <c r="A496" s="3" t="inlineStr">
        <is>
          <t>VitLine, Казахстан</t>
        </is>
      </c>
      <c r="B496" s="3" t="inlineStr">
        <is>
          <t>Заруб</t>
        </is>
      </c>
      <c r="C496" s="3" t="inlineStr">
        <is>
          <t>Шкала</t>
        </is>
      </c>
      <c r="D496" s="3" t="inlineStr">
        <is>
          <t>Оборудование</t>
        </is>
      </c>
      <c r="E496" s="3" t="inlineStr">
        <is>
          <t>Оборудование — за полугодие</t>
        </is>
      </c>
      <c r="F496" s="3" t="inlineStr">
        <is>
          <t>Объем закупок МП</t>
        </is>
      </c>
      <c r="G496" s="4" t="n">
        <v>3</v>
      </c>
      <c r="H496" s="4" t="n"/>
      <c r="I496" s="3" t="inlineStr">
        <is>
          <t>115-149</t>
        </is>
      </c>
      <c r="J496" s="4" t="n">
        <v>3</v>
      </c>
      <c r="K496" s="4" t="n"/>
      <c r="L496" s="4" t="n"/>
      <c r="M496" s="8" t="n">
        <v>0.1</v>
      </c>
      <c r="N496" s="4" t="inlineStr">
        <is>
          <t>%</t>
        </is>
      </c>
      <c r="O496" s="3" t="inlineStr">
        <is>
          <t>VitLine</t>
        </is>
      </c>
      <c r="P496" s="3" t="inlineStr">
        <is>
          <t>G16</t>
        </is>
      </c>
      <c t="str" r="Q496" s="6">
        <f>A496&amp;"|"&amp;C496&amp;"|"&amp;D496&amp;"|"&amp;G496</f>
        <v>VitLine, Казахстан|Шкала|Оборудование|3</v>
      </c>
      <c t="str" r="R496" s="6">
        <f>A496&amp;"|"&amp;C496&amp;"|"&amp;D496&amp;"|"&amp;J496</f>
        <v>VitLine, Казахстан|Шкала|Оборудование|3</v>
      </c>
      <c t="str" r="S496" s="6">
        <f>A496&amp;"|"&amp;C496&amp;"|"&amp;D496&amp;"|"&amp;G496&amp;"|"&amp;J496</f>
        <v>VitLine, Казахстан|Шкала|Оборудование|3|3</v>
      </c>
      <c t="str" r="T496" s="6">
        <f>A496&amp;"|"&amp;C496&amp;"|"&amp;G496</f>
        <v>VitLine, Казахстан|Шкала|3</v>
      </c>
      <c t="str" r="U496" s="6">
        <f>IF(H496="да",A496&amp;"|"&amp;C496&amp;"|"&amp;D496&amp;"|"&amp;J496,"")</f>
        <v/>
      </c>
      <c t="str" r="V496" s="6">
        <f>IF(C496="План",A496&amp;"|"&amp;J496,"")</f>
        <v/>
      </c>
    </row>
    <row r="497">
      <c r="A497" s="3" t="inlineStr">
        <is>
          <t>VitLine, Казахстан</t>
        </is>
      </c>
      <c r="B497" s="3" t="inlineStr">
        <is>
          <t>Заруб</t>
        </is>
      </c>
      <c r="C497" s="3" t="inlineStr">
        <is>
          <t>Шкала</t>
        </is>
      </c>
      <c r="D497" s="3" t="inlineStr">
        <is>
          <t>Оборудование</t>
        </is>
      </c>
      <c r="E497" s="3" t="inlineStr">
        <is>
          <t>Оборудование — за полугодие</t>
        </is>
      </c>
      <c r="F497" s="3" t="inlineStr">
        <is>
          <t>Объем закупок МП</t>
        </is>
      </c>
      <c r="G497" s="4" t="n">
        <v>3</v>
      </c>
      <c r="H497" s="4" t="n"/>
      <c r="I497" s="3" t="inlineStr">
        <is>
          <t>150-189</t>
        </is>
      </c>
      <c r="J497" s="4" t="n">
        <v>4</v>
      </c>
      <c r="K497" s="4" t="n"/>
      <c r="L497" s="4" t="n"/>
      <c r="M497" s="8" t="n">
        <v>0.11</v>
      </c>
      <c r="N497" s="4" t="inlineStr">
        <is>
          <t>%</t>
        </is>
      </c>
      <c r="O497" s="3" t="inlineStr">
        <is>
          <t>VitLine</t>
        </is>
      </c>
      <c r="P497" s="3" t="inlineStr">
        <is>
          <t>H16</t>
        </is>
      </c>
      <c t="str" r="Q497" s="6">
        <f>A497&amp;"|"&amp;C497&amp;"|"&amp;D497&amp;"|"&amp;G497</f>
        <v>VitLine, Казахстан|Шкала|Оборудование|3</v>
      </c>
      <c t="str" r="R497" s="6">
        <f>A497&amp;"|"&amp;C497&amp;"|"&amp;D497&amp;"|"&amp;J497</f>
        <v>VitLine, Казахстан|Шкала|Оборудование|4</v>
      </c>
      <c t="str" r="S497" s="6">
        <f>A497&amp;"|"&amp;C497&amp;"|"&amp;D497&amp;"|"&amp;G497&amp;"|"&amp;J497</f>
        <v>VitLine, Казахстан|Шкала|Оборудование|3|4</v>
      </c>
      <c t="str" r="T497" s="6">
        <f>A497&amp;"|"&amp;C497&amp;"|"&amp;G497</f>
        <v>VitLine, Казахстан|Шкала|3</v>
      </c>
      <c t="str" r="U497" s="6">
        <f>IF(H497="да",A497&amp;"|"&amp;C497&amp;"|"&amp;D497&amp;"|"&amp;J497,"")</f>
        <v/>
      </c>
      <c t="str" r="V497" s="6">
        <f>IF(C497="План",A497&amp;"|"&amp;J497,"")</f>
        <v/>
      </c>
    </row>
    <row r="498">
      <c r="A498" s="3" t="inlineStr">
        <is>
          <t>VitLine, Казахстан</t>
        </is>
      </c>
      <c r="B498" s="3" t="inlineStr">
        <is>
          <t>Заруб</t>
        </is>
      </c>
      <c r="C498" s="3" t="inlineStr">
        <is>
          <t>Шкала</t>
        </is>
      </c>
      <c r="D498" s="3" t="inlineStr">
        <is>
          <t>Оборудование</t>
        </is>
      </c>
      <c r="E498" s="3" t="inlineStr">
        <is>
          <t>Оборудование — за полугодие</t>
        </is>
      </c>
      <c r="F498" s="3" t="inlineStr">
        <is>
          <t>Объем закупок МП</t>
        </is>
      </c>
      <c r="G498" s="4" t="n">
        <v>3</v>
      </c>
      <c r="H498" s="4" t="n"/>
      <c r="I498" s="3" t="inlineStr">
        <is>
          <t>190-224</t>
        </is>
      </c>
      <c r="J498" s="4" t="n">
        <v>5</v>
      </c>
      <c r="K498" s="4" t="n"/>
      <c r="L498" s="4" t="n"/>
      <c r="M498" s="8" t="n">
        <v>0.12</v>
      </c>
      <c r="N498" s="4" t="inlineStr">
        <is>
          <t>%</t>
        </is>
      </c>
      <c r="O498" s="3" t="inlineStr">
        <is>
          <t>VitLine</t>
        </is>
      </c>
      <c r="P498" s="3" t="inlineStr">
        <is>
          <t>I16</t>
        </is>
      </c>
      <c t="str" r="Q498" s="6">
        <f>A498&amp;"|"&amp;C498&amp;"|"&amp;D498&amp;"|"&amp;G498</f>
        <v>VitLine, Казахстан|Шкала|Оборудование|3</v>
      </c>
      <c t="str" r="R498" s="6">
        <f>A498&amp;"|"&amp;C498&amp;"|"&amp;D498&amp;"|"&amp;J498</f>
        <v>VitLine, Казахстан|Шкала|Оборудование|5</v>
      </c>
      <c t="str" r="S498" s="6">
        <f>A498&amp;"|"&amp;C498&amp;"|"&amp;D498&amp;"|"&amp;G498&amp;"|"&amp;J498</f>
        <v>VitLine, Казахстан|Шкала|Оборудование|3|5</v>
      </c>
      <c t="str" r="T498" s="6">
        <f>A498&amp;"|"&amp;C498&amp;"|"&amp;G498</f>
        <v>VitLine, Казахстан|Шкала|3</v>
      </c>
      <c t="str" r="U498" s="6">
        <f>IF(H498="да",A498&amp;"|"&amp;C498&amp;"|"&amp;D498&amp;"|"&amp;J498,"")</f>
        <v/>
      </c>
      <c t="str" r="V498" s="6">
        <f>IF(C498="План",A498&amp;"|"&amp;J498,"")</f>
        <v/>
      </c>
    </row>
    <row r="499">
      <c r="A499" s="3" t="inlineStr">
        <is>
          <t>VitLine, Казахстан</t>
        </is>
      </c>
      <c r="B499" s="3" t="inlineStr">
        <is>
          <t>Заруб</t>
        </is>
      </c>
      <c r="C499" s="3" t="inlineStr">
        <is>
          <t>Шкала</t>
        </is>
      </c>
      <c r="D499" s="3" t="inlineStr">
        <is>
          <t>Оборудование</t>
        </is>
      </c>
      <c r="E499" s="3" t="inlineStr">
        <is>
          <t>Оборудование — за полугодие</t>
        </is>
      </c>
      <c r="F499" s="3" t="inlineStr">
        <is>
          <t>Объем закупок МП</t>
        </is>
      </c>
      <c r="G499" s="4" t="n">
        <v>3</v>
      </c>
      <c r="H499" s="4" t="n"/>
      <c r="I499" s="3" t="inlineStr">
        <is>
          <t>225 и более</t>
        </is>
      </c>
      <c r="J499" s="4" t="n">
        <v>6</v>
      </c>
      <c r="K499" s="4" t="n"/>
      <c r="L499" s="4" t="n"/>
      <c r="M499" s="8" t="n">
        <v>0.13</v>
      </c>
      <c r="N499" s="4" t="inlineStr">
        <is>
          <t>%</t>
        </is>
      </c>
      <c r="O499" s="3" t="inlineStr">
        <is>
          <t>VitLine</t>
        </is>
      </c>
      <c r="P499" s="3" t="inlineStr">
        <is>
          <t>J16</t>
        </is>
      </c>
      <c t="str" r="Q499" s="6">
        <f>A499&amp;"|"&amp;C499&amp;"|"&amp;D499&amp;"|"&amp;G499</f>
        <v>VitLine, Казахстан|Шкала|Оборудование|3</v>
      </c>
      <c t="str" r="R499" s="6">
        <f>A499&amp;"|"&amp;C499&amp;"|"&amp;D499&amp;"|"&amp;J499</f>
        <v>VitLine, Казахстан|Шкала|Оборудование|6</v>
      </c>
      <c t="str" r="S499" s="6">
        <f>A499&amp;"|"&amp;C499&amp;"|"&amp;D499&amp;"|"&amp;G499&amp;"|"&amp;J499</f>
        <v>VitLine, Казахстан|Шкала|Оборудование|3|6</v>
      </c>
      <c t="str" r="T499" s="6">
        <f>A499&amp;"|"&amp;C499&amp;"|"&amp;G499</f>
        <v>VitLine, Казахстан|Шкала|3</v>
      </c>
      <c t="str" r="U499" s="6">
        <f>IF(H499="да",A499&amp;"|"&amp;C499&amp;"|"&amp;D499&amp;"|"&amp;J499,"")</f>
        <v/>
      </c>
      <c t="str" r="V499" s="6">
        <f>IF(C499="План",A499&amp;"|"&amp;J499,"")</f>
        <v/>
      </c>
    </row>
    <row r="500">
      <c r="A500" s="3" t="inlineStr">
        <is>
          <t>VitLine, Казахстан</t>
        </is>
      </c>
      <c r="B500" s="3" t="inlineStr">
        <is>
          <t>Заруб</t>
        </is>
      </c>
      <c r="C500" s="3" t="inlineStr">
        <is>
          <t>Шкала</t>
        </is>
      </c>
      <c r="D500" s="3" t="inlineStr">
        <is>
          <t>Оборудование</t>
        </is>
      </c>
      <c r="E500" s="3" t="inlineStr">
        <is>
          <t>Оборудование — за полугодие</t>
        </is>
      </c>
      <c r="F500" s="3" t="inlineStr">
        <is>
          <t>ИТОГО</t>
        </is>
      </c>
      <c r="G500" s="4" t="n">
        <v>4</v>
      </c>
      <c r="H500" s="4" t="inlineStr">
        <is>
          <t>да</t>
        </is>
      </c>
      <c r="I500" s="3" t="inlineStr">
        <is>
          <t>до 75</t>
        </is>
      </c>
      <c r="J500" s="4" t="n">
        <v>1</v>
      </c>
      <c r="K500" s="4" t="n"/>
      <c r="L500" s="4" t="n"/>
      <c r="M500" s="8" t="n">
        <v>0.14</v>
      </c>
      <c r="N500" s="4" t="inlineStr">
        <is>
          <t>%</t>
        </is>
      </c>
      <c r="O500" s="3" t="inlineStr">
        <is>
          <t>VitLine</t>
        </is>
      </c>
      <c r="P500" s="3" t="inlineStr">
        <is>
          <t>E17</t>
        </is>
      </c>
      <c t="str" r="Q500" s="6">
        <f>A500&amp;"|"&amp;C500&amp;"|"&amp;D500&amp;"|"&amp;G500</f>
        <v>VitLine, Казахстан|Шкала|Оборудование|4</v>
      </c>
      <c t="str" r="R500" s="6">
        <f>A500&amp;"|"&amp;C500&amp;"|"&amp;D500&amp;"|"&amp;J500</f>
        <v>VitLine, Казахстан|Шкала|Оборудование|1</v>
      </c>
      <c t="str" r="S500" s="6">
        <f>A500&amp;"|"&amp;C500&amp;"|"&amp;D500&amp;"|"&amp;G500&amp;"|"&amp;J500</f>
        <v>VitLine, Казахстан|Шкала|Оборудование|4|1</v>
      </c>
      <c t="str" r="T500" s="6">
        <f>A500&amp;"|"&amp;C500&amp;"|"&amp;G500</f>
        <v>VitLine, Казахстан|Шкала|4</v>
      </c>
      <c t="str" r="U500" s="6">
        <f>IF(H500="да",A500&amp;"|"&amp;C500&amp;"|"&amp;D500&amp;"|"&amp;J500,"")</f>
        <v>VitLine, Казахстан|Шкала|Оборудование|1</v>
      </c>
      <c t="str" r="V500" s="6">
        <f>IF(C500="План",A500&amp;"|"&amp;J500,"")</f>
        <v/>
      </c>
    </row>
    <row r="501">
      <c r="A501" s="3" t="inlineStr">
        <is>
          <t>VitLine, Казахстан</t>
        </is>
      </c>
      <c r="B501" s="3" t="inlineStr">
        <is>
          <t>Заруб</t>
        </is>
      </c>
      <c r="C501" s="3" t="inlineStr">
        <is>
          <t>Шкала</t>
        </is>
      </c>
      <c r="D501" s="3" t="inlineStr">
        <is>
          <t>Оборудование</t>
        </is>
      </c>
      <c r="E501" s="3" t="inlineStr">
        <is>
          <t>Оборудование — за полугодие</t>
        </is>
      </c>
      <c r="F501" s="3" t="inlineStr">
        <is>
          <t>ИТОГО</t>
        </is>
      </c>
      <c r="G501" s="4" t="n">
        <v>4</v>
      </c>
      <c r="H501" s="4" t="inlineStr">
        <is>
          <t>да</t>
        </is>
      </c>
      <c r="I501" s="3" t="inlineStr">
        <is>
          <t>75-114</t>
        </is>
      </c>
      <c r="J501" s="4" t="n">
        <v>2</v>
      </c>
      <c r="K501" s="4" t="n"/>
      <c r="L501" s="4" t="n"/>
      <c r="M501" s="8" t="n">
        <v>0.16</v>
      </c>
      <c r="N501" s="4" t="inlineStr">
        <is>
          <t>%</t>
        </is>
      </c>
      <c r="O501" s="3" t="inlineStr">
        <is>
          <t>VitLine</t>
        </is>
      </c>
      <c r="P501" s="3" t="inlineStr">
        <is>
          <t>F17</t>
        </is>
      </c>
      <c t="str" r="Q501" s="6">
        <f>A501&amp;"|"&amp;C501&amp;"|"&amp;D501&amp;"|"&amp;G501</f>
        <v>VitLine, Казахстан|Шкала|Оборудование|4</v>
      </c>
      <c t="str" r="R501" s="6">
        <f>A501&amp;"|"&amp;C501&amp;"|"&amp;D501&amp;"|"&amp;J501</f>
        <v>VitLine, Казахстан|Шкала|Оборудование|2</v>
      </c>
      <c t="str" r="S501" s="6">
        <f>A501&amp;"|"&amp;C501&amp;"|"&amp;D501&amp;"|"&amp;G501&amp;"|"&amp;J501</f>
        <v>VitLine, Казахстан|Шкала|Оборудование|4|2</v>
      </c>
      <c t="str" r="T501" s="6">
        <f>A501&amp;"|"&amp;C501&amp;"|"&amp;G501</f>
        <v>VitLine, Казахстан|Шкала|4</v>
      </c>
      <c t="str" r="U501" s="6">
        <f>IF(H501="да",A501&amp;"|"&amp;C501&amp;"|"&amp;D501&amp;"|"&amp;J501,"")</f>
        <v>VitLine, Казахстан|Шкала|Оборудование|2</v>
      </c>
      <c t="str" r="V501" s="6">
        <f>IF(C501="План",A501&amp;"|"&amp;J501,"")</f>
        <v/>
      </c>
    </row>
    <row r="502">
      <c r="A502" s="3" t="inlineStr">
        <is>
          <t>VitLine, Казахстан</t>
        </is>
      </c>
      <c r="B502" s="3" t="inlineStr">
        <is>
          <t>Заруб</t>
        </is>
      </c>
      <c r="C502" s="3" t="inlineStr">
        <is>
          <t>Шкала</t>
        </is>
      </c>
      <c r="D502" s="3" t="inlineStr">
        <is>
          <t>Оборудование</t>
        </is>
      </c>
      <c r="E502" s="3" t="inlineStr">
        <is>
          <t>Оборудование — за полугодие</t>
        </is>
      </c>
      <c r="F502" s="3" t="inlineStr">
        <is>
          <t>ИТОГО</t>
        </is>
      </c>
      <c r="G502" s="4" t="n">
        <v>4</v>
      </c>
      <c r="H502" s="4" t="inlineStr">
        <is>
          <t>да</t>
        </is>
      </c>
      <c r="I502" s="3" t="inlineStr">
        <is>
          <t>115-149</t>
        </is>
      </c>
      <c r="J502" s="4" t="n">
        <v>3</v>
      </c>
      <c r="K502" s="4" t="n"/>
      <c r="L502" s="4" t="n"/>
      <c r="M502" s="8" t="n">
        <v>0.17</v>
      </c>
      <c r="N502" s="4" t="inlineStr">
        <is>
          <t>%</t>
        </is>
      </c>
      <c r="O502" s="3" t="inlineStr">
        <is>
          <t>VitLine</t>
        </is>
      </c>
      <c r="P502" s="3" t="inlineStr">
        <is>
          <t>G17</t>
        </is>
      </c>
      <c t="str" r="Q502" s="6">
        <f>A502&amp;"|"&amp;C502&amp;"|"&amp;D502&amp;"|"&amp;G502</f>
        <v>VitLine, Казахстан|Шкала|Оборудование|4</v>
      </c>
      <c t="str" r="R502" s="6">
        <f>A502&amp;"|"&amp;C502&amp;"|"&amp;D502&amp;"|"&amp;J502</f>
        <v>VitLine, Казахстан|Шкала|Оборудование|3</v>
      </c>
      <c t="str" r="S502" s="6">
        <f>A502&amp;"|"&amp;C502&amp;"|"&amp;D502&amp;"|"&amp;G502&amp;"|"&amp;J502</f>
        <v>VitLine, Казахстан|Шкала|Оборудование|4|3</v>
      </c>
      <c t="str" r="T502" s="6">
        <f>A502&amp;"|"&amp;C502&amp;"|"&amp;G502</f>
        <v>VitLine, Казахстан|Шкала|4</v>
      </c>
      <c t="str" r="U502" s="6">
        <f>IF(H502="да",A502&amp;"|"&amp;C502&amp;"|"&amp;D502&amp;"|"&amp;J502,"")</f>
        <v>VitLine, Казахстан|Шкала|Оборудование|3</v>
      </c>
      <c t="str" r="V502" s="6">
        <f>IF(C502="План",A502&amp;"|"&amp;J502,"")</f>
        <v/>
      </c>
    </row>
    <row r="503">
      <c r="A503" s="3" t="inlineStr">
        <is>
          <t>VitLine, Казахстан</t>
        </is>
      </c>
      <c r="B503" s="3" t="inlineStr">
        <is>
          <t>Заруб</t>
        </is>
      </c>
      <c r="C503" s="3" t="inlineStr">
        <is>
          <t>Шкала</t>
        </is>
      </c>
      <c r="D503" s="3" t="inlineStr">
        <is>
          <t>Оборудование</t>
        </is>
      </c>
      <c r="E503" s="3" t="inlineStr">
        <is>
          <t>Оборудование — за полугодие</t>
        </is>
      </c>
      <c r="F503" s="3" t="inlineStr">
        <is>
          <t>ИТОГО</t>
        </is>
      </c>
      <c r="G503" s="4" t="n">
        <v>4</v>
      </c>
      <c r="H503" s="4" t="inlineStr">
        <is>
          <t>да</t>
        </is>
      </c>
      <c r="I503" s="3" t="inlineStr">
        <is>
          <t>150-189</t>
        </is>
      </c>
      <c r="J503" s="4" t="n">
        <v>4</v>
      </c>
      <c r="K503" s="4" t="n"/>
      <c r="L503" s="4" t="n"/>
      <c r="M503" s="8" t="n">
        <v>0.18</v>
      </c>
      <c r="N503" s="4" t="inlineStr">
        <is>
          <t>%</t>
        </is>
      </c>
      <c r="O503" s="3" t="inlineStr">
        <is>
          <t>VitLine</t>
        </is>
      </c>
      <c r="P503" s="3" t="inlineStr">
        <is>
          <t>H17</t>
        </is>
      </c>
      <c t="str" r="Q503" s="6">
        <f>A503&amp;"|"&amp;C503&amp;"|"&amp;D503&amp;"|"&amp;G503</f>
        <v>VitLine, Казахстан|Шкала|Оборудование|4</v>
      </c>
      <c t="str" r="R503" s="6">
        <f>A503&amp;"|"&amp;C503&amp;"|"&amp;D503&amp;"|"&amp;J503</f>
        <v>VitLine, Казахстан|Шкала|Оборудование|4</v>
      </c>
      <c t="str" r="S503" s="6">
        <f>A503&amp;"|"&amp;C503&amp;"|"&amp;D503&amp;"|"&amp;G503&amp;"|"&amp;J503</f>
        <v>VitLine, Казахстан|Шкала|Оборудование|4|4</v>
      </c>
      <c t="str" r="T503" s="6">
        <f>A503&amp;"|"&amp;C503&amp;"|"&amp;G503</f>
        <v>VitLine, Казахстан|Шкала|4</v>
      </c>
      <c t="str" r="U503" s="6">
        <f>IF(H503="да",A503&amp;"|"&amp;C503&amp;"|"&amp;D503&amp;"|"&amp;J503,"")</f>
        <v>VitLine, Казахстан|Шкала|Оборудование|4</v>
      </c>
      <c t="str" r="V503" s="6">
        <f>IF(C503="План",A503&amp;"|"&amp;J503,"")</f>
        <v/>
      </c>
    </row>
    <row r="504">
      <c r="A504" s="3" t="inlineStr">
        <is>
          <t>VitLine, Казахстан</t>
        </is>
      </c>
      <c r="B504" s="3" t="inlineStr">
        <is>
          <t>Заруб</t>
        </is>
      </c>
      <c r="C504" s="3" t="inlineStr">
        <is>
          <t>Шкала</t>
        </is>
      </c>
      <c r="D504" s="3" t="inlineStr">
        <is>
          <t>Оборудование</t>
        </is>
      </c>
      <c r="E504" s="3" t="inlineStr">
        <is>
          <t>Оборудование — за полугодие</t>
        </is>
      </c>
      <c r="F504" s="3" t="inlineStr">
        <is>
          <t>ИТОГО</t>
        </is>
      </c>
      <c r="G504" s="4" t="n">
        <v>4</v>
      </c>
      <c r="H504" s="4" t="inlineStr">
        <is>
          <t>да</t>
        </is>
      </c>
      <c r="I504" s="3" t="inlineStr">
        <is>
          <t>190-224</t>
        </is>
      </c>
      <c r="J504" s="4" t="n">
        <v>5</v>
      </c>
      <c r="K504" s="4" t="n"/>
      <c r="L504" s="4" t="n"/>
      <c r="M504" s="8" t="n">
        <v>0.19</v>
      </c>
      <c r="N504" s="4" t="inlineStr">
        <is>
          <t>%</t>
        </is>
      </c>
      <c r="O504" s="3" t="inlineStr">
        <is>
          <t>VitLine</t>
        </is>
      </c>
      <c r="P504" s="3" t="inlineStr">
        <is>
          <t>I17</t>
        </is>
      </c>
      <c t="str" r="Q504" s="6">
        <f>A504&amp;"|"&amp;C504&amp;"|"&amp;D504&amp;"|"&amp;G504</f>
        <v>VitLine, Казахстан|Шкала|Оборудование|4</v>
      </c>
      <c t="str" r="R504" s="6">
        <f>A504&amp;"|"&amp;C504&amp;"|"&amp;D504&amp;"|"&amp;J504</f>
        <v>VitLine, Казахстан|Шкала|Оборудование|5</v>
      </c>
      <c t="str" r="S504" s="6">
        <f>A504&amp;"|"&amp;C504&amp;"|"&amp;D504&amp;"|"&amp;G504&amp;"|"&amp;J504</f>
        <v>VitLine, Казахстан|Шкала|Оборудование|4|5</v>
      </c>
      <c t="str" r="T504" s="6">
        <f>A504&amp;"|"&amp;C504&amp;"|"&amp;G504</f>
        <v>VitLine, Казахстан|Шкала|4</v>
      </c>
      <c t="str" r="U504" s="6">
        <f>IF(H504="да",A504&amp;"|"&amp;C504&amp;"|"&amp;D504&amp;"|"&amp;J504,"")</f>
        <v>VitLine, Казахстан|Шкала|Оборудование|5</v>
      </c>
      <c t="str" r="V504" s="6">
        <f>IF(C504="План",A504&amp;"|"&amp;J504,"")</f>
        <v/>
      </c>
    </row>
    <row r="505">
      <c r="A505" s="3" t="inlineStr">
        <is>
          <t>VitLine, Казахстан</t>
        </is>
      </c>
      <c r="B505" s="3" t="inlineStr">
        <is>
          <t>Заруб</t>
        </is>
      </c>
      <c r="C505" s="3" t="inlineStr">
        <is>
          <t>Шкала</t>
        </is>
      </c>
      <c r="D505" s="3" t="inlineStr">
        <is>
          <t>Оборудование</t>
        </is>
      </c>
      <c r="E505" s="3" t="inlineStr">
        <is>
          <t>Оборудование — за полугодие</t>
        </is>
      </c>
      <c r="F505" s="3" t="inlineStr">
        <is>
          <t>ИТОГО</t>
        </is>
      </c>
      <c r="G505" s="4" t="n">
        <v>4</v>
      </c>
      <c r="H505" s="4" t="inlineStr">
        <is>
          <t>да</t>
        </is>
      </c>
      <c r="I505" s="3" t="inlineStr">
        <is>
          <t>225 и более</t>
        </is>
      </c>
      <c r="J505" s="4" t="n">
        <v>6</v>
      </c>
      <c r="K505" s="4" t="n"/>
      <c r="L505" s="4" t="n"/>
      <c r="M505" s="8" t="n">
        <v>0.2</v>
      </c>
      <c r="N505" s="4" t="inlineStr">
        <is>
          <t>%</t>
        </is>
      </c>
      <c r="O505" s="3" t="inlineStr">
        <is>
          <t>VitLine</t>
        </is>
      </c>
      <c r="P505" s="3" t="inlineStr">
        <is>
          <t>J17</t>
        </is>
      </c>
      <c t="str" r="Q505" s="6">
        <f>A505&amp;"|"&amp;C505&amp;"|"&amp;D505&amp;"|"&amp;G505</f>
        <v>VitLine, Казахстан|Шкала|Оборудование|4</v>
      </c>
      <c t="str" r="R505" s="6">
        <f>A505&amp;"|"&amp;C505&amp;"|"&amp;D505&amp;"|"&amp;J505</f>
        <v>VitLine, Казахстан|Шкала|Оборудование|6</v>
      </c>
      <c t="str" r="S505" s="6">
        <f>A505&amp;"|"&amp;C505&amp;"|"&amp;D505&amp;"|"&amp;G505&amp;"|"&amp;J505</f>
        <v>VitLine, Казахстан|Шкала|Оборудование|4|6</v>
      </c>
      <c t="str" r="T505" s="6">
        <f>A505&amp;"|"&amp;C505&amp;"|"&amp;G505</f>
        <v>VitLine, Казахстан|Шкала|4</v>
      </c>
      <c t="str" r="U505" s="6">
        <f>IF(H505="да",A505&amp;"|"&amp;C505&amp;"|"&amp;D505&amp;"|"&amp;J505,"")</f>
        <v>VitLine, Казахстан|Шкала|Оборудование|6</v>
      </c>
      <c t="str" r="V505" s="6">
        <f>IF(C505="План",A505&amp;"|"&amp;J505,"")</f>
        <v/>
      </c>
    </row>
    <row r="506">
      <c r="A506" s="3" t="inlineStr">
        <is>
          <t>VitLine, Казахстан</t>
        </is>
      </c>
      <c r="B506" s="3" t="inlineStr">
        <is>
          <t>Заруб</t>
        </is>
      </c>
      <c r="C506" s="3" t="inlineStr">
        <is>
          <t>Шкала</t>
        </is>
      </c>
      <c r="D506" s="3" t="inlineStr">
        <is>
          <t>Расходные материалы</t>
        </is>
      </c>
      <c r="E506" s="3" t="inlineStr">
        <is>
          <t>Расходные материалы — за полугодие</t>
        </is>
      </c>
      <c r="F506" s="3" t="inlineStr">
        <is>
          <t>Объем закупок РМ</t>
        </is>
      </c>
      <c r="G506" s="4" t="n">
        <v>1</v>
      </c>
      <c r="H506" s="4" t="n"/>
      <c r="I506" s="3" t="inlineStr">
        <is>
          <t>до 24</t>
        </is>
      </c>
      <c r="J506" s="4" t="n">
        <v>1</v>
      </c>
      <c r="K506" s="4" t="n"/>
      <c r="L506" s="4" t="n"/>
      <c r="M506" s="8" t="n">
        <v>0</v>
      </c>
      <c r="N506" s="4" t="inlineStr">
        <is>
          <t>%</t>
        </is>
      </c>
      <c r="O506" s="3" t="inlineStr">
        <is>
          <t>VitLine</t>
        </is>
      </c>
      <c r="P506" s="3" t="inlineStr">
        <is>
          <t>E20</t>
        </is>
      </c>
      <c t="str" r="Q506" s="6">
        <f>A506&amp;"|"&amp;C506&amp;"|"&amp;D506&amp;"|"&amp;G506</f>
        <v>VitLine, Казахстан|Шкала|Расходные материалы|1</v>
      </c>
      <c t="str" r="R506" s="6">
        <f>A506&amp;"|"&amp;C506&amp;"|"&amp;D506&amp;"|"&amp;J506</f>
        <v>VitLine, Казахстан|Шкала|Расходные материалы|1</v>
      </c>
      <c t="str" r="S506" s="6">
        <f>A506&amp;"|"&amp;C506&amp;"|"&amp;D506&amp;"|"&amp;G506&amp;"|"&amp;J506</f>
        <v>VitLine, Казахстан|Шкала|Расходные материалы|1|1</v>
      </c>
      <c t="str" r="T506" s="6">
        <f>A506&amp;"|"&amp;C506&amp;"|"&amp;G506</f>
        <v>VitLine, Казахстан|Шкала|1</v>
      </c>
      <c t="str" r="U506" s="6">
        <f>IF(H506="да",A506&amp;"|"&amp;C506&amp;"|"&amp;D506&amp;"|"&amp;J506,"")</f>
        <v/>
      </c>
      <c t="str" r="V506" s="6">
        <f>IF(C506="План",A506&amp;"|"&amp;J506,"")</f>
        <v/>
      </c>
    </row>
    <row r="507">
      <c r="A507" s="3" t="inlineStr">
        <is>
          <t>VitLine, Казахстан</t>
        </is>
      </c>
      <c r="B507" s="3" t="inlineStr">
        <is>
          <t>Заруб</t>
        </is>
      </c>
      <c r="C507" s="3" t="inlineStr">
        <is>
          <t>Шкала</t>
        </is>
      </c>
      <c r="D507" s="3" t="inlineStr">
        <is>
          <t>Расходные материалы</t>
        </is>
      </c>
      <c r="E507" s="3" t="inlineStr">
        <is>
          <t>Расходные материалы — за полугодие</t>
        </is>
      </c>
      <c r="F507" s="3" t="inlineStr">
        <is>
          <t>Объем закупок РМ</t>
        </is>
      </c>
      <c r="G507" s="4" t="n">
        <v>1</v>
      </c>
      <c r="H507" s="4" t="n"/>
      <c r="I507" s="3" t="inlineStr">
        <is>
          <t>25-34</t>
        </is>
      </c>
      <c r="J507" s="4" t="n">
        <v>2</v>
      </c>
      <c r="K507" s="4" t="n"/>
      <c r="L507" s="4" t="n"/>
      <c r="M507" s="8" t="n">
        <v>0.01</v>
      </c>
      <c r="N507" s="4" t="inlineStr">
        <is>
          <t>%</t>
        </is>
      </c>
      <c r="O507" s="3" t="inlineStr">
        <is>
          <t>VitLine</t>
        </is>
      </c>
      <c r="P507" s="3" t="inlineStr">
        <is>
          <t>F20</t>
        </is>
      </c>
      <c t="str" r="Q507" s="6">
        <f>A507&amp;"|"&amp;C507&amp;"|"&amp;D507&amp;"|"&amp;G507</f>
        <v>VitLine, Казахстан|Шкала|Расходные материалы|1</v>
      </c>
      <c t="str" r="R507" s="6">
        <f>A507&amp;"|"&amp;C507&amp;"|"&amp;D507&amp;"|"&amp;J507</f>
        <v>VitLine, Казахстан|Шкала|Расходные материалы|2</v>
      </c>
      <c t="str" r="S507" s="6">
        <f>A507&amp;"|"&amp;C507&amp;"|"&amp;D507&amp;"|"&amp;G507&amp;"|"&amp;J507</f>
        <v>VitLine, Казахстан|Шкала|Расходные материалы|1|2</v>
      </c>
      <c t="str" r="T507" s="6">
        <f>A507&amp;"|"&amp;C507&amp;"|"&amp;G507</f>
        <v>VitLine, Казахстан|Шкала|1</v>
      </c>
      <c t="str" r="U507" s="6">
        <f>IF(H507="да",A507&amp;"|"&amp;C507&amp;"|"&amp;D507&amp;"|"&amp;J507,"")</f>
        <v/>
      </c>
      <c t="str" r="V507" s="6">
        <f>IF(C507="План",A507&amp;"|"&amp;J507,"")</f>
        <v/>
      </c>
    </row>
    <row r="508">
      <c r="A508" s="3" t="inlineStr">
        <is>
          <t>VitLine, Казахстан</t>
        </is>
      </c>
      <c r="B508" s="3" t="inlineStr">
        <is>
          <t>Заруб</t>
        </is>
      </c>
      <c r="C508" s="3" t="inlineStr">
        <is>
          <t>Шкала</t>
        </is>
      </c>
      <c r="D508" s="3" t="inlineStr">
        <is>
          <t>Расходные материалы</t>
        </is>
      </c>
      <c r="E508" s="3" t="inlineStr">
        <is>
          <t>Расходные материалы — за полугодие</t>
        </is>
      </c>
      <c r="F508" s="3" t="inlineStr">
        <is>
          <t>Объем закупок РМ</t>
        </is>
      </c>
      <c r="G508" s="4" t="n">
        <v>1</v>
      </c>
      <c r="H508" s="4" t="n"/>
      <c r="I508" s="3" t="inlineStr">
        <is>
          <t>35-44</t>
        </is>
      </c>
      <c r="J508" s="4" t="n">
        <v>3</v>
      </c>
      <c r="K508" s="4" t="n"/>
      <c r="L508" s="4" t="n"/>
      <c r="M508" s="8" t="n">
        <v>0.02</v>
      </c>
      <c r="N508" s="4" t="inlineStr">
        <is>
          <t>%</t>
        </is>
      </c>
      <c r="O508" s="3" t="inlineStr">
        <is>
          <t>VitLine</t>
        </is>
      </c>
      <c r="P508" s="3" t="inlineStr">
        <is>
          <t>G20</t>
        </is>
      </c>
      <c t="str" r="Q508" s="6">
        <f>A508&amp;"|"&amp;C508&amp;"|"&amp;D508&amp;"|"&amp;G508</f>
        <v>VitLine, Казахстан|Шкала|Расходные материалы|1</v>
      </c>
      <c t="str" r="R508" s="6">
        <f>A508&amp;"|"&amp;C508&amp;"|"&amp;D508&amp;"|"&amp;J508</f>
        <v>VitLine, Казахстан|Шкала|Расходные материалы|3</v>
      </c>
      <c t="str" r="S508" s="6">
        <f>A508&amp;"|"&amp;C508&amp;"|"&amp;D508&amp;"|"&amp;G508&amp;"|"&amp;J508</f>
        <v>VitLine, Казахстан|Шкала|Расходные материалы|1|3</v>
      </c>
      <c t="str" r="T508" s="6">
        <f>A508&amp;"|"&amp;C508&amp;"|"&amp;G508</f>
        <v>VitLine, Казахстан|Шкала|1</v>
      </c>
      <c t="str" r="U508" s="6">
        <f>IF(H508="да",A508&amp;"|"&amp;C508&amp;"|"&amp;D508&amp;"|"&amp;J508,"")</f>
        <v/>
      </c>
      <c t="str" r="V508" s="6">
        <f>IF(C508="План",A508&amp;"|"&amp;J508,"")</f>
        <v/>
      </c>
    </row>
    <row r="509">
      <c r="A509" s="3" t="inlineStr">
        <is>
          <t>VitLine, Казахстан</t>
        </is>
      </c>
      <c r="B509" s="3" t="inlineStr">
        <is>
          <t>Заруб</t>
        </is>
      </c>
      <c r="C509" s="3" t="inlineStr">
        <is>
          <t>Шкала</t>
        </is>
      </c>
      <c r="D509" s="3" t="inlineStr">
        <is>
          <t>Расходные материалы</t>
        </is>
      </c>
      <c r="E509" s="3" t="inlineStr">
        <is>
          <t>Расходные материалы — за полугодие</t>
        </is>
      </c>
      <c r="F509" s="3" t="inlineStr">
        <is>
          <t>Объем закупок РМ</t>
        </is>
      </c>
      <c r="G509" s="4" t="n">
        <v>1</v>
      </c>
      <c r="H509" s="4" t="n"/>
      <c r="I509" s="3" t="inlineStr">
        <is>
          <t>45-54</t>
        </is>
      </c>
      <c r="J509" s="4" t="n">
        <v>4</v>
      </c>
      <c r="K509" s="4" t="n"/>
      <c r="L509" s="4" t="n"/>
      <c r="M509" s="8" t="n">
        <v>0.03</v>
      </c>
      <c r="N509" s="4" t="inlineStr">
        <is>
          <t>%</t>
        </is>
      </c>
      <c r="O509" s="3" t="inlineStr">
        <is>
          <t>VitLine</t>
        </is>
      </c>
      <c r="P509" s="3" t="inlineStr">
        <is>
          <t>H20</t>
        </is>
      </c>
      <c t="str" r="Q509" s="6">
        <f>A509&amp;"|"&amp;C509&amp;"|"&amp;D509&amp;"|"&amp;G509</f>
        <v>VitLine, Казахстан|Шкала|Расходные материалы|1</v>
      </c>
      <c t="str" r="R509" s="6">
        <f>A509&amp;"|"&amp;C509&amp;"|"&amp;D509&amp;"|"&amp;J509</f>
        <v>VitLine, Казахстан|Шкала|Расходные материалы|4</v>
      </c>
      <c t="str" r="S509" s="6">
        <f>A509&amp;"|"&amp;C509&amp;"|"&amp;D509&amp;"|"&amp;G509&amp;"|"&amp;J509</f>
        <v>VitLine, Казахстан|Шкала|Расходные материалы|1|4</v>
      </c>
      <c t="str" r="T509" s="6">
        <f>A509&amp;"|"&amp;C509&amp;"|"&amp;G509</f>
        <v>VitLine, Казахстан|Шкала|1</v>
      </c>
      <c t="str" r="U509" s="6">
        <f>IF(H509="да",A509&amp;"|"&amp;C509&amp;"|"&amp;D509&amp;"|"&amp;J509,"")</f>
        <v/>
      </c>
      <c t="str" r="V509" s="6">
        <f>IF(C509="План",A509&amp;"|"&amp;J509,"")</f>
        <v/>
      </c>
    </row>
    <row r="510">
      <c r="A510" s="3" t="inlineStr">
        <is>
          <t>VitLine, Казахстан</t>
        </is>
      </c>
      <c r="B510" s="3" t="inlineStr">
        <is>
          <t>Заруб</t>
        </is>
      </c>
      <c r="C510" s="3" t="inlineStr">
        <is>
          <t>Шкала</t>
        </is>
      </c>
      <c r="D510" s="3" t="inlineStr">
        <is>
          <t>Расходные материалы</t>
        </is>
      </c>
      <c r="E510" s="3" t="inlineStr">
        <is>
          <t>Расходные материалы — за полугодие</t>
        </is>
      </c>
      <c r="F510" s="3" t="inlineStr">
        <is>
          <t>Объем закупок РМ</t>
        </is>
      </c>
      <c r="G510" s="4" t="n">
        <v>1</v>
      </c>
      <c r="H510" s="4" t="n"/>
      <c r="I510" s="3" t="inlineStr">
        <is>
          <t>55-64</t>
        </is>
      </c>
      <c r="J510" s="4" t="n">
        <v>5</v>
      </c>
      <c r="K510" s="4" t="n"/>
      <c r="L510" s="4" t="n"/>
      <c r="M510" s="8" t="n">
        <v>0.04</v>
      </c>
      <c r="N510" s="4" t="inlineStr">
        <is>
          <t>%</t>
        </is>
      </c>
      <c r="O510" s="3" t="inlineStr">
        <is>
          <t>VitLine</t>
        </is>
      </c>
      <c r="P510" s="3" t="inlineStr">
        <is>
          <t>I20</t>
        </is>
      </c>
      <c t="str" r="Q510" s="6">
        <f>A510&amp;"|"&amp;C510&amp;"|"&amp;D510&amp;"|"&amp;G510</f>
        <v>VitLine, Казахстан|Шкала|Расходные материалы|1</v>
      </c>
      <c t="str" r="R510" s="6">
        <f>A510&amp;"|"&amp;C510&amp;"|"&amp;D510&amp;"|"&amp;J510</f>
        <v>VitLine, Казахстан|Шкала|Расходные материалы|5</v>
      </c>
      <c t="str" r="S510" s="6">
        <f>A510&amp;"|"&amp;C510&amp;"|"&amp;D510&amp;"|"&amp;G510&amp;"|"&amp;J510</f>
        <v>VitLine, Казахстан|Шкала|Расходные материалы|1|5</v>
      </c>
      <c t="str" r="T510" s="6">
        <f>A510&amp;"|"&amp;C510&amp;"|"&amp;G510</f>
        <v>VitLine, Казахстан|Шкала|1</v>
      </c>
      <c t="str" r="U510" s="6">
        <f>IF(H510="да",A510&amp;"|"&amp;C510&amp;"|"&amp;D510&amp;"|"&amp;J510,"")</f>
        <v/>
      </c>
      <c t="str" r="V510" s="6">
        <f>IF(C510="План",A510&amp;"|"&amp;J510,"")</f>
        <v/>
      </c>
    </row>
    <row r="511">
      <c r="A511" s="3" t="inlineStr">
        <is>
          <t>VitLine, Казахстан</t>
        </is>
      </c>
      <c r="B511" s="3" t="inlineStr">
        <is>
          <t>Заруб</t>
        </is>
      </c>
      <c r="C511" s="3" t="inlineStr">
        <is>
          <t>Шкала</t>
        </is>
      </c>
      <c r="D511" s="3" t="inlineStr">
        <is>
          <t>Расходные материалы</t>
        </is>
      </c>
      <c r="E511" s="3" t="inlineStr">
        <is>
          <t>Расходные материалы — за полугодие</t>
        </is>
      </c>
      <c r="F511" s="3" t="inlineStr">
        <is>
          <t>Объем закупок РМ</t>
        </is>
      </c>
      <c r="G511" s="4" t="n">
        <v>1</v>
      </c>
      <c r="H511" s="4" t="n"/>
      <c r="I511" s="3" t="inlineStr">
        <is>
          <t>65 и более</t>
        </is>
      </c>
      <c r="J511" s="4" t="n">
        <v>6</v>
      </c>
      <c r="K511" s="4" t="n"/>
      <c r="L511" s="4" t="n"/>
      <c r="M511" s="8" t="n">
        <v>0.05</v>
      </c>
      <c r="N511" s="4" t="inlineStr">
        <is>
          <t>%</t>
        </is>
      </c>
      <c r="O511" s="3" t="inlineStr">
        <is>
          <t>VitLine</t>
        </is>
      </c>
      <c r="P511" s="3" t="inlineStr">
        <is>
          <t>J20</t>
        </is>
      </c>
      <c t="str" r="Q511" s="6">
        <f>A511&amp;"|"&amp;C511&amp;"|"&amp;D511&amp;"|"&amp;G511</f>
        <v>VitLine, Казахстан|Шкала|Расходные материалы|1</v>
      </c>
      <c t="str" r="R511" s="6">
        <f>A511&amp;"|"&amp;C511&amp;"|"&amp;D511&amp;"|"&amp;J511</f>
        <v>VitLine, Казахстан|Шкала|Расходные материалы|6</v>
      </c>
      <c t="str" r="S511" s="6">
        <f>A511&amp;"|"&amp;C511&amp;"|"&amp;D511&amp;"|"&amp;G511&amp;"|"&amp;J511</f>
        <v>VitLine, Казахстан|Шкала|Расходные материалы|1|6</v>
      </c>
      <c t="str" r="T511" s="6">
        <f>A511&amp;"|"&amp;C511&amp;"|"&amp;G511</f>
        <v>VitLine, Казахстан|Шкала|1</v>
      </c>
      <c t="str" r="U511" s="6">
        <f>IF(H511="да",A511&amp;"|"&amp;C511&amp;"|"&amp;D511&amp;"|"&amp;J511,"")</f>
        <v/>
      </c>
      <c t="str" r="V511" s="6">
        <f>IF(C511="План",A511&amp;"|"&amp;J511,"")</f>
        <v/>
      </c>
    </row>
    <row r="512">
      <c r="A512" s="3" t="inlineStr">
        <is>
          <t>VitLine, Казахстан</t>
        </is>
      </c>
      <c r="B512" s="3" t="inlineStr">
        <is>
          <t>Заруб</t>
        </is>
      </c>
      <c r="C512" s="3" t="inlineStr">
        <is>
          <t>Шкала</t>
        </is>
      </c>
      <c r="D512" s="3" t="inlineStr">
        <is>
          <t>Сервис (ЗЧ)</t>
        </is>
      </c>
      <c r="E512" s="3" t="inlineStr">
        <is>
          <t>Сервис (ЗЧ) — абсолютные отгрузки за 12 месяцев</t>
        </is>
      </c>
      <c r="F512" s="3" t="inlineStr">
        <is>
          <t>Скидка по сервису</t>
        </is>
      </c>
      <c r="G512" s="4" t="n">
        <v>1</v>
      </c>
      <c r="H512" s="4" t="inlineStr">
        <is>
          <t>да</t>
        </is>
      </c>
      <c r="I512" s="3" t="inlineStr">
        <is>
          <t>0–7000</t>
        </is>
      </c>
      <c r="J512" s="4" t="n">
        <v>1</v>
      </c>
      <c r="K512" s="4" t="n">
        <v>0</v>
      </c>
      <c r="L512" s="4" t="n">
        <v>7000</v>
      </c>
      <c r="M512" s="8" t="n">
        <v>0.1</v>
      </c>
      <c r="N512" s="4" t="inlineStr">
        <is>
          <t>%</t>
        </is>
      </c>
      <c r="O512" s="3" t="inlineStr">
        <is>
          <t>VitLine</t>
        </is>
      </c>
      <c r="P512" s="3" t="inlineStr">
        <is>
          <t>F23</t>
        </is>
      </c>
      <c t="str" r="Q512" s="6">
        <f>A512&amp;"|"&amp;C512&amp;"|"&amp;D512&amp;"|"&amp;G512</f>
        <v>VitLine, Казахстан|Шкала|Сервис (ЗЧ)|1</v>
      </c>
      <c t="str" r="R512" s="6">
        <f>A512&amp;"|"&amp;C512&amp;"|"&amp;D512&amp;"|"&amp;J512</f>
        <v>VitLine, Казахстан|Шкала|Сервис (ЗЧ)|1</v>
      </c>
      <c t="str" r="S512" s="6">
        <f>A512&amp;"|"&amp;C512&amp;"|"&amp;D512&amp;"|"&amp;G512&amp;"|"&amp;J512</f>
        <v>VitLine, Казахстан|Шкала|Сервис (ЗЧ)|1|1</v>
      </c>
      <c t="str" r="T512" s="6">
        <f>A512&amp;"|"&amp;C512&amp;"|"&amp;G512</f>
        <v>VitLine, Казахстан|Шкала|1</v>
      </c>
      <c t="str" r="U512" s="6">
        <f>IF(H512="да",A512&amp;"|"&amp;C512&amp;"|"&amp;D512&amp;"|"&amp;J512,"")</f>
        <v>VitLine, Казахстан|Шкала|Сервис (ЗЧ)|1</v>
      </c>
      <c t="str" r="V512" s="6">
        <f>IF(C512="План",A512&amp;"|"&amp;J512,"")</f>
        <v/>
      </c>
    </row>
    <row r="513">
      <c r="A513" s="3" t="inlineStr">
        <is>
          <t>VitLine, Казахстан</t>
        </is>
      </c>
      <c r="B513" s="3" t="inlineStr">
        <is>
          <t>Заруб</t>
        </is>
      </c>
      <c r="C513" s="3" t="inlineStr">
        <is>
          <t>Шкала</t>
        </is>
      </c>
      <c r="D513" s="3" t="inlineStr">
        <is>
          <t>Сервис (ЗЧ)</t>
        </is>
      </c>
      <c r="E513" s="3" t="inlineStr">
        <is>
          <t>Сервис (ЗЧ) — абсолютные отгрузки за 12 месяцев</t>
        </is>
      </c>
      <c r="F513" s="3" t="inlineStr">
        <is>
          <t>Скидка по сервису</t>
        </is>
      </c>
      <c r="G513" s="4" t="n">
        <v>1</v>
      </c>
      <c r="H513" s="4" t="inlineStr">
        <is>
          <t>да</t>
        </is>
      </c>
      <c r="I513" s="3" t="inlineStr">
        <is>
          <t>7001–19000</t>
        </is>
      </c>
      <c r="J513" s="4" t="n">
        <v>2</v>
      </c>
      <c r="K513" s="4" t="n">
        <v>7001</v>
      </c>
      <c r="L513" s="4" t="n">
        <v>19000</v>
      </c>
      <c r="M513" s="8" t="n">
        <v>0.11</v>
      </c>
      <c r="N513" s="4" t="inlineStr">
        <is>
          <t>%</t>
        </is>
      </c>
      <c r="O513" s="3" t="inlineStr">
        <is>
          <t>VitLine</t>
        </is>
      </c>
      <c r="P513" s="3" t="inlineStr">
        <is>
          <t>F24</t>
        </is>
      </c>
      <c t="str" r="Q513" s="6">
        <f>A513&amp;"|"&amp;C513&amp;"|"&amp;D513&amp;"|"&amp;G513</f>
        <v>VitLine, Казахстан|Шкала|Сервис (ЗЧ)|1</v>
      </c>
      <c t="str" r="R513" s="6">
        <f>A513&amp;"|"&amp;C513&amp;"|"&amp;D513&amp;"|"&amp;J513</f>
        <v>VitLine, Казахстан|Шкала|Сервис (ЗЧ)|2</v>
      </c>
      <c t="str" r="S513" s="6">
        <f>A513&amp;"|"&amp;C513&amp;"|"&amp;D513&amp;"|"&amp;G513&amp;"|"&amp;J513</f>
        <v>VitLine, Казахстан|Шкала|Сервис (ЗЧ)|1|2</v>
      </c>
      <c t="str" r="T513" s="6">
        <f>A513&amp;"|"&amp;C513&amp;"|"&amp;G513</f>
        <v>VitLine, Казахстан|Шкала|1</v>
      </c>
      <c t="str" r="U513" s="6">
        <f>IF(H513="да",A513&amp;"|"&amp;C513&amp;"|"&amp;D513&amp;"|"&amp;J513,"")</f>
        <v>VitLine, Казахстан|Шкала|Сервис (ЗЧ)|2</v>
      </c>
      <c t="str" r="V513" s="6">
        <f>IF(C513="План",A513&amp;"|"&amp;J513,"")</f>
        <v/>
      </c>
    </row>
    <row r="514">
      <c r="A514" s="3" t="inlineStr">
        <is>
          <t>VitLine, Казахстан</t>
        </is>
      </c>
      <c r="B514" s="3" t="inlineStr">
        <is>
          <t>Заруб</t>
        </is>
      </c>
      <c r="C514" s="3" t="inlineStr">
        <is>
          <t>Шкала</t>
        </is>
      </c>
      <c r="D514" s="3" t="inlineStr">
        <is>
          <t>Сервис (ЗЧ)</t>
        </is>
      </c>
      <c r="E514" s="3" t="inlineStr">
        <is>
          <t>Сервис (ЗЧ) — абсолютные отгрузки за 12 месяцев</t>
        </is>
      </c>
      <c r="F514" s="3" t="inlineStr">
        <is>
          <t>Скидка по сервису</t>
        </is>
      </c>
      <c r="G514" s="4" t="n">
        <v>1</v>
      </c>
      <c r="H514" s="4" t="inlineStr">
        <is>
          <t>да</t>
        </is>
      </c>
      <c r="I514" s="3" t="inlineStr">
        <is>
          <t>19001–24000</t>
        </is>
      </c>
      <c r="J514" s="4" t="n">
        <v>3</v>
      </c>
      <c r="K514" s="4" t="n">
        <v>19001</v>
      </c>
      <c r="L514" s="4" t="n">
        <v>24000</v>
      </c>
      <c r="M514" s="8" t="n">
        <v>0.13</v>
      </c>
      <c r="N514" s="4" t="inlineStr">
        <is>
          <t>%</t>
        </is>
      </c>
      <c r="O514" s="3" t="inlineStr">
        <is>
          <t>VitLine</t>
        </is>
      </c>
      <c r="P514" s="3" t="inlineStr">
        <is>
          <t>F25</t>
        </is>
      </c>
      <c t="str" r="Q514" s="6">
        <f>A514&amp;"|"&amp;C514&amp;"|"&amp;D514&amp;"|"&amp;G514</f>
        <v>VitLine, Казахстан|Шкала|Сервис (ЗЧ)|1</v>
      </c>
      <c t="str" r="R514" s="6">
        <f>A514&amp;"|"&amp;C514&amp;"|"&amp;D514&amp;"|"&amp;J514</f>
        <v>VitLine, Казахстан|Шкала|Сервис (ЗЧ)|3</v>
      </c>
      <c t="str" r="S514" s="6">
        <f>A514&amp;"|"&amp;C514&amp;"|"&amp;D514&amp;"|"&amp;G514&amp;"|"&amp;J514</f>
        <v>VitLine, Казахстан|Шкала|Сервис (ЗЧ)|1|3</v>
      </c>
      <c t="str" r="T514" s="6">
        <f>A514&amp;"|"&amp;C514&amp;"|"&amp;G514</f>
        <v>VitLine, Казахстан|Шкала|1</v>
      </c>
      <c t="str" r="U514" s="6">
        <f>IF(H514="да",A514&amp;"|"&amp;C514&amp;"|"&amp;D514&amp;"|"&amp;J514,"")</f>
        <v>VitLine, Казахстан|Шкала|Сервис (ЗЧ)|3</v>
      </c>
      <c t="str" r="V514" s="6">
        <f>IF(C514="План",A514&amp;"|"&amp;J514,"")</f>
        <v/>
      </c>
    </row>
    <row r="515">
      <c r="A515" s="3" t="inlineStr">
        <is>
          <t>VitLine, Казахстан</t>
        </is>
      </c>
      <c r="B515" s="3" t="inlineStr">
        <is>
          <t>Заруб</t>
        </is>
      </c>
      <c r="C515" s="3" t="inlineStr">
        <is>
          <t>Шкала</t>
        </is>
      </c>
      <c r="D515" s="3" t="inlineStr">
        <is>
          <t>Сервис (ЗЧ)</t>
        </is>
      </c>
      <c r="E515" s="3" t="inlineStr">
        <is>
          <t>Сервис (ЗЧ) — абсолютные отгрузки за 12 месяцев</t>
        </is>
      </c>
      <c r="F515" s="3" t="inlineStr">
        <is>
          <t>Скидка по сервису</t>
        </is>
      </c>
      <c r="G515" s="4" t="n">
        <v>1</v>
      </c>
      <c r="H515" s="4" t="inlineStr">
        <is>
          <t>да</t>
        </is>
      </c>
      <c r="I515" s="3" t="inlineStr">
        <is>
          <t>24001–28000</t>
        </is>
      </c>
      <c r="J515" s="4" t="n">
        <v>4</v>
      </c>
      <c r="K515" s="4" t="n">
        <v>24001</v>
      </c>
      <c r="L515" s="4" t="n">
        <v>28000</v>
      </c>
      <c r="M515" s="8" t="n">
        <v>0.14</v>
      </c>
      <c r="N515" s="4" t="inlineStr">
        <is>
          <t>%</t>
        </is>
      </c>
      <c r="O515" s="3" t="inlineStr">
        <is>
          <t>VitLine</t>
        </is>
      </c>
      <c r="P515" s="3" t="inlineStr">
        <is>
          <t>F26</t>
        </is>
      </c>
      <c t="str" r="Q515" s="6">
        <f>A515&amp;"|"&amp;C515&amp;"|"&amp;D515&amp;"|"&amp;G515</f>
        <v>VitLine, Казахстан|Шкала|Сервис (ЗЧ)|1</v>
      </c>
      <c t="str" r="R515" s="6">
        <f>A515&amp;"|"&amp;C515&amp;"|"&amp;D515&amp;"|"&amp;J515</f>
        <v>VitLine, Казахстан|Шкала|Сервис (ЗЧ)|4</v>
      </c>
      <c t="str" r="S515" s="6">
        <f>A515&amp;"|"&amp;C515&amp;"|"&amp;D515&amp;"|"&amp;G515&amp;"|"&amp;J515</f>
        <v>VitLine, Казахстан|Шкала|Сервис (ЗЧ)|1|4</v>
      </c>
      <c t="str" r="T515" s="6">
        <f>A515&amp;"|"&amp;C515&amp;"|"&amp;G515</f>
        <v>VitLine, Казахстан|Шкала|1</v>
      </c>
      <c t="str" r="U515" s="6">
        <f>IF(H515="да",A515&amp;"|"&amp;C515&amp;"|"&amp;D515&amp;"|"&amp;J515,"")</f>
        <v>VitLine, Казахстан|Шкала|Сервис (ЗЧ)|4</v>
      </c>
      <c t="str" r="V515" s="6">
        <f>IF(C515="План",A515&amp;"|"&amp;J515,"")</f>
        <v/>
      </c>
    </row>
    <row r="516">
      <c r="A516" s="3" t="inlineStr">
        <is>
          <t>VitLine, Казахстан</t>
        </is>
      </c>
      <c r="B516" s="3" t="inlineStr">
        <is>
          <t>Заруб</t>
        </is>
      </c>
      <c r="C516" s="3" t="inlineStr">
        <is>
          <t>Шкала</t>
        </is>
      </c>
      <c r="D516" s="3" t="inlineStr">
        <is>
          <t>Сервис (ЗЧ)</t>
        </is>
      </c>
      <c r="E516" s="3" t="inlineStr">
        <is>
          <t>Сервис (ЗЧ) — абсолютные отгрузки за 12 месяцев</t>
        </is>
      </c>
      <c r="F516" s="3" t="inlineStr">
        <is>
          <t>Скидка по сервису</t>
        </is>
      </c>
      <c r="G516" s="4" t="n">
        <v>1</v>
      </c>
      <c r="H516" s="4" t="inlineStr">
        <is>
          <t>да</t>
        </is>
      </c>
      <c r="I516" s="3" t="inlineStr">
        <is>
          <t>28001–40000</t>
        </is>
      </c>
      <c r="J516" s="4" t="n">
        <v>5</v>
      </c>
      <c r="K516" s="4" t="n">
        <v>28001</v>
      </c>
      <c r="L516" s="4" t="n">
        <v>40000</v>
      </c>
      <c r="M516" s="8" t="n">
        <v>0.15</v>
      </c>
      <c r="N516" s="4" t="inlineStr">
        <is>
          <t>%</t>
        </is>
      </c>
      <c r="O516" s="3" t="inlineStr">
        <is>
          <t>VitLine</t>
        </is>
      </c>
      <c r="P516" s="3" t="inlineStr">
        <is>
          <t>F27</t>
        </is>
      </c>
      <c t="str" r="Q516" s="6">
        <f>A516&amp;"|"&amp;C516&amp;"|"&amp;D516&amp;"|"&amp;G516</f>
        <v>VitLine, Казахстан|Шкала|Сервис (ЗЧ)|1</v>
      </c>
      <c t="str" r="R516" s="6">
        <f>A516&amp;"|"&amp;C516&amp;"|"&amp;D516&amp;"|"&amp;J516</f>
        <v>VitLine, Казахстан|Шкала|Сервис (ЗЧ)|5</v>
      </c>
      <c t="str" r="S516" s="6">
        <f>A516&amp;"|"&amp;C516&amp;"|"&amp;D516&amp;"|"&amp;G516&amp;"|"&amp;J516</f>
        <v>VitLine, Казахстан|Шкала|Сервис (ЗЧ)|1|5</v>
      </c>
      <c t="str" r="T516" s="6">
        <f>A516&amp;"|"&amp;C516&amp;"|"&amp;G516</f>
        <v>VitLine, Казахстан|Шкала|1</v>
      </c>
      <c t="str" r="U516" s="6">
        <f>IF(H516="да",A516&amp;"|"&amp;C516&amp;"|"&amp;D516&amp;"|"&amp;J516,"")</f>
        <v>VitLine, Казахстан|Шкала|Сервис (ЗЧ)|5</v>
      </c>
      <c t="str" r="V516" s="6">
        <f>IF(C516="План",A516&amp;"|"&amp;J516,"")</f>
        <v/>
      </c>
    </row>
    <row r="517">
      <c r="A517" s="3" t="inlineStr">
        <is>
          <t>VitLine, Казахстан</t>
        </is>
      </c>
      <c r="B517" s="3" t="inlineStr">
        <is>
          <t>Заруб</t>
        </is>
      </c>
      <c r="C517" s="3" t="inlineStr">
        <is>
          <t>Шкала</t>
        </is>
      </c>
      <c r="D517" s="3" t="inlineStr">
        <is>
          <t>Сервис (ЗЧ)</t>
        </is>
      </c>
      <c r="E517" s="3" t="inlineStr">
        <is>
          <t>Сервис (ЗЧ) — абсолютные отгрузки за 12 месяцев</t>
        </is>
      </c>
      <c r="F517" s="3" t="inlineStr">
        <is>
          <t>Скидка по сервису</t>
        </is>
      </c>
      <c r="G517" s="4" t="n">
        <v>1</v>
      </c>
      <c r="H517" s="4" t="inlineStr">
        <is>
          <t>да</t>
        </is>
      </c>
      <c r="I517" s="3" t="inlineStr">
        <is>
          <t>40001–48000</t>
        </is>
      </c>
      <c r="J517" s="4" t="n">
        <v>6</v>
      </c>
      <c r="K517" s="4" t="n">
        <v>40001</v>
      </c>
      <c r="L517" s="4" t="n">
        <v>48000</v>
      </c>
      <c r="M517" s="8" t="n">
        <v>0.16</v>
      </c>
      <c r="N517" s="4" t="inlineStr">
        <is>
          <t>%</t>
        </is>
      </c>
      <c r="O517" s="3" t="inlineStr">
        <is>
          <t>VitLine</t>
        </is>
      </c>
      <c r="P517" s="3" t="inlineStr">
        <is>
          <t>F28</t>
        </is>
      </c>
      <c t="str" r="Q517" s="6">
        <f>A517&amp;"|"&amp;C517&amp;"|"&amp;D517&amp;"|"&amp;G517</f>
        <v>VitLine, Казахстан|Шкала|Сервис (ЗЧ)|1</v>
      </c>
      <c t="str" r="R517" s="6">
        <f>A517&amp;"|"&amp;C517&amp;"|"&amp;D517&amp;"|"&amp;J517</f>
        <v>VitLine, Казахстан|Шкала|Сервис (ЗЧ)|6</v>
      </c>
      <c t="str" r="S517" s="6">
        <f>A517&amp;"|"&amp;C517&amp;"|"&amp;D517&amp;"|"&amp;G517&amp;"|"&amp;J517</f>
        <v>VitLine, Казахстан|Шкала|Сервис (ЗЧ)|1|6</v>
      </c>
      <c t="str" r="T517" s="6">
        <f>A517&amp;"|"&amp;C517&amp;"|"&amp;G517</f>
        <v>VitLine, Казахстан|Шкала|1</v>
      </c>
      <c t="str" r="U517" s="6">
        <f>IF(H517="да",A517&amp;"|"&amp;C517&amp;"|"&amp;D517&amp;"|"&amp;J517,"")</f>
        <v>VitLine, Казахстан|Шкала|Сервис (ЗЧ)|6</v>
      </c>
      <c t="str" r="V517" s="6">
        <f>IF(C517="План",A517&amp;"|"&amp;J517,"")</f>
        <v/>
      </c>
    </row>
    <row r="518">
      <c r="A518" s="3" t="inlineStr">
        <is>
          <t>VitLine, Казахстан</t>
        </is>
      </c>
      <c r="B518" s="3" t="inlineStr">
        <is>
          <t>Заруб</t>
        </is>
      </c>
      <c r="C518" s="3" t="inlineStr">
        <is>
          <t>Шкала</t>
        </is>
      </c>
      <c r="D518" s="3" t="inlineStr">
        <is>
          <t>Сервис (ЗЧ)</t>
        </is>
      </c>
      <c r="E518" s="3" t="inlineStr">
        <is>
          <t>Сервис (ЗЧ) — абсолютные отгрузки за 12 месяцев</t>
        </is>
      </c>
      <c r="F518" s="3" t="inlineStr">
        <is>
          <t>Скидка по сервису</t>
        </is>
      </c>
      <c r="G518" s="4" t="n">
        <v>1</v>
      </c>
      <c r="H518" s="4" t="inlineStr">
        <is>
          <t>да</t>
        </is>
      </c>
      <c r="I518" s="3" t="inlineStr">
        <is>
          <t>48001–60000</t>
        </is>
      </c>
      <c r="J518" s="4" t="n">
        <v>7</v>
      </c>
      <c r="K518" s="4" t="n">
        <v>48001</v>
      </c>
      <c r="L518" s="4" t="n">
        <v>60000</v>
      </c>
      <c r="M518" s="8" t="n">
        <v>0.17</v>
      </c>
      <c r="N518" s="4" t="inlineStr">
        <is>
          <t>%</t>
        </is>
      </c>
      <c r="O518" s="3" t="inlineStr">
        <is>
          <t>VitLine</t>
        </is>
      </c>
      <c r="P518" s="3" t="inlineStr">
        <is>
          <t>F29</t>
        </is>
      </c>
      <c t="str" r="Q518" s="6">
        <f>A518&amp;"|"&amp;C518&amp;"|"&amp;D518&amp;"|"&amp;G518</f>
        <v>VitLine, Казахстан|Шкала|Сервис (ЗЧ)|1</v>
      </c>
      <c t="str" r="R518" s="6">
        <f>A518&amp;"|"&amp;C518&amp;"|"&amp;D518&amp;"|"&amp;J518</f>
        <v>VitLine, Казахстан|Шкала|Сервис (ЗЧ)|7</v>
      </c>
      <c t="str" r="S518" s="6">
        <f>A518&amp;"|"&amp;C518&amp;"|"&amp;D518&amp;"|"&amp;G518&amp;"|"&amp;J518</f>
        <v>VitLine, Казахстан|Шкала|Сервис (ЗЧ)|1|7</v>
      </c>
      <c t="str" r="T518" s="6">
        <f>A518&amp;"|"&amp;C518&amp;"|"&amp;G518</f>
        <v>VitLine, Казахстан|Шкала|1</v>
      </c>
      <c t="str" r="U518" s="6">
        <f>IF(H518="да",A518&amp;"|"&amp;C518&amp;"|"&amp;D518&amp;"|"&amp;J518,"")</f>
        <v>VitLine, Казахстан|Шкала|Сервис (ЗЧ)|7</v>
      </c>
      <c t="str" r="V518" s="6">
        <f>IF(C518="План",A518&amp;"|"&amp;J518,"")</f>
        <v/>
      </c>
    </row>
    <row r="519">
      <c r="A519" s="3" t="inlineStr">
        <is>
          <t>VitLine, Казахстан</t>
        </is>
      </c>
      <c r="B519" s="3" t="inlineStr">
        <is>
          <t>Заруб</t>
        </is>
      </c>
      <c r="C519" s="3" t="inlineStr">
        <is>
          <t>Шкала</t>
        </is>
      </c>
      <c r="D519" s="3" t="inlineStr">
        <is>
          <t>Сервис (ЗЧ)</t>
        </is>
      </c>
      <c r="E519" s="3" t="inlineStr">
        <is>
          <t>Сервис (ЗЧ) — абсолютные отгрузки за 12 месяцев</t>
        </is>
      </c>
      <c r="F519" s="3" t="inlineStr">
        <is>
          <t>Скидка по сервису</t>
        </is>
      </c>
      <c r="G519" s="4" t="n">
        <v>1</v>
      </c>
      <c r="H519" s="4" t="inlineStr">
        <is>
          <t>да</t>
        </is>
      </c>
      <c r="I519" s="3" t="inlineStr">
        <is>
          <t>60001–75000</t>
        </is>
      </c>
      <c r="J519" s="4" t="n">
        <v>8</v>
      </c>
      <c r="K519" s="4" t="n">
        <v>60001</v>
      </c>
      <c r="L519" s="4" t="n">
        <v>75000</v>
      </c>
      <c r="M519" s="8" t="n">
        <v>0.18</v>
      </c>
      <c r="N519" s="4" t="inlineStr">
        <is>
          <t>%</t>
        </is>
      </c>
      <c r="O519" s="3" t="inlineStr">
        <is>
          <t>VitLine</t>
        </is>
      </c>
      <c r="P519" s="3" t="inlineStr">
        <is>
          <t>F30</t>
        </is>
      </c>
      <c t="str" r="Q519" s="6">
        <f>A519&amp;"|"&amp;C519&amp;"|"&amp;D519&amp;"|"&amp;G519</f>
        <v>VitLine, Казахстан|Шкала|Сервис (ЗЧ)|1</v>
      </c>
      <c t="str" r="R519" s="6">
        <f>A519&amp;"|"&amp;C519&amp;"|"&amp;D519&amp;"|"&amp;J519</f>
        <v>VitLine, Казахстан|Шкала|Сервис (ЗЧ)|8</v>
      </c>
      <c t="str" r="S519" s="6">
        <f>A519&amp;"|"&amp;C519&amp;"|"&amp;D519&amp;"|"&amp;G519&amp;"|"&amp;J519</f>
        <v>VitLine, Казахстан|Шкала|Сервис (ЗЧ)|1|8</v>
      </c>
      <c t="str" r="T519" s="6">
        <f>A519&amp;"|"&amp;C519&amp;"|"&amp;G519</f>
        <v>VitLine, Казахстан|Шкала|1</v>
      </c>
      <c t="str" r="U519" s="6">
        <f>IF(H519="да",A519&amp;"|"&amp;C519&amp;"|"&amp;D519&amp;"|"&amp;J519,"")</f>
        <v>VitLine, Казахстан|Шкала|Сервис (ЗЧ)|8</v>
      </c>
      <c t="str" r="V519" s="6">
        <f>IF(C519="План",A519&amp;"|"&amp;J519,"")</f>
        <v/>
      </c>
    </row>
    <row r="520">
      <c r="A520" s="3" t="inlineStr">
        <is>
          <t>VitLine, Казахстан</t>
        </is>
      </c>
      <c r="B520" s="3" t="inlineStr">
        <is>
          <t>Заруб</t>
        </is>
      </c>
      <c r="C520" s="3" t="inlineStr">
        <is>
          <t>Шкала</t>
        </is>
      </c>
      <c r="D520" s="3" t="inlineStr">
        <is>
          <t>Сервис (ЗЧ)</t>
        </is>
      </c>
      <c r="E520" s="3" t="inlineStr">
        <is>
          <t>Сервис (ЗЧ) — абсолютные отгрузки за 12 месяцев</t>
        </is>
      </c>
      <c r="F520" s="3" t="inlineStr">
        <is>
          <t>Скидка по сервису</t>
        </is>
      </c>
      <c r="G520" s="4" t="n">
        <v>1</v>
      </c>
      <c r="H520" s="4" t="inlineStr">
        <is>
          <t>да</t>
        </is>
      </c>
      <c r="I520" s="3" t="inlineStr">
        <is>
          <t>75001–90000</t>
        </is>
      </c>
      <c r="J520" s="4" t="n">
        <v>9</v>
      </c>
      <c r="K520" s="4" t="n">
        <v>75001</v>
      </c>
      <c r="L520" s="4" t="n">
        <v>90000</v>
      </c>
      <c r="M520" s="8" t="n">
        <v>0.19</v>
      </c>
      <c r="N520" s="4" t="inlineStr">
        <is>
          <t>%</t>
        </is>
      </c>
      <c r="O520" s="3" t="inlineStr">
        <is>
          <t>VitLine</t>
        </is>
      </c>
      <c r="P520" s="3" t="inlineStr">
        <is>
          <t>F31</t>
        </is>
      </c>
      <c t="str" r="Q520" s="6">
        <f>A520&amp;"|"&amp;C520&amp;"|"&amp;D520&amp;"|"&amp;G520</f>
        <v>VitLine, Казахстан|Шкала|Сервис (ЗЧ)|1</v>
      </c>
      <c t="str" r="R520" s="6">
        <f>A520&amp;"|"&amp;C520&amp;"|"&amp;D520&amp;"|"&amp;J520</f>
        <v>VitLine, Казахстан|Шкала|Сервис (ЗЧ)|9</v>
      </c>
      <c t="str" r="S520" s="6">
        <f>A520&amp;"|"&amp;C520&amp;"|"&amp;D520&amp;"|"&amp;G520&amp;"|"&amp;J520</f>
        <v>VitLine, Казахстан|Шкала|Сервис (ЗЧ)|1|9</v>
      </c>
      <c t="str" r="T520" s="6">
        <f>A520&amp;"|"&amp;C520&amp;"|"&amp;G520</f>
        <v>VitLine, Казахстан|Шкала|1</v>
      </c>
      <c t="str" r="U520" s="6">
        <f>IF(H520="да",A520&amp;"|"&amp;C520&amp;"|"&amp;D520&amp;"|"&amp;J520,"")</f>
        <v>VitLine, Казахстан|Шкала|Сервис (ЗЧ)|9</v>
      </c>
      <c t="str" r="V520" s="6">
        <f>IF(C520="План",A520&amp;"|"&amp;J520,"")</f>
        <v/>
      </c>
    </row>
    <row r="521">
      <c r="A521" s="3" t="inlineStr">
        <is>
          <t>VitLine, Казахстан</t>
        </is>
      </c>
      <c r="B521" s="3" t="inlineStr">
        <is>
          <t>Заруб</t>
        </is>
      </c>
      <c r="C521" s="3" t="inlineStr">
        <is>
          <t>Шкала</t>
        </is>
      </c>
      <c r="D521" s="3" t="inlineStr">
        <is>
          <t>Сервис (ЗЧ)</t>
        </is>
      </c>
      <c r="E521" s="3" t="inlineStr">
        <is>
          <t>Сервис (ЗЧ) — абсолютные отгрузки за 12 месяцев</t>
        </is>
      </c>
      <c r="F521" s="3" t="inlineStr">
        <is>
          <t>Скидка по сервису</t>
        </is>
      </c>
      <c r="G521" s="4" t="n">
        <v>1</v>
      </c>
      <c r="H521" s="4" t="inlineStr">
        <is>
          <t>да</t>
        </is>
      </c>
      <c r="I521" s="3" t="inlineStr">
        <is>
          <t>90001–105000</t>
        </is>
      </c>
      <c r="J521" s="4" t="n">
        <v>10</v>
      </c>
      <c r="K521" s="4" t="n">
        <v>90001</v>
      </c>
      <c r="L521" s="4" t="n">
        <v>105000</v>
      </c>
      <c r="M521" s="8" t="n">
        <v>0.2</v>
      </c>
      <c r="N521" s="4" t="inlineStr">
        <is>
          <t>%</t>
        </is>
      </c>
      <c r="O521" s="3" t="inlineStr">
        <is>
          <t>VitLine</t>
        </is>
      </c>
      <c r="P521" s="3" t="inlineStr">
        <is>
          <t>F32</t>
        </is>
      </c>
      <c t="str" r="Q521" s="6">
        <f>A521&amp;"|"&amp;C521&amp;"|"&amp;D521&amp;"|"&amp;G521</f>
        <v>VitLine, Казахстан|Шкала|Сервис (ЗЧ)|1</v>
      </c>
      <c t="str" r="R521" s="6">
        <f>A521&amp;"|"&amp;C521&amp;"|"&amp;D521&amp;"|"&amp;J521</f>
        <v>VitLine, Казахстан|Шкала|Сервис (ЗЧ)|10</v>
      </c>
      <c t="str" r="S521" s="6">
        <f>A521&amp;"|"&amp;C521&amp;"|"&amp;D521&amp;"|"&amp;G521&amp;"|"&amp;J521</f>
        <v>VitLine, Казахстан|Шкала|Сервис (ЗЧ)|1|10</v>
      </c>
      <c t="str" r="T521" s="6">
        <f>A521&amp;"|"&amp;C521&amp;"|"&amp;G521</f>
        <v>VitLine, Казахстан|Шкала|1</v>
      </c>
      <c t="str" r="U521" s="6">
        <f>IF(H521="да",A521&amp;"|"&amp;C521&amp;"|"&amp;D521&amp;"|"&amp;J521,"")</f>
        <v>VitLine, Казахстан|Шкала|Сервис (ЗЧ)|10</v>
      </c>
      <c t="str" r="V521" s="6">
        <f>IF(C521="План",A521&amp;"|"&amp;J521,"")</f>
        <v/>
      </c>
    </row>
    <row r="522">
      <c r="A522" s="3" t="inlineStr">
        <is>
          <t>VitLine, Казахстан</t>
        </is>
      </c>
      <c r="B522" s="3" t="inlineStr">
        <is>
          <t>Заруб</t>
        </is>
      </c>
      <c r="C522" s="3" t="inlineStr">
        <is>
          <t>Шкала</t>
        </is>
      </c>
      <c r="D522" s="3" t="inlineStr">
        <is>
          <t>Сервис (ЗЧ)</t>
        </is>
      </c>
      <c r="E522" s="3" t="inlineStr">
        <is>
          <t>Сервис (ЗЧ) — абсолютные отгрузки за 12 месяцев</t>
        </is>
      </c>
      <c r="F522" s="3" t="inlineStr">
        <is>
          <t>Скидка по сервису</t>
        </is>
      </c>
      <c r="G522" s="4" t="n">
        <v>1</v>
      </c>
      <c r="H522" s="4" t="inlineStr">
        <is>
          <t>да</t>
        </is>
      </c>
      <c r="I522" s="3" t="inlineStr">
        <is>
          <t>105001–115000</t>
        </is>
      </c>
      <c r="J522" s="4" t="n">
        <v>11</v>
      </c>
      <c r="K522" s="4" t="n">
        <v>105001</v>
      </c>
      <c r="L522" s="4" t="n">
        <v>115000</v>
      </c>
      <c r="M522" s="8" t="n">
        <v>0.21</v>
      </c>
      <c r="N522" s="4" t="inlineStr">
        <is>
          <t>%</t>
        </is>
      </c>
      <c r="O522" s="3" t="inlineStr">
        <is>
          <t>VitLine</t>
        </is>
      </c>
      <c r="P522" s="3" t="inlineStr">
        <is>
          <t>F33</t>
        </is>
      </c>
      <c t="str" r="Q522" s="6">
        <f>A522&amp;"|"&amp;C522&amp;"|"&amp;D522&amp;"|"&amp;G522</f>
        <v>VitLine, Казахстан|Шкала|Сервис (ЗЧ)|1</v>
      </c>
      <c t="str" r="R522" s="6">
        <f>A522&amp;"|"&amp;C522&amp;"|"&amp;D522&amp;"|"&amp;J522</f>
        <v>VitLine, Казахстан|Шкала|Сервис (ЗЧ)|11</v>
      </c>
      <c t="str" r="S522" s="6">
        <f>A522&amp;"|"&amp;C522&amp;"|"&amp;D522&amp;"|"&amp;G522&amp;"|"&amp;J522</f>
        <v>VitLine, Казахстан|Шкала|Сервис (ЗЧ)|1|11</v>
      </c>
      <c t="str" r="T522" s="6">
        <f>A522&amp;"|"&amp;C522&amp;"|"&amp;G522</f>
        <v>VitLine, Казахстан|Шкала|1</v>
      </c>
      <c t="str" r="U522" s="6">
        <f>IF(H522="да",A522&amp;"|"&amp;C522&amp;"|"&amp;D522&amp;"|"&amp;J522,"")</f>
        <v>VitLine, Казахстан|Шкала|Сервис (ЗЧ)|11</v>
      </c>
      <c t="str" r="V522" s="6">
        <f>IF(C522="План",A522&amp;"|"&amp;J522,"")</f>
        <v/>
      </c>
    </row>
    <row r="523">
      <c r="A523" s="3" t="inlineStr">
        <is>
          <t>VitLine, Казахстан</t>
        </is>
      </c>
      <c r="B523" s="3" t="inlineStr">
        <is>
          <t>Заруб</t>
        </is>
      </c>
      <c r="C523" s="3" t="inlineStr">
        <is>
          <t>Шкала</t>
        </is>
      </c>
      <c r="D523" s="3" t="inlineStr">
        <is>
          <t>Сервис (ЗЧ)</t>
        </is>
      </c>
      <c r="E523" s="3" t="inlineStr">
        <is>
          <t>Сервис (ЗЧ) — абсолютные отгрузки за 12 месяцев</t>
        </is>
      </c>
      <c r="F523" s="3" t="inlineStr">
        <is>
          <t>Скидка по сервису</t>
        </is>
      </c>
      <c r="G523" s="4" t="n">
        <v>1</v>
      </c>
      <c r="H523" s="4" t="inlineStr">
        <is>
          <t>да</t>
        </is>
      </c>
      <c r="I523" s="3" t="inlineStr">
        <is>
          <t>115001+</t>
        </is>
      </c>
      <c r="J523" s="4" t="n">
        <v>12</v>
      </c>
      <c r="K523" s="4" t="n">
        <v>115001</v>
      </c>
      <c r="L523" s="4" t="n">
        <v>0</v>
      </c>
      <c r="M523" s="8" t="n">
        <v>0.22</v>
      </c>
      <c r="N523" s="4" t="inlineStr">
        <is>
          <t>%</t>
        </is>
      </c>
      <c r="O523" s="3" t="inlineStr">
        <is>
          <t>VitLine</t>
        </is>
      </c>
      <c r="P523" s="3" t="inlineStr">
        <is>
          <t>F34</t>
        </is>
      </c>
      <c t="str" r="Q523" s="6">
        <f>A523&amp;"|"&amp;C523&amp;"|"&amp;D523&amp;"|"&amp;G523</f>
        <v>VitLine, Казахстан|Шкала|Сервис (ЗЧ)|1</v>
      </c>
      <c t="str" r="R523" s="6">
        <f>A523&amp;"|"&amp;C523&amp;"|"&amp;D523&amp;"|"&amp;J523</f>
        <v>VitLine, Казахстан|Шкала|Сервис (ЗЧ)|12</v>
      </c>
      <c t="str" r="S523" s="6">
        <f>A523&amp;"|"&amp;C523&amp;"|"&amp;D523&amp;"|"&amp;G523&amp;"|"&amp;J523</f>
        <v>VitLine, Казахстан|Шкала|Сервис (ЗЧ)|1|12</v>
      </c>
      <c t="str" r="T523" s="6">
        <f>A523&amp;"|"&amp;C523&amp;"|"&amp;G523</f>
        <v>VitLine, Казахстан|Шкала|1</v>
      </c>
      <c t="str" r="U523" s="6">
        <f>IF(H523="да",A523&amp;"|"&amp;C523&amp;"|"&amp;D523&amp;"|"&amp;J523,"")</f>
        <v>VitLine, Казахстан|Шкала|Сервис (ЗЧ)|12</v>
      </c>
      <c t="str" r="V523" s="6">
        <f>IF(C523="План",A523&amp;"|"&amp;J523,"")</f>
        <v/>
      </c>
    </row>
    <row r="524">
      <c r="A524" s="3" t="inlineStr">
        <is>
          <t>UNIVERSAL MEAT</t>
        </is>
      </c>
      <c r="B524" s="3" t="inlineStr">
        <is>
          <t>Заруб</t>
        </is>
      </c>
      <c r="C524" s="3" t="inlineStr">
        <is>
          <t>План</t>
        </is>
      </c>
      <c r="D524" s="3" t="inlineStr">
        <is>
          <t>Итого по дилеру</t>
        </is>
      </c>
      <c r="E524" s="3" t="inlineStr">
        <is>
          <t>План и бонусы</t>
        </is>
      </c>
      <c r="F524" s="3" t="inlineStr">
        <is>
          <t>Выручка 2024</t>
        </is>
      </c>
      <c r="G524" s="4" t="n">
        <v>1</v>
      </c>
      <c r="H524" s="4" t="n"/>
      <c r="I524" s="3" t="n"/>
      <c r="J524" s="4" t="n">
        <v>1</v>
      </c>
      <c r="K524" s="4" t="n"/>
      <c r="L524" s="4" t="n"/>
      <c r="M524" s="5" t="n">
        <v>409425</v>
      </c>
      <c r="N524" s="4" t="inlineStr">
        <is>
          <t>EUR</t>
        </is>
      </c>
      <c r="O524" s="3" t="inlineStr">
        <is>
          <t>Universal meat</t>
        </is>
      </c>
      <c r="P524" s="3" t="inlineStr">
        <is>
          <t>D4</t>
        </is>
      </c>
      <c t="str" r="Q524" s="6">
        <f>A524&amp;"|"&amp;C524&amp;"|"&amp;D524&amp;"|"&amp;G524</f>
        <v>UNIVERSAL MEAT|План|Итого по дилеру|1</v>
      </c>
      <c t="str" r="R524" s="6">
        <f>A524&amp;"|"&amp;C524&amp;"|"&amp;D524&amp;"|"&amp;J524</f>
        <v>UNIVERSAL MEAT|План|Итого по дилеру|1</v>
      </c>
      <c t="str" r="S524" s="6">
        <f>A524&amp;"|"&amp;C524&amp;"|"&amp;D524&amp;"|"&amp;G524&amp;"|"&amp;J524</f>
        <v>UNIVERSAL MEAT|План|Итого по дилеру|1|1</v>
      </c>
      <c t="str" r="T524" s="6">
        <f>A524&amp;"|"&amp;C524&amp;"|"&amp;G524</f>
        <v>UNIVERSAL MEAT|План|1</v>
      </c>
      <c t="str" r="U524" s="6">
        <f>IF(H524="да",A524&amp;"|"&amp;C524&amp;"|"&amp;D524&amp;"|"&amp;J524,"")</f>
        <v/>
      </c>
      <c t="str" r="V524" s="6">
        <f>IF(C524="План",A524&amp;"|"&amp;J524,"")</f>
        <v>UNIVERSAL MEAT|1</v>
      </c>
    </row>
    <row r="525">
      <c r="A525" s="3" t="inlineStr">
        <is>
          <t>UNIVERSAL MEAT</t>
        </is>
      </c>
      <c r="B525" s="3" t="inlineStr">
        <is>
          <t>Заруб</t>
        </is>
      </c>
      <c r="C525" s="3" t="inlineStr">
        <is>
          <t>План</t>
        </is>
      </c>
      <c r="D525" s="3" t="inlineStr">
        <is>
          <t>Итого по дилеру</t>
        </is>
      </c>
      <c r="E525" s="3" t="inlineStr">
        <is>
          <t>План и бонусы</t>
        </is>
      </c>
      <c r="F525" s="3" t="inlineStr">
        <is>
          <t>Выручка 2025</t>
        </is>
      </c>
      <c r="G525" s="4" t="n">
        <v>1</v>
      </c>
      <c r="H525" s="4" t="n"/>
      <c r="I525" s="3" t="n"/>
      <c r="J525" s="4" t="n">
        <v>2</v>
      </c>
      <c r="K525" s="4" t="n"/>
      <c r="L525" s="4" t="n"/>
      <c r="M525" s="5" t="n">
        <v>298999</v>
      </c>
      <c r="N525" s="4" t="inlineStr">
        <is>
          <t>EUR</t>
        </is>
      </c>
      <c r="O525" s="3" t="inlineStr">
        <is>
          <t>Universal meat</t>
        </is>
      </c>
      <c r="P525" s="3" t="inlineStr">
        <is>
          <t>E4</t>
        </is>
      </c>
      <c t="str" r="Q525" s="6">
        <f>A525&amp;"|"&amp;C525&amp;"|"&amp;D525&amp;"|"&amp;G525</f>
        <v>UNIVERSAL MEAT|План|Итого по дилеру|1</v>
      </c>
      <c t="str" r="R525" s="6">
        <f>A525&amp;"|"&amp;C525&amp;"|"&amp;D525&amp;"|"&amp;J525</f>
        <v>UNIVERSAL MEAT|План|Итого по дилеру|2</v>
      </c>
      <c t="str" r="S525" s="6">
        <f>A525&amp;"|"&amp;C525&amp;"|"&amp;D525&amp;"|"&amp;G525&amp;"|"&amp;J525</f>
        <v>UNIVERSAL MEAT|План|Итого по дилеру|1|2</v>
      </c>
      <c t="str" r="T525" s="6">
        <f>A525&amp;"|"&amp;C525&amp;"|"&amp;G525</f>
        <v>UNIVERSAL MEAT|План|1</v>
      </c>
      <c t="str" r="U525" s="6">
        <f>IF(H525="да",A525&amp;"|"&amp;C525&amp;"|"&amp;D525&amp;"|"&amp;J525,"")</f>
        <v/>
      </c>
      <c t="str" r="V525" s="6">
        <f>IF(C525="План",A525&amp;"|"&amp;J525,"")</f>
        <v>UNIVERSAL MEAT|2</v>
      </c>
    </row>
    <row r="526">
      <c r="A526" s="3" t="inlineStr">
        <is>
          <t>UNIVERSAL MEAT</t>
        </is>
      </c>
      <c r="B526" s="3" t="inlineStr">
        <is>
          <t>Заруб</t>
        </is>
      </c>
      <c r="C526" s="3" t="inlineStr">
        <is>
          <t>План</t>
        </is>
      </c>
      <c r="D526" s="3" t="inlineStr">
        <is>
          <t>Итого по дилеру</t>
        </is>
      </c>
      <c r="E526" s="3" t="inlineStr">
        <is>
          <t>План и бонусы</t>
        </is>
      </c>
      <c r="F526" s="3" t="inlineStr">
        <is>
          <t>План 2026</t>
        </is>
      </c>
      <c r="G526" s="4" t="n">
        <v>1</v>
      </c>
      <c r="H526" s="4" t="n"/>
      <c r="I526" s="3" t="n"/>
      <c r="J526" s="4" t="n">
        <v>3</v>
      </c>
      <c r="K526" s="4" t="n"/>
      <c r="L526" s="4" t="n"/>
      <c r="M526" s="5" t="n">
        <v>500000</v>
      </c>
      <c r="N526" s="4" t="inlineStr">
        <is>
          <t>EUR</t>
        </is>
      </c>
      <c r="O526" s="3" t="inlineStr">
        <is>
          <t>Universal meat</t>
        </is>
      </c>
      <c r="P526" s="3" t="inlineStr">
        <is>
          <t>F4</t>
        </is>
      </c>
      <c t="str" r="Q526" s="6">
        <f>A526&amp;"|"&amp;C526&amp;"|"&amp;D526&amp;"|"&amp;G526</f>
        <v>UNIVERSAL MEAT|План|Итого по дилеру|1</v>
      </c>
      <c t="str" r="R526" s="6">
        <f>A526&amp;"|"&amp;C526&amp;"|"&amp;D526&amp;"|"&amp;J526</f>
        <v>UNIVERSAL MEAT|План|Итого по дилеру|3</v>
      </c>
      <c t="str" r="S526" s="6">
        <f>A526&amp;"|"&amp;C526&amp;"|"&amp;D526&amp;"|"&amp;G526&amp;"|"&amp;J526</f>
        <v>UNIVERSAL MEAT|План|Итого по дилеру|1|3</v>
      </c>
      <c t="str" r="T526" s="6">
        <f>A526&amp;"|"&amp;C526&amp;"|"&amp;G526</f>
        <v>UNIVERSAL MEAT|План|1</v>
      </c>
      <c t="str" r="U526" s="6">
        <f>IF(H526="да",A526&amp;"|"&amp;C526&amp;"|"&amp;D526&amp;"|"&amp;J526,"")</f>
        <v/>
      </c>
      <c t="str" r="V526" s="6">
        <f>IF(C526="План",A526&amp;"|"&amp;J526,"")</f>
        <v>UNIVERSAL MEAT|3</v>
      </c>
    </row>
    <row r="527">
      <c r="A527" s="3" t="inlineStr">
        <is>
          <t>UNIVERSAL MEAT</t>
        </is>
      </c>
      <c r="B527" s="3" t="inlineStr">
        <is>
          <t>Заруб</t>
        </is>
      </c>
      <c r="C527" s="3" t="inlineStr">
        <is>
          <t>План</t>
        </is>
      </c>
      <c r="D527" s="3" t="inlineStr">
        <is>
          <t>Итого по дилеру</t>
        </is>
      </c>
      <c r="E527" s="3" t="inlineStr">
        <is>
          <t>План и бонусы</t>
        </is>
      </c>
      <c r="F527" s="3" t="inlineStr">
        <is>
          <t>Прирост П/Ф</t>
        </is>
      </c>
      <c r="G527" s="4" t="n">
        <v>1</v>
      </c>
      <c r="H527" s="4" t="n"/>
      <c r="I527" s="3" t="n"/>
      <c r="J527" s="4" t="n">
        <v>4</v>
      </c>
      <c r="K527" s="4" t="n"/>
      <c r="L527" s="4" t="n"/>
      <c r="M527" s="7" t="n">
        <v>0.6722463954728946</v>
      </c>
      <c r="N527" s="4" t="inlineStr">
        <is>
          <t>%</t>
        </is>
      </c>
      <c r="O527" s="3" t="inlineStr">
        <is>
          <t>Universal meat</t>
        </is>
      </c>
      <c r="P527" s="3" t="inlineStr">
        <is>
          <t>G4</t>
        </is>
      </c>
      <c t="str" r="Q527" s="6">
        <f>A527&amp;"|"&amp;C527&amp;"|"&amp;D527&amp;"|"&amp;G527</f>
        <v>UNIVERSAL MEAT|План|Итого по дилеру|1</v>
      </c>
      <c t="str" r="R527" s="6">
        <f>A527&amp;"|"&amp;C527&amp;"|"&amp;D527&amp;"|"&amp;J527</f>
        <v>UNIVERSAL MEAT|План|Итого по дилеру|4</v>
      </c>
      <c t="str" r="S527" s="6">
        <f>A527&amp;"|"&amp;C527&amp;"|"&amp;D527&amp;"|"&amp;G527&amp;"|"&amp;J527</f>
        <v>UNIVERSAL MEAT|План|Итого по дилеру|1|4</v>
      </c>
      <c t="str" r="T527" s="6">
        <f>A527&amp;"|"&amp;C527&amp;"|"&amp;G527</f>
        <v>UNIVERSAL MEAT|План|1</v>
      </c>
      <c t="str" r="U527" s="6">
        <f>IF(H527="да",A527&amp;"|"&amp;C527&amp;"|"&amp;D527&amp;"|"&amp;J527,"")</f>
        <v/>
      </c>
      <c t="str" r="V527" s="6">
        <f>IF(C527="План",A527&amp;"|"&amp;J527,"")</f>
        <v>UNIVERSAL MEAT|4</v>
      </c>
    </row>
    <row r="528">
      <c r="A528" s="3" t="inlineStr">
        <is>
          <t>UNIVERSAL MEAT</t>
        </is>
      </c>
      <c r="B528" s="3" t="inlineStr">
        <is>
          <t>Заруб</t>
        </is>
      </c>
      <c r="C528" s="3" t="inlineStr">
        <is>
          <t>План</t>
        </is>
      </c>
      <c r="D528" s="3" t="inlineStr">
        <is>
          <t>Сервис</t>
        </is>
      </c>
      <c r="E528" s="3" t="inlineStr">
        <is>
          <t>План и бонусы</t>
        </is>
      </c>
      <c r="F528" s="3" t="inlineStr">
        <is>
          <t>Выручка 2024</t>
        </is>
      </c>
      <c r="G528" s="4" t="n">
        <v>2</v>
      </c>
      <c r="H528" s="4" t="n"/>
      <c r="I528" s="3" t="n"/>
      <c r="J528" s="4" t="n">
        <v>1</v>
      </c>
      <c r="K528" s="4" t="n"/>
      <c r="L528" s="4" t="n"/>
      <c r="M528" s="5" t="n">
        <v>290</v>
      </c>
      <c r="N528" s="4" t="inlineStr">
        <is>
          <t>EUR</t>
        </is>
      </c>
      <c r="O528" s="3" t="inlineStr">
        <is>
          <t>Universal meat</t>
        </is>
      </c>
      <c r="P528" s="3" t="inlineStr">
        <is>
          <t>D5</t>
        </is>
      </c>
      <c t="str" r="Q528" s="6">
        <f>A528&amp;"|"&amp;C528&amp;"|"&amp;D528&amp;"|"&amp;G528</f>
        <v>UNIVERSAL MEAT|План|Сервис|2</v>
      </c>
      <c t="str" r="R528" s="6">
        <f>A528&amp;"|"&amp;C528&amp;"|"&amp;D528&amp;"|"&amp;J528</f>
        <v>UNIVERSAL MEAT|План|Сервис|1</v>
      </c>
      <c t="str" r="S528" s="6">
        <f>A528&amp;"|"&amp;C528&amp;"|"&amp;D528&amp;"|"&amp;G528&amp;"|"&amp;J528</f>
        <v>UNIVERSAL MEAT|План|Сервис|2|1</v>
      </c>
      <c t="str" r="T528" s="6">
        <f>A528&amp;"|"&amp;C528&amp;"|"&amp;G528</f>
        <v>UNIVERSAL MEAT|План|2</v>
      </c>
      <c t="str" r="U528" s="6">
        <f>IF(H528="да",A528&amp;"|"&amp;C528&amp;"|"&amp;D528&amp;"|"&amp;J528,"")</f>
        <v/>
      </c>
      <c t="str" r="V528" s="6">
        <f>IF(C528="План",A528&amp;"|"&amp;J528,"")</f>
        <v>UNIVERSAL MEAT|1</v>
      </c>
    </row>
    <row r="529">
      <c r="A529" s="3" t="inlineStr">
        <is>
          <t>UNIVERSAL MEAT</t>
        </is>
      </c>
      <c r="B529" s="3" t="inlineStr">
        <is>
          <t>Заруб</t>
        </is>
      </c>
      <c r="C529" s="3" t="inlineStr">
        <is>
          <t>План</t>
        </is>
      </c>
      <c r="D529" s="3" t="inlineStr">
        <is>
          <t>Сервис</t>
        </is>
      </c>
      <c r="E529" s="3" t="inlineStr">
        <is>
          <t>План и бонусы</t>
        </is>
      </c>
      <c r="F529" s="3" t="inlineStr">
        <is>
          <t>Выручка 2025</t>
        </is>
      </c>
      <c r="G529" s="4" t="n">
        <v>2</v>
      </c>
      <c r="H529" s="4" t="n"/>
      <c r="I529" s="3" t="n"/>
      <c r="J529" s="4" t="n">
        <v>2</v>
      </c>
      <c r="K529" s="4" t="n"/>
      <c r="L529" s="4" t="n"/>
      <c r="M529" s="5" t="n">
        <v>12622</v>
      </c>
      <c r="N529" s="4" t="inlineStr">
        <is>
          <t>EUR</t>
        </is>
      </c>
      <c r="O529" s="3" t="inlineStr">
        <is>
          <t>Universal meat</t>
        </is>
      </c>
      <c r="P529" s="3" t="inlineStr">
        <is>
          <t>E5</t>
        </is>
      </c>
      <c t="str" r="Q529" s="6">
        <f>A529&amp;"|"&amp;C529&amp;"|"&amp;D529&amp;"|"&amp;G529</f>
        <v>UNIVERSAL MEAT|План|Сервис|2</v>
      </c>
      <c t="str" r="R529" s="6">
        <f>A529&amp;"|"&amp;C529&amp;"|"&amp;D529&amp;"|"&amp;J529</f>
        <v>UNIVERSAL MEAT|План|Сервис|2</v>
      </c>
      <c t="str" r="S529" s="6">
        <f>A529&amp;"|"&amp;C529&amp;"|"&amp;D529&amp;"|"&amp;G529&amp;"|"&amp;J529</f>
        <v>UNIVERSAL MEAT|План|Сервис|2|2</v>
      </c>
      <c t="str" r="T529" s="6">
        <f>A529&amp;"|"&amp;C529&amp;"|"&amp;G529</f>
        <v>UNIVERSAL MEAT|План|2</v>
      </c>
      <c t="str" r="U529" s="6">
        <f>IF(H529="да",A529&amp;"|"&amp;C529&amp;"|"&amp;D529&amp;"|"&amp;J529,"")</f>
        <v/>
      </c>
      <c t="str" r="V529" s="6">
        <f>IF(C529="План",A529&amp;"|"&amp;J529,"")</f>
        <v>UNIVERSAL MEAT|2</v>
      </c>
    </row>
    <row r="530">
      <c r="A530" s="3" t="inlineStr">
        <is>
          <t>UNIVERSAL MEAT</t>
        </is>
      </c>
      <c r="B530" s="3" t="inlineStr">
        <is>
          <t>Заруб</t>
        </is>
      </c>
      <c r="C530" s="3" t="inlineStr">
        <is>
          <t>План</t>
        </is>
      </c>
      <c r="D530" s="3" t="inlineStr">
        <is>
          <t>Сервис</t>
        </is>
      </c>
      <c r="E530" s="3" t="inlineStr">
        <is>
          <t>План и бонусы</t>
        </is>
      </c>
      <c r="F530" s="3" t="inlineStr">
        <is>
          <t>План 2026</t>
        </is>
      </c>
      <c r="G530" s="4" t="n">
        <v>2</v>
      </c>
      <c r="H530" s="4" t="n"/>
      <c r="I530" s="3" t="n"/>
      <c r="J530" s="4" t="n">
        <v>3</v>
      </c>
      <c r="K530" s="4" t="n"/>
      <c r="L530" s="4" t="n"/>
      <c r="M530" s="5" t="n">
        <v>50000</v>
      </c>
      <c r="N530" s="4" t="inlineStr">
        <is>
          <t>EUR</t>
        </is>
      </c>
      <c r="O530" s="3" t="inlineStr">
        <is>
          <t>Universal meat</t>
        </is>
      </c>
      <c r="P530" s="3" t="inlineStr">
        <is>
          <t>F5</t>
        </is>
      </c>
      <c t="str" r="Q530" s="6">
        <f>A530&amp;"|"&amp;C530&amp;"|"&amp;D530&amp;"|"&amp;G530</f>
        <v>UNIVERSAL MEAT|План|Сервис|2</v>
      </c>
      <c t="str" r="R530" s="6">
        <f>A530&amp;"|"&amp;C530&amp;"|"&amp;D530&amp;"|"&amp;J530</f>
        <v>UNIVERSAL MEAT|План|Сервис|3</v>
      </c>
      <c t="str" r="S530" s="6">
        <f>A530&amp;"|"&amp;C530&amp;"|"&amp;D530&amp;"|"&amp;G530&amp;"|"&amp;J530</f>
        <v>UNIVERSAL MEAT|План|Сервис|2|3</v>
      </c>
      <c t="str" r="T530" s="6">
        <f>A530&amp;"|"&amp;C530&amp;"|"&amp;G530</f>
        <v>UNIVERSAL MEAT|План|2</v>
      </c>
      <c t="str" r="U530" s="6">
        <f>IF(H530="да",A530&amp;"|"&amp;C530&amp;"|"&amp;D530&amp;"|"&amp;J530,"")</f>
        <v/>
      </c>
      <c t="str" r="V530" s="6">
        <f>IF(C530="План",A530&amp;"|"&amp;J530,"")</f>
        <v>UNIVERSAL MEAT|3</v>
      </c>
    </row>
    <row r="531">
      <c r="A531" s="3" t="inlineStr">
        <is>
          <t>UNIVERSAL MEAT</t>
        </is>
      </c>
      <c r="B531" s="3" t="inlineStr">
        <is>
          <t>Заруб</t>
        </is>
      </c>
      <c r="C531" s="3" t="inlineStr">
        <is>
          <t>План</t>
        </is>
      </c>
      <c r="D531" s="3" t="inlineStr">
        <is>
          <t>Сервис</t>
        </is>
      </c>
      <c r="E531" s="3" t="inlineStr">
        <is>
          <t>План и бонусы</t>
        </is>
      </c>
      <c r="F531" s="3" t="inlineStr">
        <is>
          <t>Размер бонуса по итогам 2026 г</t>
        </is>
      </c>
      <c r="G531" s="4" t="n">
        <v>2</v>
      </c>
      <c r="H531" s="4" t="n"/>
      <c r="I531" s="3" t="n"/>
      <c r="J531" s="4" t="n">
        <v>5</v>
      </c>
      <c r="K531" s="4" t="n"/>
      <c r="L531" s="4" t="n"/>
      <c r="M531" s="7" t="n">
        <v>0.01</v>
      </c>
      <c r="N531" s="4" t="inlineStr">
        <is>
          <t>%</t>
        </is>
      </c>
      <c r="O531" s="3" t="inlineStr">
        <is>
          <t>Universal meat</t>
        </is>
      </c>
      <c r="P531" s="3" t="inlineStr">
        <is>
          <t>H5</t>
        </is>
      </c>
      <c t="str" r="Q531" s="6">
        <f>A531&amp;"|"&amp;C531&amp;"|"&amp;D531&amp;"|"&amp;G531</f>
        <v>UNIVERSAL MEAT|План|Сервис|2</v>
      </c>
      <c t="str" r="R531" s="6">
        <f>A531&amp;"|"&amp;C531&amp;"|"&amp;D531&amp;"|"&amp;J531</f>
        <v>UNIVERSAL MEAT|План|Сервис|5</v>
      </c>
      <c t="str" r="S531" s="6">
        <f>A531&amp;"|"&amp;C531&amp;"|"&amp;D531&amp;"|"&amp;G531&amp;"|"&amp;J531</f>
        <v>UNIVERSAL MEAT|План|Сервис|2|5</v>
      </c>
      <c t="str" r="T531" s="6">
        <f>A531&amp;"|"&amp;C531&amp;"|"&amp;G531</f>
        <v>UNIVERSAL MEAT|План|2</v>
      </c>
      <c t="str" r="U531" s="6">
        <f>IF(H531="да",A531&amp;"|"&amp;C531&amp;"|"&amp;D531&amp;"|"&amp;J531,"")</f>
        <v/>
      </c>
      <c t="str" r="V531" s="6">
        <f>IF(C531="План",A531&amp;"|"&amp;J531,"")</f>
        <v>UNIVERSAL MEAT|5</v>
      </c>
    </row>
    <row r="532">
      <c r="A532" s="3" t="inlineStr">
        <is>
          <t>UNIVERSAL MEAT</t>
        </is>
      </c>
      <c r="B532" s="3" t="inlineStr">
        <is>
          <t>Заруб</t>
        </is>
      </c>
      <c r="C532" s="3" t="inlineStr">
        <is>
          <t>План</t>
        </is>
      </c>
      <c r="D532" s="3" t="inlineStr">
        <is>
          <t>Сервис</t>
        </is>
      </c>
      <c r="E532" s="3" t="inlineStr">
        <is>
          <t>План и бонусы</t>
        </is>
      </c>
      <c r="F532" s="3" t="inlineStr">
        <is>
          <t>Скидка в 1 кв. 2026 ф.г.*</t>
        </is>
      </c>
      <c r="G532" s="4" t="n">
        <v>2</v>
      </c>
      <c r="H532" s="4" t="n"/>
      <c r="I532" s="3" t="n"/>
      <c r="J532" s="4" t="n">
        <v>6</v>
      </c>
      <c r="K532" s="4" t="n"/>
      <c r="L532" s="4" t="n"/>
      <c r="M532" s="8" t="n">
        <v>0.15</v>
      </c>
      <c r="N532" s="4" t="inlineStr">
        <is>
          <t>%</t>
        </is>
      </c>
      <c r="O532" s="3" t="inlineStr">
        <is>
          <t>Universal meat</t>
        </is>
      </c>
      <c r="P532" s="3" t="inlineStr">
        <is>
          <t>I5</t>
        </is>
      </c>
      <c t="str" r="Q532" s="6">
        <f>A532&amp;"|"&amp;C532&amp;"|"&amp;D532&amp;"|"&amp;G532</f>
        <v>UNIVERSAL MEAT|План|Сервис|2</v>
      </c>
      <c t="str" r="R532" s="6">
        <f>A532&amp;"|"&amp;C532&amp;"|"&amp;D532&amp;"|"&amp;J532</f>
        <v>UNIVERSAL MEAT|План|Сервис|6</v>
      </c>
      <c t="str" r="S532" s="6">
        <f>A532&amp;"|"&amp;C532&amp;"|"&amp;D532&amp;"|"&amp;G532&amp;"|"&amp;J532</f>
        <v>UNIVERSAL MEAT|План|Сервис|2|6</v>
      </c>
      <c t="str" r="T532" s="6">
        <f>A532&amp;"|"&amp;C532&amp;"|"&amp;G532</f>
        <v>UNIVERSAL MEAT|План|2</v>
      </c>
      <c t="str" r="U532" s="6">
        <f>IF(H532="да",A532&amp;"|"&amp;C532&amp;"|"&amp;D532&amp;"|"&amp;J532,"")</f>
        <v/>
      </c>
      <c t="str" r="V532" s="6">
        <f>IF(C532="План",A532&amp;"|"&amp;J532,"")</f>
        <v>UNIVERSAL MEAT|6</v>
      </c>
    </row>
    <row r="533">
      <c r="A533" s="3" t="inlineStr">
        <is>
          <t>UNIVERSAL MEAT</t>
        </is>
      </c>
      <c r="B533" s="3" t="inlineStr">
        <is>
          <t>Заруб</t>
        </is>
      </c>
      <c r="C533" s="3" t="inlineStr">
        <is>
          <t>План</t>
        </is>
      </c>
      <c r="D533" s="3" t="inlineStr">
        <is>
          <t>Оборудование</t>
        </is>
      </c>
      <c r="E533" s="3" t="inlineStr">
        <is>
          <t>План и бонусы</t>
        </is>
      </c>
      <c r="F533" s="3" t="inlineStr">
        <is>
          <t>Выручка 2024</t>
        </is>
      </c>
      <c r="G533" s="4" t="n">
        <v>3</v>
      </c>
      <c r="H533" s="4" t="n"/>
      <c r="I533" s="3" t="n"/>
      <c r="J533" s="4" t="n">
        <v>1</v>
      </c>
      <c r="K533" s="4" t="n"/>
      <c r="L533" s="4" t="n"/>
      <c r="M533" s="5" t="n">
        <v>270070</v>
      </c>
      <c r="N533" s="4" t="inlineStr">
        <is>
          <t>EUR</t>
        </is>
      </c>
      <c r="O533" s="3" t="inlineStr">
        <is>
          <t>Universal meat</t>
        </is>
      </c>
      <c r="P533" s="3" t="inlineStr">
        <is>
          <t>D6</t>
        </is>
      </c>
      <c t="str" r="Q533" s="6">
        <f>A533&amp;"|"&amp;C533&amp;"|"&amp;D533&amp;"|"&amp;G533</f>
        <v>UNIVERSAL MEAT|План|Оборудование|3</v>
      </c>
      <c t="str" r="R533" s="6">
        <f>A533&amp;"|"&amp;C533&amp;"|"&amp;D533&amp;"|"&amp;J533</f>
        <v>UNIVERSAL MEAT|План|Оборудование|1</v>
      </c>
      <c t="str" r="S533" s="6">
        <f>A533&amp;"|"&amp;C533&amp;"|"&amp;D533&amp;"|"&amp;G533&amp;"|"&amp;J533</f>
        <v>UNIVERSAL MEAT|План|Оборудование|3|1</v>
      </c>
      <c t="str" r="T533" s="6">
        <f>A533&amp;"|"&amp;C533&amp;"|"&amp;G533</f>
        <v>UNIVERSAL MEAT|План|3</v>
      </c>
      <c t="str" r="U533" s="6">
        <f>IF(H533="да",A533&amp;"|"&amp;C533&amp;"|"&amp;D533&amp;"|"&amp;J533,"")</f>
        <v/>
      </c>
      <c t="str" r="V533" s="6">
        <f>IF(C533="План",A533&amp;"|"&amp;J533,"")</f>
        <v>UNIVERSAL MEAT|1</v>
      </c>
    </row>
    <row r="534">
      <c r="A534" s="3" t="inlineStr">
        <is>
          <t>UNIVERSAL MEAT</t>
        </is>
      </c>
      <c r="B534" s="3" t="inlineStr">
        <is>
          <t>Заруб</t>
        </is>
      </c>
      <c r="C534" s="3" t="inlineStr">
        <is>
          <t>План</t>
        </is>
      </c>
      <c r="D534" s="3" t="inlineStr">
        <is>
          <t>Оборудование</t>
        </is>
      </c>
      <c r="E534" s="3" t="inlineStr">
        <is>
          <t>План и бонусы</t>
        </is>
      </c>
      <c r="F534" s="3" t="inlineStr">
        <is>
          <t>Выручка 2025</t>
        </is>
      </c>
      <c r="G534" s="4" t="n">
        <v>3</v>
      </c>
      <c r="H534" s="4" t="n"/>
      <c r="I534" s="3" t="n"/>
      <c r="J534" s="4" t="n">
        <v>2</v>
      </c>
      <c r="K534" s="4" t="n"/>
      <c r="L534" s="4" t="n"/>
      <c r="M534" s="5" t="n">
        <v>62269</v>
      </c>
      <c r="N534" s="4" t="inlineStr">
        <is>
          <t>EUR</t>
        </is>
      </c>
      <c r="O534" s="3" t="inlineStr">
        <is>
          <t>Universal meat</t>
        </is>
      </c>
      <c r="P534" s="3" t="inlineStr">
        <is>
          <t>E6</t>
        </is>
      </c>
      <c t="str" r="Q534" s="6">
        <f>A534&amp;"|"&amp;C534&amp;"|"&amp;D534&amp;"|"&amp;G534</f>
        <v>UNIVERSAL MEAT|План|Оборудование|3</v>
      </c>
      <c t="str" r="R534" s="6">
        <f>A534&amp;"|"&amp;C534&amp;"|"&amp;D534&amp;"|"&amp;J534</f>
        <v>UNIVERSAL MEAT|План|Оборудование|2</v>
      </c>
      <c t="str" r="S534" s="6">
        <f>A534&amp;"|"&amp;C534&amp;"|"&amp;D534&amp;"|"&amp;G534&amp;"|"&amp;J534</f>
        <v>UNIVERSAL MEAT|План|Оборудование|3|2</v>
      </c>
      <c t="str" r="T534" s="6">
        <f>A534&amp;"|"&amp;C534&amp;"|"&amp;G534</f>
        <v>UNIVERSAL MEAT|План|3</v>
      </c>
      <c t="str" r="U534" s="6">
        <f>IF(H534="да",A534&amp;"|"&amp;C534&amp;"|"&amp;D534&amp;"|"&amp;J534,"")</f>
        <v/>
      </c>
      <c t="str" r="V534" s="6">
        <f>IF(C534="План",A534&amp;"|"&amp;J534,"")</f>
        <v>UNIVERSAL MEAT|2</v>
      </c>
    </row>
    <row r="535">
      <c r="A535" s="3" t="inlineStr">
        <is>
          <t>UNIVERSAL MEAT</t>
        </is>
      </c>
      <c r="B535" s="3" t="inlineStr">
        <is>
          <t>Заруб</t>
        </is>
      </c>
      <c r="C535" s="3" t="inlineStr">
        <is>
          <t>План</t>
        </is>
      </c>
      <c r="D535" s="3" t="inlineStr">
        <is>
          <t>Оборудование</t>
        </is>
      </c>
      <c r="E535" s="3" t="inlineStr">
        <is>
          <t>План и бонусы</t>
        </is>
      </c>
      <c r="F535" s="3" t="inlineStr">
        <is>
          <t>План 2026</t>
        </is>
      </c>
      <c r="G535" s="4" t="n">
        <v>3</v>
      </c>
      <c r="H535" s="4" t="n"/>
      <c r="I535" s="3" t="n"/>
      <c r="J535" s="4" t="n">
        <v>3</v>
      </c>
      <c r="K535" s="4" t="n"/>
      <c r="L535" s="4" t="n"/>
      <c r="M535" s="5" t="n">
        <v>200000</v>
      </c>
      <c r="N535" s="4" t="inlineStr">
        <is>
          <t>EUR</t>
        </is>
      </c>
      <c r="O535" s="3" t="inlineStr">
        <is>
          <t>Universal meat</t>
        </is>
      </c>
      <c r="P535" s="3" t="inlineStr">
        <is>
          <t>F6</t>
        </is>
      </c>
      <c t="str" r="Q535" s="6">
        <f>A535&amp;"|"&amp;C535&amp;"|"&amp;D535&amp;"|"&amp;G535</f>
        <v>UNIVERSAL MEAT|План|Оборудование|3</v>
      </c>
      <c t="str" r="R535" s="6">
        <f>A535&amp;"|"&amp;C535&amp;"|"&amp;D535&amp;"|"&amp;J535</f>
        <v>UNIVERSAL MEAT|План|Оборудование|3</v>
      </c>
      <c t="str" r="S535" s="6">
        <f>A535&amp;"|"&amp;C535&amp;"|"&amp;D535&amp;"|"&amp;G535&amp;"|"&amp;J535</f>
        <v>UNIVERSAL MEAT|План|Оборудование|3|3</v>
      </c>
      <c t="str" r="T535" s="6">
        <f>A535&amp;"|"&amp;C535&amp;"|"&amp;G535</f>
        <v>UNIVERSAL MEAT|План|3</v>
      </c>
      <c t="str" r="U535" s="6">
        <f>IF(H535="да",A535&amp;"|"&amp;C535&amp;"|"&amp;D535&amp;"|"&amp;J535,"")</f>
        <v/>
      </c>
      <c t="str" r="V535" s="6">
        <f>IF(C535="План",A535&amp;"|"&amp;J535,"")</f>
        <v>UNIVERSAL MEAT|3</v>
      </c>
    </row>
    <row r="536">
      <c r="A536" s="3" t="inlineStr">
        <is>
          <t>UNIVERSAL MEAT</t>
        </is>
      </c>
      <c r="B536" s="3" t="inlineStr">
        <is>
          <t>Заруб</t>
        </is>
      </c>
      <c r="C536" s="3" t="inlineStr">
        <is>
          <t>План</t>
        </is>
      </c>
      <c r="D536" s="3" t="inlineStr">
        <is>
          <t>Оборудование</t>
        </is>
      </c>
      <c r="E536" s="3" t="inlineStr">
        <is>
          <t>План и бонусы</t>
        </is>
      </c>
      <c r="F536" s="3" t="inlineStr">
        <is>
          <t>Размер бонуса по итогам 2026 г</t>
        </is>
      </c>
      <c r="G536" s="4" t="n">
        <v>3</v>
      </c>
      <c r="H536" s="4" t="n"/>
      <c r="I536" s="3" t="n"/>
      <c r="J536" s="4" t="n">
        <v>5</v>
      </c>
      <c r="K536" s="4" t="n"/>
      <c r="L536" s="4" t="n"/>
      <c r="M536" s="7" t="n">
        <v>0.015</v>
      </c>
      <c r="N536" s="4" t="inlineStr">
        <is>
          <t>%</t>
        </is>
      </c>
      <c r="O536" s="3" t="inlineStr">
        <is>
          <t>Universal meat</t>
        </is>
      </c>
      <c r="P536" s="3" t="inlineStr">
        <is>
          <t>H6</t>
        </is>
      </c>
      <c t="str" r="Q536" s="6">
        <f>A536&amp;"|"&amp;C536&amp;"|"&amp;D536&amp;"|"&amp;G536</f>
        <v>UNIVERSAL MEAT|План|Оборудование|3</v>
      </c>
      <c t="str" r="R536" s="6">
        <f>A536&amp;"|"&amp;C536&amp;"|"&amp;D536&amp;"|"&amp;J536</f>
        <v>UNIVERSAL MEAT|План|Оборудование|5</v>
      </c>
      <c t="str" r="S536" s="6">
        <f>A536&amp;"|"&amp;C536&amp;"|"&amp;D536&amp;"|"&amp;G536&amp;"|"&amp;J536</f>
        <v>UNIVERSAL MEAT|План|Оборудование|3|5</v>
      </c>
      <c t="str" r="T536" s="6">
        <f>A536&amp;"|"&amp;C536&amp;"|"&amp;G536</f>
        <v>UNIVERSAL MEAT|План|3</v>
      </c>
      <c t="str" r="U536" s="6">
        <f>IF(H536="да",A536&amp;"|"&amp;C536&amp;"|"&amp;D536&amp;"|"&amp;J536,"")</f>
        <v/>
      </c>
      <c t="str" r="V536" s="6">
        <f>IF(C536="План",A536&amp;"|"&amp;J536,"")</f>
        <v>UNIVERSAL MEAT|5</v>
      </c>
    </row>
    <row r="537">
      <c r="A537" s="3" t="inlineStr">
        <is>
          <t>UNIVERSAL MEAT</t>
        </is>
      </c>
      <c r="B537" s="3" t="inlineStr">
        <is>
          <t>Заруб</t>
        </is>
      </c>
      <c r="C537" s="3" t="inlineStr">
        <is>
          <t>План</t>
        </is>
      </c>
      <c r="D537" s="3" t="inlineStr">
        <is>
          <t>Оборудование</t>
        </is>
      </c>
      <c r="E537" s="3" t="inlineStr">
        <is>
          <t>План и бонусы</t>
        </is>
      </c>
      <c r="F537" s="3" t="inlineStr">
        <is>
          <t>Скидка в 1 кв. 2026 ф.г.*</t>
        </is>
      </c>
      <c r="G537" s="4" t="n">
        <v>3</v>
      </c>
      <c r="H537" s="4" t="n"/>
      <c r="I537" s="3" t="n"/>
      <c r="J537" s="4" t="n">
        <v>6</v>
      </c>
      <c r="K537" s="4" t="n"/>
      <c r="L537" s="4" t="n"/>
      <c r="M537" s="8" t="n">
        <v>0.16</v>
      </c>
      <c r="N537" s="4" t="inlineStr">
        <is>
          <t>%</t>
        </is>
      </c>
      <c r="O537" s="3" t="inlineStr">
        <is>
          <t>Universal meat</t>
        </is>
      </c>
      <c r="P537" s="3" t="inlineStr">
        <is>
          <t>I6</t>
        </is>
      </c>
      <c t="str" r="Q537" s="6">
        <f>A537&amp;"|"&amp;C537&amp;"|"&amp;D537&amp;"|"&amp;G537</f>
        <v>UNIVERSAL MEAT|План|Оборудование|3</v>
      </c>
      <c t="str" r="R537" s="6">
        <f>A537&amp;"|"&amp;C537&amp;"|"&amp;D537&amp;"|"&amp;J537</f>
        <v>UNIVERSAL MEAT|План|Оборудование|6</v>
      </c>
      <c t="str" r="S537" s="6">
        <f>A537&amp;"|"&amp;C537&amp;"|"&amp;D537&amp;"|"&amp;G537&amp;"|"&amp;J537</f>
        <v>UNIVERSAL MEAT|План|Оборудование|3|6</v>
      </c>
      <c t="str" r="T537" s="6">
        <f>A537&amp;"|"&amp;C537&amp;"|"&amp;G537</f>
        <v>UNIVERSAL MEAT|План|3</v>
      </c>
      <c t="str" r="U537" s="6">
        <f>IF(H537="да",A537&amp;"|"&amp;C537&amp;"|"&amp;D537&amp;"|"&amp;J537,"")</f>
        <v/>
      </c>
      <c t="str" r="V537" s="6">
        <f>IF(C537="План",A537&amp;"|"&amp;J537,"")</f>
        <v>UNIVERSAL MEAT|6</v>
      </c>
    </row>
    <row r="538">
      <c r="A538" s="3" t="inlineStr">
        <is>
          <t>UNIVERSAL MEAT</t>
        </is>
      </c>
      <c r="B538" s="3" t="inlineStr">
        <is>
          <t>Заруб</t>
        </is>
      </c>
      <c r="C538" s="3" t="inlineStr">
        <is>
          <t>План</t>
        </is>
      </c>
      <c r="D538" s="3" t="inlineStr">
        <is>
          <t>Расходные материалы</t>
        </is>
      </c>
      <c r="E538" s="3" t="inlineStr">
        <is>
          <t>План и бонусы</t>
        </is>
      </c>
      <c r="F538" s="3" t="inlineStr">
        <is>
          <t>Выручка 2024</t>
        </is>
      </c>
      <c r="G538" s="4" t="n">
        <v>4</v>
      </c>
      <c r="H538" s="4" t="n"/>
      <c r="I538" s="3" t="n"/>
      <c r="J538" s="4" t="n">
        <v>1</v>
      </c>
      <c r="K538" s="4" t="n"/>
      <c r="L538" s="4" t="n"/>
      <c r="M538" s="5" t="n">
        <v>139065</v>
      </c>
      <c r="N538" s="4" t="inlineStr">
        <is>
          <t>EUR</t>
        </is>
      </c>
      <c r="O538" s="3" t="inlineStr">
        <is>
          <t>Universal meat</t>
        </is>
      </c>
      <c r="P538" s="3" t="inlineStr">
        <is>
          <t>D7</t>
        </is>
      </c>
      <c t="str" r="Q538" s="6">
        <f>A538&amp;"|"&amp;C538&amp;"|"&amp;D538&amp;"|"&amp;G538</f>
        <v>UNIVERSAL MEAT|План|Расходные материалы|4</v>
      </c>
      <c t="str" r="R538" s="6">
        <f>A538&amp;"|"&amp;C538&amp;"|"&amp;D538&amp;"|"&amp;J538</f>
        <v>UNIVERSAL MEAT|План|Расходные материалы|1</v>
      </c>
      <c t="str" r="S538" s="6">
        <f>A538&amp;"|"&amp;C538&amp;"|"&amp;D538&amp;"|"&amp;G538&amp;"|"&amp;J538</f>
        <v>UNIVERSAL MEAT|План|Расходные материалы|4|1</v>
      </c>
      <c t="str" r="T538" s="6">
        <f>A538&amp;"|"&amp;C538&amp;"|"&amp;G538</f>
        <v>UNIVERSAL MEAT|План|4</v>
      </c>
      <c t="str" r="U538" s="6">
        <f>IF(H538="да",A538&amp;"|"&amp;C538&amp;"|"&amp;D538&amp;"|"&amp;J538,"")</f>
        <v/>
      </c>
      <c t="str" r="V538" s="6">
        <f>IF(C538="План",A538&amp;"|"&amp;J538,"")</f>
        <v>UNIVERSAL MEAT|1</v>
      </c>
    </row>
    <row r="539">
      <c r="A539" s="3" t="inlineStr">
        <is>
          <t>UNIVERSAL MEAT</t>
        </is>
      </c>
      <c r="B539" s="3" t="inlineStr">
        <is>
          <t>Заруб</t>
        </is>
      </c>
      <c r="C539" s="3" t="inlineStr">
        <is>
          <t>План</t>
        </is>
      </c>
      <c r="D539" s="3" t="inlineStr">
        <is>
          <t>Расходные материалы</t>
        </is>
      </c>
      <c r="E539" s="3" t="inlineStr">
        <is>
          <t>План и бонусы</t>
        </is>
      </c>
      <c r="F539" s="3" t="inlineStr">
        <is>
          <t>Выручка 2025</t>
        </is>
      </c>
      <c r="G539" s="4" t="n">
        <v>4</v>
      </c>
      <c r="H539" s="4" t="n"/>
      <c r="I539" s="3" t="n"/>
      <c r="J539" s="4" t="n">
        <v>2</v>
      </c>
      <c r="K539" s="4" t="n"/>
      <c r="L539" s="4" t="n"/>
      <c r="M539" s="5" t="n">
        <v>224108</v>
      </c>
      <c r="N539" s="4" t="inlineStr">
        <is>
          <t>EUR</t>
        </is>
      </c>
      <c r="O539" s="3" t="inlineStr">
        <is>
          <t>Universal meat</t>
        </is>
      </c>
      <c r="P539" s="3" t="inlineStr">
        <is>
          <t>E7</t>
        </is>
      </c>
      <c t="str" r="Q539" s="6">
        <f>A539&amp;"|"&amp;C539&amp;"|"&amp;D539&amp;"|"&amp;G539</f>
        <v>UNIVERSAL MEAT|План|Расходные материалы|4</v>
      </c>
      <c t="str" r="R539" s="6">
        <f>A539&amp;"|"&amp;C539&amp;"|"&amp;D539&amp;"|"&amp;J539</f>
        <v>UNIVERSAL MEAT|План|Расходные материалы|2</v>
      </c>
      <c t="str" r="S539" s="6">
        <f>A539&amp;"|"&amp;C539&amp;"|"&amp;D539&amp;"|"&amp;G539&amp;"|"&amp;J539</f>
        <v>UNIVERSAL MEAT|План|Расходные материалы|4|2</v>
      </c>
      <c t="str" r="T539" s="6">
        <f>A539&amp;"|"&amp;C539&amp;"|"&amp;G539</f>
        <v>UNIVERSAL MEAT|План|4</v>
      </c>
      <c t="str" r="U539" s="6">
        <f>IF(H539="да",A539&amp;"|"&amp;C539&amp;"|"&amp;D539&amp;"|"&amp;J539,"")</f>
        <v/>
      </c>
      <c t="str" r="V539" s="6">
        <f>IF(C539="План",A539&amp;"|"&amp;J539,"")</f>
        <v>UNIVERSAL MEAT|2</v>
      </c>
    </row>
    <row r="540">
      <c r="A540" s="3" t="inlineStr">
        <is>
          <t>UNIVERSAL MEAT</t>
        </is>
      </c>
      <c r="B540" s="3" t="inlineStr">
        <is>
          <t>Заруб</t>
        </is>
      </c>
      <c r="C540" s="3" t="inlineStr">
        <is>
          <t>План</t>
        </is>
      </c>
      <c r="D540" s="3" t="inlineStr">
        <is>
          <t>Расходные материалы</t>
        </is>
      </c>
      <c r="E540" s="3" t="inlineStr">
        <is>
          <t>План и бонусы</t>
        </is>
      </c>
      <c r="F540" s="3" t="inlineStr">
        <is>
          <t>План 2026</t>
        </is>
      </c>
      <c r="G540" s="4" t="n">
        <v>4</v>
      </c>
      <c r="H540" s="4" t="n"/>
      <c r="I540" s="3" t="n"/>
      <c r="J540" s="4" t="n">
        <v>3</v>
      </c>
      <c r="K540" s="4" t="n"/>
      <c r="L540" s="4" t="n"/>
      <c r="M540" s="5" t="n">
        <v>250000</v>
      </c>
      <c r="N540" s="4" t="inlineStr">
        <is>
          <t>EUR</t>
        </is>
      </c>
      <c r="O540" s="3" t="inlineStr">
        <is>
          <t>Universal meat</t>
        </is>
      </c>
      <c r="P540" s="3" t="inlineStr">
        <is>
          <t>F7</t>
        </is>
      </c>
      <c t="str" r="Q540" s="6">
        <f>A540&amp;"|"&amp;C540&amp;"|"&amp;D540&amp;"|"&amp;G540</f>
        <v>UNIVERSAL MEAT|План|Расходные материалы|4</v>
      </c>
      <c t="str" r="R540" s="6">
        <f>A540&amp;"|"&amp;C540&amp;"|"&amp;D540&amp;"|"&amp;J540</f>
        <v>UNIVERSAL MEAT|План|Расходные материалы|3</v>
      </c>
      <c t="str" r="S540" s="6">
        <f>A540&amp;"|"&amp;C540&amp;"|"&amp;D540&amp;"|"&amp;G540&amp;"|"&amp;J540</f>
        <v>UNIVERSAL MEAT|План|Расходные материалы|4|3</v>
      </c>
      <c t="str" r="T540" s="6">
        <f>A540&amp;"|"&amp;C540&amp;"|"&amp;G540</f>
        <v>UNIVERSAL MEAT|План|4</v>
      </c>
      <c t="str" r="U540" s="6">
        <f>IF(H540="да",A540&amp;"|"&amp;C540&amp;"|"&amp;D540&amp;"|"&amp;J540,"")</f>
        <v/>
      </c>
      <c t="str" r="V540" s="6">
        <f>IF(C540="План",A540&amp;"|"&amp;J540,"")</f>
        <v>UNIVERSAL MEAT|3</v>
      </c>
    </row>
    <row r="541">
      <c r="A541" s="3" t="inlineStr">
        <is>
          <t>UNIVERSAL MEAT</t>
        </is>
      </c>
      <c r="B541" s="3" t="inlineStr">
        <is>
          <t>Заруб</t>
        </is>
      </c>
      <c r="C541" s="3" t="inlineStr">
        <is>
          <t>План</t>
        </is>
      </c>
      <c r="D541" s="3" t="inlineStr">
        <is>
          <t>Расходные материалы</t>
        </is>
      </c>
      <c r="E541" s="3" t="inlineStr">
        <is>
          <t>План и бонусы</t>
        </is>
      </c>
      <c r="F541" s="3" t="inlineStr">
        <is>
          <t>Размер бонуса по итогам 2026 г</t>
        </is>
      </c>
      <c r="G541" s="4" t="n">
        <v>4</v>
      </c>
      <c r="H541" s="4" t="n"/>
      <c r="I541" s="3" t="n"/>
      <c r="J541" s="4" t="n">
        <v>5</v>
      </c>
      <c r="K541" s="4" t="n"/>
      <c r="L541" s="4" t="n"/>
      <c r="M541" s="7" t="n">
        <v>0.005</v>
      </c>
      <c r="N541" s="4" t="inlineStr">
        <is>
          <t>%</t>
        </is>
      </c>
      <c r="O541" s="3" t="inlineStr">
        <is>
          <t>Universal meat</t>
        </is>
      </c>
      <c r="P541" s="3" t="inlineStr">
        <is>
          <t>H7</t>
        </is>
      </c>
      <c t="str" r="Q541" s="6">
        <f>A541&amp;"|"&amp;C541&amp;"|"&amp;D541&amp;"|"&amp;G541</f>
        <v>UNIVERSAL MEAT|План|Расходные материалы|4</v>
      </c>
      <c t="str" r="R541" s="6">
        <f>A541&amp;"|"&amp;C541&amp;"|"&amp;D541&amp;"|"&amp;J541</f>
        <v>UNIVERSAL MEAT|План|Расходные материалы|5</v>
      </c>
      <c t="str" r="S541" s="6">
        <f>A541&amp;"|"&amp;C541&amp;"|"&amp;D541&amp;"|"&amp;G541&amp;"|"&amp;J541</f>
        <v>UNIVERSAL MEAT|План|Расходные материалы|4|5</v>
      </c>
      <c t="str" r="T541" s="6">
        <f>A541&amp;"|"&amp;C541&amp;"|"&amp;G541</f>
        <v>UNIVERSAL MEAT|План|4</v>
      </c>
      <c t="str" r="U541" s="6">
        <f>IF(H541="да",A541&amp;"|"&amp;C541&amp;"|"&amp;D541&amp;"|"&amp;J541,"")</f>
        <v/>
      </c>
      <c t="str" r="V541" s="6">
        <f>IF(C541="План",A541&amp;"|"&amp;J541,"")</f>
        <v>UNIVERSAL MEAT|5</v>
      </c>
    </row>
    <row r="542">
      <c r="A542" s="3" t="inlineStr">
        <is>
          <t>UNIVERSAL MEAT</t>
        </is>
      </c>
      <c r="B542" s="3" t="inlineStr">
        <is>
          <t>Заруб</t>
        </is>
      </c>
      <c r="C542" s="3" t="inlineStr">
        <is>
          <t>Шкала</t>
        </is>
      </c>
      <c r="D542" s="3" t="inlineStr">
        <is>
          <t>Оборудование</t>
        </is>
      </c>
      <c r="E542" s="3" t="inlineStr">
        <is>
          <t>Оборудование — за полугодие</t>
        </is>
      </c>
      <c r="F542" s="3" t="inlineStr">
        <is>
          <t>Базовое вознаграждение за Дилерский договор</t>
        </is>
      </c>
      <c r="G542" s="4" t="n">
        <v>1</v>
      </c>
      <c r="H542" s="4" t="n"/>
      <c r="I542" s="3" t="inlineStr">
        <is>
          <t>до 75</t>
        </is>
      </c>
      <c r="J542" s="4" t="n">
        <v>1</v>
      </c>
      <c r="K542" s="4" t="n"/>
      <c r="L542" s="4" t="n"/>
      <c r="M542" s="8" t="n">
        <v>0.06</v>
      </c>
      <c r="N542" s="4" t="inlineStr">
        <is>
          <t>%</t>
        </is>
      </c>
      <c r="O542" s="3" t="inlineStr">
        <is>
          <t>Universal meat</t>
        </is>
      </c>
      <c r="P542" s="3" t="inlineStr">
        <is>
          <t>E15</t>
        </is>
      </c>
      <c t="str" r="Q542" s="6">
        <f>A542&amp;"|"&amp;C542&amp;"|"&amp;D542&amp;"|"&amp;G542</f>
        <v>UNIVERSAL MEAT|Шкала|Оборудование|1</v>
      </c>
      <c t="str" r="R542" s="6">
        <f>A542&amp;"|"&amp;C542&amp;"|"&amp;D542&amp;"|"&amp;J542</f>
        <v>UNIVERSAL MEAT|Шкала|Оборудование|1</v>
      </c>
      <c t="str" r="S542" s="6">
        <f>A542&amp;"|"&amp;C542&amp;"|"&amp;D542&amp;"|"&amp;G542&amp;"|"&amp;J542</f>
        <v>UNIVERSAL MEAT|Шкала|Оборудование|1|1</v>
      </c>
      <c t="str" r="T542" s="6">
        <f>A542&amp;"|"&amp;C542&amp;"|"&amp;G542</f>
        <v>UNIVERSAL MEAT|Шкала|1</v>
      </c>
      <c t="str" r="U542" s="6">
        <f>IF(H542="да",A542&amp;"|"&amp;C542&amp;"|"&amp;D542&amp;"|"&amp;J542,"")</f>
        <v/>
      </c>
      <c t="str" r="V542" s="6">
        <f>IF(C542="План",A542&amp;"|"&amp;J542,"")</f>
        <v/>
      </c>
    </row>
    <row r="543">
      <c r="A543" s="3" t="inlineStr">
        <is>
          <t>UNIVERSAL MEAT</t>
        </is>
      </c>
      <c r="B543" s="3" t="inlineStr">
        <is>
          <t>Заруб</t>
        </is>
      </c>
      <c r="C543" s="3" t="inlineStr">
        <is>
          <t>Шкала</t>
        </is>
      </c>
      <c r="D543" s="3" t="inlineStr">
        <is>
          <t>Оборудование</t>
        </is>
      </c>
      <c r="E543" s="3" t="inlineStr">
        <is>
          <t>Оборудование — за полугодие</t>
        </is>
      </c>
      <c r="F543" s="3" t="inlineStr">
        <is>
          <t>Базовое вознаграждение за Дилерский договор</t>
        </is>
      </c>
      <c r="G543" s="4" t="n">
        <v>1</v>
      </c>
      <c r="H543" s="4" t="n"/>
      <c r="I543" s="3" t="inlineStr">
        <is>
          <t>75-114</t>
        </is>
      </c>
      <c r="J543" s="4" t="n">
        <v>2</v>
      </c>
      <c r="K543" s="4" t="n"/>
      <c r="L543" s="4" t="n"/>
      <c r="M543" s="8" t="n">
        <v>0.06</v>
      </c>
      <c r="N543" s="4" t="inlineStr">
        <is>
          <t>%</t>
        </is>
      </c>
      <c r="O543" s="3" t="inlineStr">
        <is>
          <t>Universal meat</t>
        </is>
      </c>
      <c r="P543" s="3" t="inlineStr">
        <is>
          <t>F15</t>
        </is>
      </c>
      <c t="str" r="Q543" s="6">
        <f>A543&amp;"|"&amp;C543&amp;"|"&amp;D543&amp;"|"&amp;G543</f>
        <v>UNIVERSAL MEAT|Шкала|Оборудование|1</v>
      </c>
      <c t="str" r="R543" s="6">
        <f>A543&amp;"|"&amp;C543&amp;"|"&amp;D543&amp;"|"&amp;J543</f>
        <v>UNIVERSAL MEAT|Шкала|Оборудование|2</v>
      </c>
      <c t="str" r="S543" s="6">
        <f>A543&amp;"|"&amp;C543&amp;"|"&amp;D543&amp;"|"&amp;G543&amp;"|"&amp;J543</f>
        <v>UNIVERSAL MEAT|Шкала|Оборудование|1|2</v>
      </c>
      <c t="str" r="T543" s="6">
        <f>A543&amp;"|"&amp;C543&amp;"|"&amp;G543</f>
        <v>UNIVERSAL MEAT|Шкала|1</v>
      </c>
      <c t="str" r="U543" s="6">
        <f>IF(H543="да",A543&amp;"|"&amp;C543&amp;"|"&amp;D543&amp;"|"&amp;J543,"")</f>
        <v/>
      </c>
      <c t="str" r="V543" s="6">
        <f>IF(C543="План",A543&amp;"|"&amp;J543,"")</f>
        <v/>
      </c>
    </row>
    <row r="544">
      <c r="A544" s="3" t="inlineStr">
        <is>
          <t>UNIVERSAL MEAT</t>
        </is>
      </c>
      <c r="B544" s="3" t="inlineStr">
        <is>
          <t>Заруб</t>
        </is>
      </c>
      <c r="C544" s="3" t="inlineStr">
        <is>
          <t>Шкала</t>
        </is>
      </c>
      <c r="D544" s="3" t="inlineStr">
        <is>
          <t>Оборудование</t>
        </is>
      </c>
      <c r="E544" s="3" t="inlineStr">
        <is>
          <t>Оборудование — за полугодие</t>
        </is>
      </c>
      <c r="F544" s="3" t="inlineStr">
        <is>
          <t>Базовое вознаграждение за Дилерский договор</t>
        </is>
      </c>
      <c r="G544" s="4" t="n">
        <v>1</v>
      </c>
      <c r="H544" s="4" t="n"/>
      <c r="I544" s="3" t="inlineStr">
        <is>
          <t>115-149</t>
        </is>
      </c>
      <c r="J544" s="4" t="n">
        <v>3</v>
      </c>
      <c r="K544" s="4" t="n"/>
      <c r="L544" s="4" t="n"/>
      <c r="M544" s="8" t="n">
        <v>0.06</v>
      </c>
      <c r="N544" s="4" t="inlineStr">
        <is>
          <t>%</t>
        </is>
      </c>
      <c r="O544" s="3" t="inlineStr">
        <is>
          <t>Universal meat</t>
        </is>
      </c>
      <c r="P544" s="3" t="inlineStr">
        <is>
          <t>G15</t>
        </is>
      </c>
      <c t="str" r="Q544" s="6">
        <f>A544&amp;"|"&amp;C544&amp;"|"&amp;D544&amp;"|"&amp;G544</f>
        <v>UNIVERSAL MEAT|Шкала|Оборудование|1</v>
      </c>
      <c t="str" r="R544" s="6">
        <f>A544&amp;"|"&amp;C544&amp;"|"&amp;D544&amp;"|"&amp;J544</f>
        <v>UNIVERSAL MEAT|Шкала|Оборудование|3</v>
      </c>
      <c t="str" r="S544" s="6">
        <f>A544&amp;"|"&amp;C544&amp;"|"&amp;D544&amp;"|"&amp;G544&amp;"|"&amp;J544</f>
        <v>UNIVERSAL MEAT|Шкала|Оборудование|1|3</v>
      </c>
      <c t="str" r="T544" s="6">
        <f>A544&amp;"|"&amp;C544&amp;"|"&amp;G544</f>
        <v>UNIVERSAL MEAT|Шкала|1</v>
      </c>
      <c t="str" r="U544" s="6">
        <f>IF(H544="да",A544&amp;"|"&amp;C544&amp;"|"&amp;D544&amp;"|"&amp;J544,"")</f>
        <v/>
      </c>
      <c t="str" r="V544" s="6">
        <f>IF(C544="План",A544&amp;"|"&amp;J544,"")</f>
        <v/>
      </c>
    </row>
    <row r="545">
      <c r="A545" s="3" t="inlineStr">
        <is>
          <t>UNIVERSAL MEAT</t>
        </is>
      </c>
      <c r="B545" s="3" t="inlineStr">
        <is>
          <t>Заруб</t>
        </is>
      </c>
      <c r="C545" s="3" t="inlineStr">
        <is>
          <t>Шкала</t>
        </is>
      </c>
      <c r="D545" s="3" t="inlineStr">
        <is>
          <t>Оборудование</t>
        </is>
      </c>
      <c r="E545" s="3" t="inlineStr">
        <is>
          <t>Оборудование — за полугодие</t>
        </is>
      </c>
      <c r="F545" s="3" t="inlineStr">
        <is>
          <t>Базовое вознаграждение за Дилерский договор</t>
        </is>
      </c>
      <c r="G545" s="4" t="n">
        <v>1</v>
      </c>
      <c r="H545" s="4" t="n"/>
      <c r="I545" s="3" t="inlineStr">
        <is>
          <t>150-189</t>
        </is>
      </c>
      <c r="J545" s="4" t="n">
        <v>4</v>
      </c>
      <c r="K545" s="4" t="n"/>
      <c r="L545" s="4" t="n"/>
      <c r="M545" s="8" t="n">
        <v>0.06</v>
      </c>
      <c r="N545" s="4" t="inlineStr">
        <is>
          <t>%</t>
        </is>
      </c>
      <c r="O545" s="3" t="inlineStr">
        <is>
          <t>Universal meat</t>
        </is>
      </c>
      <c r="P545" s="3" t="inlineStr">
        <is>
          <t>H15</t>
        </is>
      </c>
      <c t="str" r="Q545" s="6">
        <f>A545&amp;"|"&amp;C545&amp;"|"&amp;D545&amp;"|"&amp;G545</f>
        <v>UNIVERSAL MEAT|Шкала|Оборудование|1</v>
      </c>
      <c t="str" r="R545" s="6">
        <f>A545&amp;"|"&amp;C545&amp;"|"&amp;D545&amp;"|"&amp;J545</f>
        <v>UNIVERSAL MEAT|Шкала|Оборудование|4</v>
      </c>
      <c t="str" r="S545" s="6">
        <f>A545&amp;"|"&amp;C545&amp;"|"&amp;D545&amp;"|"&amp;G545&amp;"|"&amp;J545</f>
        <v>UNIVERSAL MEAT|Шкала|Оборудование|1|4</v>
      </c>
      <c t="str" r="T545" s="6">
        <f>A545&amp;"|"&amp;C545&amp;"|"&amp;G545</f>
        <v>UNIVERSAL MEAT|Шкала|1</v>
      </c>
      <c t="str" r="U545" s="6">
        <f>IF(H545="да",A545&amp;"|"&amp;C545&amp;"|"&amp;D545&amp;"|"&amp;J545,"")</f>
        <v/>
      </c>
      <c t="str" r="V545" s="6">
        <f>IF(C545="План",A545&amp;"|"&amp;J545,"")</f>
        <v/>
      </c>
    </row>
    <row r="546">
      <c r="A546" s="3" t="inlineStr">
        <is>
          <t>UNIVERSAL MEAT</t>
        </is>
      </c>
      <c r="B546" s="3" t="inlineStr">
        <is>
          <t>Заруб</t>
        </is>
      </c>
      <c r="C546" s="3" t="inlineStr">
        <is>
          <t>Шкала</t>
        </is>
      </c>
      <c r="D546" s="3" t="inlineStr">
        <is>
          <t>Оборудование</t>
        </is>
      </c>
      <c r="E546" s="3" t="inlineStr">
        <is>
          <t>Оборудование — за полугодие</t>
        </is>
      </c>
      <c r="F546" s="3" t="inlineStr">
        <is>
          <t>Базовое вознаграждение за Дилерский договор</t>
        </is>
      </c>
      <c r="G546" s="4" t="n">
        <v>1</v>
      </c>
      <c r="H546" s="4" t="n"/>
      <c r="I546" s="3" t="inlineStr">
        <is>
          <t>190-224</t>
        </is>
      </c>
      <c r="J546" s="4" t="n">
        <v>5</v>
      </c>
      <c r="K546" s="4" t="n"/>
      <c r="L546" s="4" t="n"/>
      <c r="M546" s="8" t="n">
        <v>0.06</v>
      </c>
      <c r="N546" s="4" t="inlineStr">
        <is>
          <t>%</t>
        </is>
      </c>
      <c r="O546" s="3" t="inlineStr">
        <is>
          <t>Universal meat</t>
        </is>
      </c>
      <c r="P546" s="3" t="inlineStr">
        <is>
          <t>I15</t>
        </is>
      </c>
      <c t="str" r="Q546" s="6">
        <f>A546&amp;"|"&amp;C546&amp;"|"&amp;D546&amp;"|"&amp;G546</f>
        <v>UNIVERSAL MEAT|Шкала|Оборудование|1</v>
      </c>
      <c t="str" r="R546" s="6">
        <f>A546&amp;"|"&amp;C546&amp;"|"&amp;D546&amp;"|"&amp;J546</f>
        <v>UNIVERSAL MEAT|Шкала|Оборудование|5</v>
      </c>
      <c t="str" r="S546" s="6">
        <f>A546&amp;"|"&amp;C546&amp;"|"&amp;D546&amp;"|"&amp;G546&amp;"|"&amp;J546</f>
        <v>UNIVERSAL MEAT|Шкала|Оборудование|1|5</v>
      </c>
      <c t="str" r="T546" s="6">
        <f>A546&amp;"|"&amp;C546&amp;"|"&amp;G546</f>
        <v>UNIVERSAL MEAT|Шкала|1</v>
      </c>
      <c t="str" r="U546" s="6">
        <f>IF(H546="да",A546&amp;"|"&amp;C546&amp;"|"&amp;D546&amp;"|"&amp;J546,"")</f>
        <v/>
      </c>
      <c t="str" r="V546" s="6">
        <f>IF(C546="План",A546&amp;"|"&amp;J546,"")</f>
        <v/>
      </c>
    </row>
    <row r="547">
      <c r="A547" s="3" t="inlineStr">
        <is>
          <t>UNIVERSAL MEAT</t>
        </is>
      </c>
      <c r="B547" s="3" t="inlineStr">
        <is>
          <t>Заруб</t>
        </is>
      </c>
      <c r="C547" s="3" t="inlineStr">
        <is>
          <t>Шкала</t>
        </is>
      </c>
      <c r="D547" s="3" t="inlineStr">
        <is>
          <t>Оборудование</t>
        </is>
      </c>
      <c r="E547" s="3" t="inlineStr">
        <is>
          <t>Оборудование — за полугодие</t>
        </is>
      </c>
      <c r="F547" s="3" t="inlineStr">
        <is>
          <t>Базовое вознаграждение за Дилерский договор</t>
        </is>
      </c>
      <c r="G547" s="4" t="n">
        <v>1</v>
      </c>
      <c r="H547" s="4" t="n"/>
      <c r="I547" s="3" t="inlineStr">
        <is>
          <t>225 и более</t>
        </is>
      </c>
      <c r="J547" s="4" t="n">
        <v>6</v>
      </c>
      <c r="K547" s="4" t="n"/>
      <c r="L547" s="4" t="n"/>
      <c r="M547" s="8" t="n">
        <v>0.06</v>
      </c>
      <c r="N547" s="4" t="inlineStr">
        <is>
          <t>%</t>
        </is>
      </c>
      <c r="O547" s="3" t="inlineStr">
        <is>
          <t>Universal meat</t>
        </is>
      </c>
      <c r="P547" s="3" t="inlineStr">
        <is>
          <t>J15</t>
        </is>
      </c>
      <c t="str" r="Q547" s="6">
        <f>A547&amp;"|"&amp;C547&amp;"|"&amp;D547&amp;"|"&amp;G547</f>
        <v>UNIVERSAL MEAT|Шкала|Оборудование|1</v>
      </c>
      <c t="str" r="R547" s="6">
        <f>A547&amp;"|"&amp;C547&amp;"|"&amp;D547&amp;"|"&amp;J547</f>
        <v>UNIVERSAL MEAT|Шкала|Оборудование|6</v>
      </c>
      <c t="str" r="S547" s="6">
        <f>A547&amp;"|"&amp;C547&amp;"|"&amp;D547&amp;"|"&amp;G547&amp;"|"&amp;J547</f>
        <v>UNIVERSAL MEAT|Шкала|Оборудование|1|6</v>
      </c>
      <c t="str" r="T547" s="6">
        <f>A547&amp;"|"&amp;C547&amp;"|"&amp;G547</f>
        <v>UNIVERSAL MEAT|Шкала|1</v>
      </c>
      <c t="str" r="U547" s="6">
        <f>IF(H547="да",A547&amp;"|"&amp;C547&amp;"|"&amp;D547&amp;"|"&amp;J547,"")</f>
        <v/>
      </c>
      <c t="str" r="V547" s="6">
        <f>IF(C547="План",A547&amp;"|"&amp;J547,"")</f>
        <v/>
      </c>
    </row>
    <row r="548">
      <c r="A548" s="3" t="inlineStr">
        <is>
          <t>UNIVERSAL MEAT</t>
        </is>
      </c>
      <c r="B548" s="3" t="inlineStr">
        <is>
          <t>Заруб</t>
        </is>
      </c>
      <c r="C548" s="3" t="inlineStr">
        <is>
          <t>Шкала</t>
        </is>
      </c>
      <c r="D548" s="3" t="inlineStr">
        <is>
          <t>Оборудование</t>
        </is>
      </c>
      <c r="E548" s="3" t="inlineStr">
        <is>
          <t>Оборудование — за полугодие</t>
        </is>
      </c>
      <c r="F548" s="3" t="inlineStr">
        <is>
          <t>Наличие сервисного центра и гарантийное обслуживание</t>
        </is>
      </c>
      <c r="G548" s="4" t="n">
        <v>2</v>
      </c>
      <c r="H548" s="4" t="n"/>
      <c r="I548" s="3" t="inlineStr">
        <is>
          <t>до 75</t>
        </is>
      </c>
      <c r="J548" s="4" t="n">
        <v>1</v>
      </c>
      <c r="K548" s="4" t="n"/>
      <c r="L548" s="4" t="n"/>
      <c r="M548" s="8" t="n">
        <v>0.01</v>
      </c>
      <c r="N548" s="4" t="inlineStr">
        <is>
          <t>%</t>
        </is>
      </c>
      <c r="O548" s="3" t="inlineStr">
        <is>
          <t>Universal meat</t>
        </is>
      </c>
      <c r="P548" s="3" t="inlineStr">
        <is>
          <t>E16</t>
        </is>
      </c>
      <c t="str" r="Q548" s="6">
        <f>A548&amp;"|"&amp;C548&amp;"|"&amp;D548&amp;"|"&amp;G548</f>
        <v>UNIVERSAL MEAT|Шкала|Оборудование|2</v>
      </c>
      <c t="str" r="R548" s="6">
        <f>A548&amp;"|"&amp;C548&amp;"|"&amp;D548&amp;"|"&amp;J548</f>
        <v>UNIVERSAL MEAT|Шкала|Оборудование|1</v>
      </c>
      <c t="str" r="S548" s="6">
        <f>A548&amp;"|"&amp;C548&amp;"|"&amp;D548&amp;"|"&amp;G548&amp;"|"&amp;J548</f>
        <v>UNIVERSAL MEAT|Шкала|Оборудование|2|1</v>
      </c>
      <c t="str" r="T548" s="6">
        <f>A548&amp;"|"&amp;C548&amp;"|"&amp;G548</f>
        <v>UNIVERSAL MEAT|Шкала|2</v>
      </c>
      <c t="str" r="U548" s="6">
        <f>IF(H548="да",A548&amp;"|"&amp;C548&amp;"|"&amp;D548&amp;"|"&amp;J548,"")</f>
        <v/>
      </c>
      <c t="str" r="V548" s="6">
        <f>IF(C548="План",A548&amp;"|"&amp;J548,"")</f>
        <v/>
      </c>
    </row>
    <row r="549">
      <c r="A549" s="3" t="inlineStr">
        <is>
          <t>UNIVERSAL MEAT</t>
        </is>
      </c>
      <c r="B549" s="3" t="inlineStr">
        <is>
          <t>Заруб</t>
        </is>
      </c>
      <c r="C549" s="3" t="inlineStr">
        <is>
          <t>Шкала</t>
        </is>
      </c>
      <c r="D549" s="3" t="inlineStr">
        <is>
          <t>Оборудование</t>
        </is>
      </c>
      <c r="E549" s="3" t="inlineStr">
        <is>
          <t>Оборудование — за полугодие</t>
        </is>
      </c>
      <c r="F549" s="3" t="inlineStr">
        <is>
          <t>Наличие сервисного центра и гарантийное обслуживание</t>
        </is>
      </c>
      <c r="G549" s="4" t="n">
        <v>2</v>
      </c>
      <c r="H549" s="4" t="n"/>
      <c r="I549" s="3" t="inlineStr">
        <is>
          <t>75-114</t>
        </is>
      </c>
      <c r="J549" s="4" t="n">
        <v>2</v>
      </c>
      <c r="K549" s="4" t="n"/>
      <c r="L549" s="4" t="n"/>
      <c r="M549" s="8" t="n">
        <v>0.01</v>
      </c>
      <c r="N549" s="4" t="inlineStr">
        <is>
          <t>%</t>
        </is>
      </c>
      <c r="O549" s="3" t="inlineStr">
        <is>
          <t>Universal meat</t>
        </is>
      </c>
      <c r="P549" s="3" t="inlineStr">
        <is>
          <t>F16</t>
        </is>
      </c>
      <c t="str" r="Q549" s="6">
        <f>A549&amp;"|"&amp;C549&amp;"|"&amp;D549&amp;"|"&amp;G549</f>
        <v>UNIVERSAL MEAT|Шкала|Оборудование|2</v>
      </c>
      <c t="str" r="R549" s="6">
        <f>A549&amp;"|"&amp;C549&amp;"|"&amp;D549&amp;"|"&amp;J549</f>
        <v>UNIVERSAL MEAT|Шкала|Оборудование|2</v>
      </c>
      <c t="str" r="S549" s="6">
        <f>A549&amp;"|"&amp;C549&amp;"|"&amp;D549&amp;"|"&amp;G549&amp;"|"&amp;J549</f>
        <v>UNIVERSAL MEAT|Шкала|Оборудование|2|2</v>
      </c>
      <c t="str" r="T549" s="6">
        <f>A549&amp;"|"&amp;C549&amp;"|"&amp;G549</f>
        <v>UNIVERSAL MEAT|Шкала|2</v>
      </c>
      <c t="str" r="U549" s="6">
        <f>IF(H549="да",A549&amp;"|"&amp;C549&amp;"|"&amp;D549&amp;"|"&amp;J549,"")</f>
        <v/>
      </c>
      <c t="str" r="V549" s="6">
        <f>IF(C549="План",A549&amp;"|"&amp;J549,"")</f>
        <v/>
      </c>
    </row>
    <row r="550">
      <c r="A550" s="3" t="inlineStr">
        <is>
          <t>UNIVERSAL MEAT</t>
        </is>
      </c>
      <c r="B550" s="3" t="inlineStr">
        <is>
          <t>Заруб</t>
        </is>
      </c>
      <c r="C550" s="3" t="inlineStr">
        <is>
          <t>Шкала</t>
        </is>
      </c>
      <c r="D550" s="3" t="inlineStr">
        <is>
          <t>Оборудование</t>
        </is>
      </c>
      <c r="E550" s="3" t="inlineStr">
        <is>
          <t>Оборудование — за полугодие</t>
        </is>
      </c>
      <c r="F550" s="3" t="inlineStr">
        <is>
          <t>Наличие сервисного центра и гарантийное обслуживание</t>
        </is>
      </c>
      <c r="G550" s="4" t="n">
        <v>2</v>
      </c>
      <c r="H550" s="4" t="n"/>
      <c r="I550" s="3" t="inlineStr">
        <is>
          <t>115-149</t>
        </is>
      </c>
      <c r="J550" s="4" t="n">
        <v>3</v>
      </c>
      <c r="K550" s="4" t="n"/>
      <c r="L550" s="4" t="n"/>
      <c r="M550" s="8" t="n">
        <v>0.01</v>
      </c>
      <c r="N550" s="4" t="inlineStr">
        <is>
          <t>%</t>
        </is>
      </c>
      <c r="O550" s="3" t="inlineStr">
        <is>
          <t>Universal meat</t>
        </is>
      </c>
      <c r="P550" s="3" t="inlineStr">
        <is>
          <t>G16</t>
        </is>
      </c>
      <c t="str" r="Q550" s="6">
        <f>A550&amp;"|"&amp;C550&amp;"|"&amp;D550&amp;"|"&amp;G550</f>
        <v>UNIVERSAL MEAT|Шкала|Оборудование|2</v>
      </c>
      <c t="str" r="R550" s="6">
        <f>A550&amp;"|"&amp;C550&amp;"|"&amp;D550&amp;"|"&amp;J550</f>
        <v>UNIVERSAL MEAT|Шкала|Оборудование|3</v>
      </c>
      <c t="str" r="S550" s="6">
        <f>A550&amp;"|"&amp;C550&amp;"|"&amp;D550&amp;"|"&amp;G550&amp;"|"&amp;J550</f>
        <v>UNIVERSAL MEAT|Шкала|Оборудование|2|3</v>
      </c>
      <c t="str" r="T550" s="6">
        <f>A550&amp;"|"&amp;C550&amp;"|"&amp;G550</f>
        <v>UNIVERSAL MEAT|Шкала|2</v>
      </c>
      <c t="str" r="U550" s="6">
        <f>IF(H550="да",A550&amp;"|"&amp;C550&amp;"|"&amp;D550&amp;"|"&amp;J550,"")</f>
        <v/>
      </c>
      <c t="str" r="V550" s="6">
        <f>IF(C550="План",A550&amp;"|"&amp;J550,"")</f>
        <v/>
      </c>
    </row>
    <row r="551">
      <c r="A551" s="3" t="inlineStr">
        <is>
          <t>UNIVERSAL MEAT</t>
        </is>
      </c>
      <c r="B551" s="3" t="inlineStr">
        <is>
          <t>Заруб</t>
        </is>
      </c>
      <c r="C551" s="3" t="inlineStr">
        <is>
          <t>Шкала</t>
        </is>
      </c>
      <c r="D551" s="3" t="inlineStr">
        <is>
          <t>Оборудование</t>
        </is>
      </c>
      <c r="E551" s="3" t="inlineStr">
        <is>
          <t>Оборудование — за полугодие</t>
        </is>
      </c>
      <c r="F551" s="3" t="inlineStr">
        <is>
          <t>Наличие сервисного центра и гарантийное обслуживание</t>
        </is>
      </c>
      <c r="G551" s="4" t="n">
        <v>2</v>
      </c>
      <c r="H551" s="4" t="n"/>
      <c r="I551" s="3" t="inlineStr">
        <is>
          <t>150-189</t>
        </is>
      </c>
      <c r="J551" s="4" t="n">
        <v>4</v>
      </c>
      <c r="K551" s="4" t="n"/>
      <c r="L551" s="4" t="n"/>
      <c r="M551" s="8" t="n">
        <v>0.01</v>
      </c>
      <c r="N551" s="4" t="inlineStr">
        <is>
          <t>%</t>
        </is>
      </c>
      <c r="O551" s="3" t="inlineStr">
        <is>
          <t>Universal meat</t>
        </is>
      </c>
      <c r="P551" s="3" t="inlineStr">
        <is>
          <t>H16</t>
        </is>
      </c>
      <c t="str" r="Q551" s="6">
        <f>A551&amp;"|"&amp;C551&amp;"|"&amp;D551&amp;"|"&amp;G551</f>
        <v>UNIVERSAL MEAT|Шкала|Оборудование|2</v>
      </c>
      <c t="str" r="R551" s="6">
        <f>A551&amp;"|"&amp;C551&amp;"|"&amp;D551&amp;"|"&amp;J551</f>
        <v>UNIVERSAL MEAT|Шкала|Оборудование|4</v>
      </c>
      <c t="str" r="S551" s="6">
        <f>A551&amp;"|"&amp;C551&amp;"|"&amp;D551&amp;"|"&amp;G551&amp;"|"&amp;J551</f>
        <v>UNIVERSAL MEAT|Шкала|Оборудование|2|4</v>
      </c>
      <c t="str" r="T551" s="6">
        <f>A551&amp;"|"&amp;C551&amp;"|"&amp;G551</f>
        <v>UNIVERSAL MEAT|Шкала|2</v>
      </c>
      <c t="str" r="U551" s="6">
        <f>IF(H551="да",A551&amp;"|"&amp;C551&amp;"|"&amp;D551&amp;"|"&amp;J551,"")</f>
        <v/>
      </c>
      <c t="str" r="V551" s="6">
        <f>IF(C551="План",A551&amp;"|"&amp;J551,"")</f>
        <v/>
      </c>
    </row>
    <row r="552">
      <c r="A552" s="3" t="inlineStr">
        <is>
          <t>UNIVERSAL MEAT</t>
        </is>
      </c>
      <c r="B552" s="3" t="inlineStr">
        <is>
          <t>Заруб</t>
        </is>
      </c>
      <c r="C552" s="3" t="inlineStr">
        <is>
          <t>Шкала</t>
        </is>
      </c>
      <c r="D552" s="3" t="inlineStr">
        <is>
          <t>Оборудование</t>
        </is>
      </c>
      <c r="E552" s="3" t="inlineStr">
        <is>
          <t>Оборудование — за полугодие</t>
        </is>
      </c>
      <c r="F552" s="3" t="inlineStr">
        <is>
          <t>Наличие сервисного центра и гарантийное обслуживание</t>
        </is>
      </c>
      <c r="G552" s="4" t="n">
        <v>2</v>
      </c>
      <c r="H552" s="4" t="n"/>
      <c r="I552" s="3" t="inlineStr">
        <is>
          <t>190-224</t>
        </is>
      </c>
      <c r="J552" s="4" t="n">
        <v>5</v>
      </c>
      <c r="K552" s="4" t="n"/>
      <c r="L552" s="4" t="n"/>
      <c r="M552" s="8" t="n">
        <v>0.01</v>
      </c>
      <c r="N552" s="4" t="inlineStr">
        <is>
          <t>%</t>
        </is>
      </c>
      <c r="O552" s="3" t="inlineStr">
        <is>
          <t>Universal meat</t>
        </is>
      </c>
      <c r="P552" s="3" t="inlineStr">
        <is>
          <t>I16</t>
        </is>
      </c>
      <c t="str" r="Q552" s="6">
        <f>A552&amp;"|"&amp;C552&amp;"|"&amp;D552&amp;"|"&amp;G552</f>
        <v>UNIVERSAL MEAT|Шкала|Оборудование|2</v>
      </c>
      <c t="str" r="R552" s="6">
        <f>A552&amp;"|"&amp;C552&amp;"|"&amp;D552&amp;"|"&amp;J552</f>
        <v>UNIVERSAL MEAT|Шкала|Оборудование|5</v>
      </c>
      <c t="str" r="S552" s="6">
        <f>A552&amp;"|"&amp;C552&amp;"|"&amp;D552&amp;"|"&amp;G552&amp;"|"&amp;J552</f>
        <v>UNIVERSAL MEAT|Шкала|Оборудование|2|5</v>
      </c>
      <c t="str" r="T552" s="6">
        <f>A552&amp;"|"&amp;C552&amp;"|"&amp;G552</f>
        <v>UNIVERSAL MEAT|Шкала|2</v>
      </c>
      <c t="str" r="U552" s="6">
        <f>IF(H552="да",A552&amp;"|"&amp;C552&amp;"|"&amp;D552&amp;"|"&amp;J552,"")</f>
        <v/>
      </c>
      <c t="str" r="V552" s="6">
        <f>IF(C552="План",A552&amp;"|"&amp;J552,"")</f>
        <v/>
      </c>
    </row>
    <row r="553">
      <c r="A553" s="3" t="inlineStr">
        <is>
          <t>UNIVERSAL MEAT</t>
        </is>
      </c>
      <c r="B553" s="3" t="inlineStr">
        <is>
          <t>Заруб</t>
        </is>
      </c>
      <c r="C553" s="3" t="inlineStr">
        <is>
          <t>Шкала</t>
        </is>
      </c>
      <c r="D553" s="3" t="inlineStr">
        <is>
          <t>Оборудование</t>
        </is>
      </c>
      <c r="E553" s="3" t="inlineStr">
        <is>
          <t>Оборудование — за полугодие</t>
        </is>
      </c>
      <c r="F553" s="3" t="inlineStr">
        <is>
          <t>Наличие сервисного центра и гарантийное обслуживание</t>
        </is>
      </c>
      <c r="G553" s="4" t="n">
        <v>2</v>
      </c>
      <c r="H553" s="4" t="n"/>
      <c r="I553" s="3" t="inlineStr">
        <is>
          <t>225 и более</t>
        </is>
      </c>
      <c r="J553" s="4" t="n">
        <v>6</v>
      </c>
      <c r="K553" s="4" t="n"/>
      <c r="L553" s="4" t="n"/>
      <c r="M553" s="8" t="n">
        <v>0.01</v>
      </c>
      <c r="N553" s="4" t="inlineStr">
        <is>
          <t>%</t>
        </is>
      </c>
      <c r="O553" s="3" t="inlineStr">
        <is>
          <t>Universal meat</t>
        </is>
      </c>
      <c r="P553" s="3" t="inlineStr">
        <is>
          <t>J16</t>
        </is>
      </c>
      <c t="str" r="Q553" s="6">
        <f>A553&amp;"|"&amp;C553&amp;"|"&amp;D553&amp;"|"&amp;G553</f>
        <v>UNIVERSAL MEAT|Шкала|Оборудование|2</v>
      </c>
      <c t="str" r="R553" s="6">
        <f>A553&amp;"|"&amp;C553&amp;"|"&amp;D553&amp;"|"&amp;J553</f>
        <v>UNIVERSAL MEAT|Шкала|Оборудование|6</v>
      </c>
      <c t="str" r="S553" s="6">
        <f>A553&amp;"|"&amp;C553&amp;"|"&amp;D553&amp;"|"&amp;G553&amp;"|"&amp;J553</f>
        <v>UNIVERSAL MEAT|Шкала|Оборудование|2|6</v>
      </c>
      <c t="str" r="T553" s="6">
        <f>A553&amp;"|"&amp;C553&amp;"|"&amp;G553</f>
        <v>UNIVERSAL MEAT|Шкала|2</v>
      </c>
      <c t="str" r="U553" s="6">
        <f>IF(H553="да",A553&amp;"|"&amp;C553&amp;"|"&amp;D553&amp;"|"&amp;J553,"")</f>
        <v/>
      </c>
      <c t="str" r="V553" s="6">
        <f>IF(C553="План",A553&amp;"|"&amp;J553,"")</f>
        <v/>
      </c>
    </row>
    <row r="554">
      <c r="A554" s="3" t="inlineStr">
        <is>
          <t>UNIVERSAL MEAT</t>
        </is>
      </c>
      <c r="B554" s="3" t="inlineStr">
        <is>
          <t>Заруб</t>
        </is>
      </c>
      <c r="C554" s="3" t="inlineStr">
        <is>
          <t>Шкала</t>
        </is>
      </c>
      <c r="D554" s="3" t="inlineStr">
        <is>
          <t>Оборудование</t>
        </is>
      </c>
      <c r="E554" s="3" t="inlineStr">
        <is>
          <t>Оборудование — за полугодие</t>
        </is>
      </c>
      <c r="F554" s="3" t="inlineStr">
        <is>
          <t>Объем закупок МП</t>
        </is>
      </c>
      <c r="G554" s="4" t="n">
        <v>3</v>
      </c>
      <c r="H554" s="4" t="n"/>
      <c r="I554" s="3" t="inlineStr">
        <is>
          <t>до 75</t>
        </is>
      </c>
      <c r="J554" s="4" t="n">
        <v>1</v>
      </c>
      <c r="K554" s="4" t="n"/>
      <c r="L554" s="4" t="n"/>
      <c r="M554" s="8" t="n">
        <v>0.07000000000000001</v>
      </c>
      <c r="N554" s="4" t="inlineStr">
        <is>
          <t>%</t>
        </is>
      </c>
      <c r="O554" s="3" t="inlineStr">
        <is>
          <t>Universal meat</t>
        </is>
      </c>
      <c r="P554" s="3" t="inlineStr">
        <is>
          <t>E17</t>
        </is>
      </c>
      <c t="str" r="Q554" s="6">
        <f>A554&amp;"|"&amp;C554&amp;"|"&amp;D554&amp;"|"&amp;G554</f>
        <v>UNIVERSAL MEAT|Шкала|Оборудование|3</v>
      </c>
      <c t="str" r="R554" s="6">
        <f>A554&amp;"|"&amp;C554&amp;"|"&amp;D554&amp;"|"&amp;J554</f>
        <v>UNIVERSAL MEAT|Шкала|Оборудование|1</v>
      </c>
      <c t="str" r="S554" s="6">
        <f>A554&amp;"|"&amp;C554&amp;"|"&amp;D554&amp;"|"&amp;G554&amp;"|"&amp;J554</f>
        <v>UNIVERSAL MEAT|Шкала|Оборудование|3|1</v>
      </c>
      <c t="str" r="T554" s="6">
        <f>A554&amp;"|"&amp;C554&amp;"|"&amp;G554</f>
        <v>UNIVERSAL MEAT|Шкала|3</v>
      </c>
      <c t="str" r="U554" s="6">
        <f>IF(H554="да",A554&amp;"|"&amp;C554&amp;"|"&amp;D554&amp;"|"&amp;J554,"")</f>
        <v/>
      </c>
      <c t="str" r="V554" s="6">
        <f>IF(C554="План",A554&amp;"|"&amp;J554,"")</f>
        <v/>
      </c>
    </row>
    <row r="555">
      <c r="A555" s="3" t="inlineStr">
        <is>
          <t>UNIVERSAL MEAT</t>
        </is>
      </c>
      <c r="B555" s="3" t="inlineStr">
        <is>
          <t>Заруб</t>
        </is>
      </c>
      <c r="C555" s="3" t="inlineStr">
        <is>
          <t>Шкала</t>
        </is>
      </c>
      <c r="D555" s="3" t="inlineStr">
        <is>
          <t>Оборудование</t>
        </is>
      </c>
      <c r="E555" s="3" t="inlineStr">
        <is>
          <t>Оборудование — за полугодие</t>
        </is>
      </c>
      <c r="F555" s="3" t="inlineStr">
        <is>
          <t>Объем закупок МП</t>
        </is>
      </c>
      <c r="G555" s="4" t="n">
        <v>3</v>
      </c>
      <c r="H555" s="4" t="n"/>
      <c r="I555" s="3" t="inlineStr">
        <is>
          <t>75-114</t>
        </is>
      </c>
      <c r="J555" s="4" t="n">
        <v>2</v>
      </c>
      <c r="K555" s="4" t="n"/>
      <c r="L555" s="4" t="n"/>
      <c r="M555" s="8" t="n">
        <v>0.09</v>
      </c>
      <c r="N555" s="4" t="inlineStr">
        <is>
          <t>%</t>
        </is>
      </c>
      <c r="O555" s="3" t="inlineStr">
        <is>
          <t>Universal meat</t>
        </is>
      </c>
      <c r="P555" s="3" t="inlineStr">
        <is>
          <t>F17</t>
        </is>
      </c>
      <c t="str" r="Q555" s="6">
        <f>A555&amp;"|"&amp;C555&amp;"|"&amp;D555&amp;"|"&amp;G555</f>
        <v>UNIVERSAL MEAT|Шкала|Оборудование|3</v>
      </c>
      <c t="str" r="R555" s="6">
        <f>A555&amp;"|"&amp;C555&amp;"|"&amp;D555&amp;"|"&amp;J555</f>
        <v>UNIVERSAL MEAT|Шкала|Оборудование|2</v>
      </c>
      <c t="str" r="S555" s="6">
        <f>A555&amp;"|"&amp;C555&amp;"|"&amp;D555&amp;"|"&amp;G555&amp;"|"&amp;J555</f>
        <v>UNIVERSAL MEAT|Шкала|Оборудование|3|2</v>
      </c>
      <c t="str" r="T555" s="6">
        <f>A555&amp;"|"&amp;C555&amp;"|"&amp;G555</f>
        <v>UNIVERSAL MEAT|Шкала|3</v>
      </c>
      <c t="str" r="U555" s="6">
        <f>IF(H555="да",A555&amp;"|"&amp;C555&amp;"|"&amp;D555&amp;"|"&amp;J555,"")</f>
        <v/>
      </c>
      <c t="str" r="V555" s="6">
        <f>IF(C555="План",A555&amp;"|"&amp;J555,"")</f>
        <v/>
      </c>
    </row>
    <row r="556">
      <c r="A556" s="3" t="inlineStr">
        <is>
          <t>UNIVERSAL MEAT</t>
        </is>
      </c>
      <c r="B556" s="3" t="inlineStr">
        <is>
          <t>Заруб</t>
        </is>
      </c>
      <c r="C556" s="3" t="inlineStr">
        <is>
          <t>Шкала</t>
        </is>
      </c>
      <c r="D556" s="3" t="inlineStr">
        <is>
          <t>Оборудование</t>
        </is>
      </c>
      <c r="E556" s="3" t="inlineStr">
        <is>
          <t>Оборудование — за полугодие</t>
        </is>
      </c>
      <c r="F556" s="3" t="inlineStr">
        <is>
          <t>Объем закупок МП</t>
        </is>
      </c>
      <c r="G556" s="4" t="n">
        <v>3</v>
      </c>
      <c r="H556" s="4" t="n"/>
      <c r="I556" s="3" t="inlineStr">
        <is>
          <t>115-149</t>
        </is>
      </c>
      <c r="J556" s="4" t="n">
        <v>3</v>
      </c>
      <c r="K556" s="4" t="n"/>
      <c r="L556" s="4" t="n"/>
      <c r="M556" s="8" t="n">
        <v>0.1</v>
      </c>
      <c r="N556" s="4" t="inlineStr">
        <is>
          <t>%</t>
        </is>
      </c>
      <c r="O556" s="3" t="inlineStr">
        <is>
          <t>Universal meat</t>
        </is>
      </c>
      <c r="P556" s="3" t="inlineStr">
        <is>
          <t>G17</t>
        </is>
      </c>
      <c t="str" r="Q556" s="6">
        <f>A556&amp;"|"&amp;C556&amp;"|"&amp;D556&amp;"|"&amp;G556</f>
        <v>UNIVERSAL MEAT|Шкала|Оборудование|3</v>
      </c>
      <c t="str" r="R556" s="6">
        <f>A556&amp;"|"&amp;C556&amp;"|"&amp;D556&amp;"|"&amp;J556</f>
        <v>UNIVERSAL MEAT|Шкала|Оборудование|3</v>
      </c>
      <c t="str" r="S556" s="6">
        <f>A556&amp;"|"&amp;C556&amp;"|"&amp;D556&amp;"|"&amp;G556&amp;"|"&amp;J556</f>
        <v>UNIVERSAL MEAT|Шкала|Оборудование|3|3</v>
      </c>
      <c t="str" r="T556" s="6">
        <f>A556&amp;"|"&amp;C556&amp;"|"&amp;G556</f>
        <v>UNIVERSAL MEAT|Шкала|3</v>
      </c>
      <c t="str" r="U556" s="6">
        <f>IF(H556="да",A556&amp;"|"&amp;C556&amp;"|"&amp;D556&amp;"|"&amp;J556,"")</f>
        <v/>
      </c>
      <c t="str" r="V556" s="6">
        <f>IF(C556="План",A556&amp;"|"&amp;J556,"")</f>
        <v/>
      </c>
    </row>
    <row r="557">
      <c r="A557" s="3" t="inlineStr">
        <is>
          <t>UNIVERSAL MEAT</t>
        </is>
      </c>
      <c r="B557" s="3" t="inlineStr">
        <is>
          <t>Заруб</t>
        </is>
      </c>
      <c r="C557" s="3" t="inlineStr">
        <is>
          <t>Шкала</t>
        </is>
      </c>
      <c r="D557" s="3" t="inlineStr">
        <is>
          <t>Оборудование</t>
        </is>
      </c>
      <c r="E557" s="3" t="inlineStr">
        <is>
          <t>Оборудование — за полугодие</t>
        </is>
      </c>
      <c r="F557" s="3" t="inlineStr">
        <is>
          <t>Объем закупок МП</t>
        </is>
      </c>
      <c r="G557" s="4" t="n">
        <v>3</v>
      </c>
      <c r="H557" s="4" t="n"/>
      <c r="I557" s="3" t="inlineStr">
        <is>
          <t>150-189</t>
        </is>
      </c>
      <c r="J557" s="4" t="n">
        <v>4</v>
      </c>
      <c r="K557" s="4" t="n"/>
      <c r="L557" s="4" t="n"/>
      <c r="M557" s="8" t="n">
        <v>0.11</v>
      </c>
      <c r="N557" s="4" t="inlineStr">
        <is>
          <t>%</t>
        </is>
      </c>
      <c r="O557" s="3" t="inlineStr">
        <is>
          <t>Universal meat</t>
        </is>
      </c>
      <c r="P557" s="3" t="inlineStr">
        <is>
          <t>H17</t>
        </is>
      </c>
      <c t="str" r="Q557" s="6">
        <f>A557&amp;"|"&amp;C557&amp;"|"&amp;D557&amp;"|"&amp;G557</f>
        <v>UNIVERSAL MEAT|Шкала|Оборудование|3</v>
      </c>
      <c t="str" r="R557" s="6">
        <f>A557&amp;"|"&amp;C557&amp;"|"&amp;D557&amp;"|"&amp;J557</f>
        <v>UNIVERSAL MEAT|Шкала|Оборудование|4</v>
      </c>
      <c t="str" r="S557" s="6">
        <f>A557&amp;"|"&amp;C557&amp;"|"&amp;D557&amp;"|"&amp;G557&amp;"|"&amp;J557</f>
        <v>UNIVERSAL MEAT|Шкала|Оборудование|3|4</v>
      </c>
      <c t="str" r="T557" s="6">
        <f>A557&amp;"|"&amp;C557&amp;"|"&amp;G557</f>
        <v>UNIVERSAL MEAT|Шкала|3</v>
      </c>
      <c t="str" r="U557" s="6">
        <f>IF(H557="да",A557&amp;"|"&amp;C557&amp;"|"&amp;D557&amp;"|"&amp;J557,"")</f>
        <v/>
      </c>
      <c t="str" r="V557" s="6">
        <f>IF(C557="План",A557&amp;"|"&amp;J557,"")</f>
        <v/>
      </c>
    </row>
    <row r="558">
      <c r="A558" s="3" t="inlineStr">
        <is>
          <t>UNIVERSAL MEAT</t>
        </is>
      </c>
      <c r="B558" s="3" t="inlineStr">
        <is>
          <t>Заруб</t>
        </is>
      </c>
      <c r="C558" s="3" t="inlineStr">
        <is>
          <t>Шкала</t>
        </is>
      </c>
      <c r="D558" s="3" t="inlineStr">
        <is>
          <t>Оборудование</t>
        </is>
      </c>
      <c r="E558" s="3" t="inlineStr">
        <is>
          <t>Оборудование — за полугодие</t>
        </is>
      </c>
      <c r="F558" s="3" t="inlineStr">
        <is>
          <t>Объем закупок МП</t>
        </is>
      </c>
      <c r="G558" s="4" t="n">
        <v>3</v>
      </c>
      <c r="H558" s="4" t="n"/>
      <c r="I558" s="3" t="inlineStr">
        <is>
          <t>190-224</t>
        </is>
      </c>
      <c r="J558" s="4" t="n">
        <v>5</v>
      </c>
      <c r="K558" s="4" t="n"/>
      <c r="L558" s="4" t="n"/>
      <c r="M558" s="8" t="n">
        <v>0.12</v>
      </c>
      <c r="N558" s="4" t="inlineStr">
        <is>
          <t>%</t>
        </is>
      </c>
      <c r="O558" s="3" t="inlineStr">
        <is>
          <t>Universal meat</t>
        </is>
      </c>
      <c r="P558" s="3" t="inlineStr">
        <is>
          <t>I17</t>
        </is>
      </c>
      <c t="str" r="Q558" s="6">
        <f>A558&amp;"|"&amp;C558&amp;"|"&amp;D558&amp;"|"&amp;G558</f>
        <v>UNIVERSAL MEAT|Шкала|Оборудование|3</v>
      </c>
      <c t="str" r="R558" s="6">
        <f>A558&amp;"|"&amp;C558&amp;"|"&amp;D558&amp;"|"&amp;J558</f>
        <v>UNIVERSAL MEAT|Шкала|Оборудование|5</v>
      </c>
      <c t="str" r="S558" s="6">
        <f>A558&amp;"|"&amp;C558&amp;"|"&amp;D558&amp;"|"&amp;G558&amp;"|"&amp;J558</f>
        <v>UNIVERSAL MEAT|Шкала|Оборудование|3|5</v>
      </c>
      <c t="str" r="T558" s="6">
        <f>A558&amp;"|"&amp;C558&amp;"|"&amp;G558</f>
        <v>UNIVERSAL MEAT|Шкала|3</v>
      </c>
      <c t="str" r="U558" s="6">
        <f>IF(H558="да",A558&amp;"|"&amp;C558&amp;"|"&amp;D558&amp;"|"&amp;J558,"")</f>
        <v/>
      </c>
      <c t="str" r="V558" s="6">
        <f>IF(C558="План",A558&amp;"|"&amp;J558,"")</f>
        <v/>
      </c>
    </row>
    <row r="559">
      <c r="A559" s="3" t="inlineStr">
        <is>
          <t>UNIVERSAL MEAT</t>
        </is>
      </c>
      <c r="B559" s="3" t="inlineStr">
        <is>
          <t>Заруб</t>
        </is>
      </c>
      <c r="C559" s="3" t="inlineStr">
        <is>
          <t>Шкала</t>
        </is>
      </c>
      <c r="D559" s="3" t="inlineStr">
        <is>
          <t>Оборудование</t>
        </is>
      </c>
      <c r="E559" s="3" t="inlineStr">
        <is>
          <t>Оборудование — за полугодие</t>
        </is>
      </c>
      <c r="F559" s="3" t="inlineStr">
        <is>
          <t>Объем закупок МП</t>
        </is>
      </c>
      <c r="G559" s="4" t="n">
        <v>3</v>
      </c>
      <c r="H559" s="4" t="n"/>
      <c r="I559" s="3" t="inlineStr">
        <is>
          <t>225 и более</t>
        </is>
      </c>
      <c r="J559" s="4" t="n">
        <v>6</v>
      </c>
      <c r="K559" s="4" t="n"/>
      <c r="L559" s="4" t="n"/>
      <c r="M559" s="8" t="n">
        <v>0.13</v>
      </c>
      <c r="N559" s="4" t="inlineStr">
        <is>
          <t>%</t>
        </is>
      </c>
      <c r="O559" s="3" t="inlineStr">
        <is>
          <t>Universal meat</t>
        </is>
      </c>
      <c r="P559" s="3" t="inlineStr">
        <is>
          <t>J17</t>
        </is>
      </c>
      <c t="str" r="Q559" s="6">
        <f>A559&amp;"|"&amp;C559&amp;"|"&amp;D559&amp;"|"&amp;G559</f>
        <v>UNIVERSAL MEAT|Шкала|Оборудование|3</v>
      </c>
      <c t="str" r="R559" s="6">
        <f>A559&amp;"|"&amp;C559&amp;"|"&amp;D559&amp;"|"&amp;J559</f>
        <v>UNIVERSAL MEAT|Шкала|Оборудование|6</v>
      </c>
      <c t="str" r="S559" s="6">
        <f>A559&amp;"|"&amp;C559&amp;"|"&amp;D559&amp;"|"&amp;G559&amp;"|"&amp;J559</f>
        <v>UNIVERSAL MEAT|Шкала|Оборудование|3|6</v>
      </c>
      <c t="str" r="T559" s="6">
        <f>A559&amp;"|"&amp;C559&amp;"|"&amp;G559</f>
        <v>UNIVERSAL MEAT|Шкала|3</v>
      </c>
      <c t="str" r="U559" s="6">
        <f>IF(H559="да",A559&amp;"|"&amp;C559&amp;"|"&amp;D559&amp;"|"&amp;J559,"")</f>
        <v/>
      </c>
      <c t="str" r="V559" s="6">
        <f>IF(C559="План",A559&amp;"|"&amp;J559,"")</f>
        <v/>
      </c>
    </row>
    <row r="560">
      <c r="A560" s="3" t="inlineStr">
        <is>
          <t>UNIVERSAL MEAT</t>
        </is>
      </c>
      <c r="B560" s="3" t="inlineStr">
        <is>
          <t>Заруб</t>
        </is>
      </c>
      <c r="C560" s="3" t="inlineStr">
        <is>
          <t>Шкала</t>
        </is>
      </c>
      <c r="D560" s="3" t="inlineStr">
        <is>
          <t>Оборудование</t>
        </is>
      </c>
      <c r="E560" s="3" t="inlineStr">
        <is>
          <t>Оборудование — за полугодие</t>
        </is>
      </c>
      <c r="F560" s="3" t="inlineStr">
        <is>
          <t>ИТОГО</t>
        </is>
      </c>
      <c r="G560" s="4" t="n">
        <v>4</v>
      </c>
      <c r="H560" s="4" t="inlineStr">
        <is>
          <t>да</t>
        </is>
      </c>
      <c r="I560" s="3" t="inlineStr">
        <is>
          <t>до 75</t>
        </is>
      </c>
      <c r="J560" s="4" t="n">
        <v>1</v>
      </c>
      <c r="K560" s="4" t="n"/>
      <c r="L560" s="4" t="n"/>
      <c r="M560" s="8" t="n">
        <v>0.14</v>
      </c>
      <c r="N560" s="4" t="inlineStr">
        <is>
          <t>%</t>
        </is>
      </c>
      <c r="O560" s="3" t="inlineStr">
        <is>
          <t>Universal meat</t>
        </is>
      </c>
      <c r="P560" s="3" t="inlineStr">
        <is>
          <t>E18</t>
        </is>
      </c>
      <c t="str" r="Q560" s="6">
        <f>A560&amp;"|"&amp;C560&amp;"|"&amp;D560&amp;"|"&amp;G560</f>
        <v>UNIVERSAL MEAT|Шкала|Оборудование|4</v>
      </c>
      <c t="str" r="R560" s="6">
        <f>A560&amp;"|"&amp;C560&amp;"|"&amp;D560&amp;"|"&amp;J560</f>
        <v>UNIVERSAL MEAT|Шкала|Оборудование|1</v>
      </c>
      <c t="str" r="S560" s="6">
        <f>A560&amp;"|"&amp;C560&amp;"|"&amp;D560&amp;"|"&amp;G560&amp;"|"&amp;J560</f>
        <v>UNIVERSAL MEAT|Шкала|Оборудование|4|1</v>
      </c>
      <c t="str" r="T560" s="6">
        <f>A560&amp;"|"&amp;C560&amp;"|"&amp;G560</f>
        <v>UNIVERSAL MEAT|Шкала|4</v>
      </c>
      <c t="str" r="U560" s="6">
        <f>IF(H560="да",A560&amp;"|"&amp;C560&amp;"|"&amp;D560&amp;"|"&amp;J560,"")</f>
        <v>UNIVERSAL MEAT|Шкала|Оборудование|1</v>
      </c>
      <c t="str" r="V560" s="6">
        <f>IF(C560="План",A560&amp;"|"&amp;J560,"")</f>
        <v/>
      </c>
    </row>
    <row r="561">
      <c r="A561" s="3" t="inlineStr">
        <is>
          <t>UNIVERSAL MEAT</t>
        </is>
      </c>
      <c r="B561" s="3" t="inlineStr">
        <is>
          <t>Заруб</t>
        </is>
      </c>
      <c r="C561" s="3" t="inlineStr">
        <is>
          <t>Шкала</t>
        </is>
      </c>
      <c r="D561" s="3" t="inlineStr">
        <is>
          <t>Оборудование</t>
        </is>
      </c>
      <c r="E561" s="3" t="inlineStr">
        <is>
          <t>Оборудование — за полугодие</t>
        </is>
      </c>
      <c r="F561" s="3" t="inlineStr">
        <is>
          <t>ИТОГО</t>
        </is>
      </c>
      <c r="G561" s="4" t="n">
        <v>4</v>
      </c>
      <c r="H561" s="4" t="inlineStr">
        <is>
          <t>да</t>
        </is>
      </c>
      <c r="I561" s="3" t="inlineStr">
        <is>
          <t>75-114</t>
        </is>
      </c>
      <c r="J561" s="4" t="n">
        <v>2</v>
      </c>
      <c r="K561" s="4" t="n"/>
      <c r="L561" s="4" t="n"/>
      <c r="M561" s="8" t="n">
        <v>0.16</v>
      </c>
      <c r="N561" s="4" t="inlineStr">
        <is>
          <t>%</t>
        </is>
      </c>
      <c r="O561" s="3" t="inlineStr">
        <is>
          <t>Universal meat</t>
        </is>
      </c>
      <c r="P561" s="3" t="inlineStr">
        <is>
          <t>F18</t>
        </is>
      </c>
      <c t="str" r="Q561" s="6">
        <f>A561&amp;"|"&amp;C561&amp;"|"&amp;D561&amp;"|"&amp;G561</f>
        <v>UNIVERSAL MEAT|Шкала|Оборудование|4</v>
      </c>
      <c t="str" r="R561" s="6">
        <f>A561&amp;"|"&amp;C561&amp;"|"&amp;D561&amp;"|"&amp;J561</f>
        <v>UNIVERSAL MEAT|Шкала|Оборудование|2</v>
      </c>
      <c t="str" r="S561" s="6">
        <f>A561&amp;"|"&amp;C561&amp;"|"&amp;D561&amp;"|"&amp;G561&amp;"|"&amp;J561</f>
        <v>UNIVERSAL MEAT|Шкала|Оборудование|4|2</v>
      </c>
      <c t="str" r="T561" s="6">
        <f>A561&amp;"|"&amp;C561&amp;"|"&amp;G561</f>
        <v>UNIVERSAL MEAT|Шкала|4</v>
      </c>
      <c t="str" r="U561" s="6">
        <f>IF(H561="да",A561&amp;"|"&amp;C561&amp;"|"&amp;D561&amp;"|"&amp;J561,"")</f>
        <v>UNIVERSAL MEAT|Шкала|Оборудование|2</v>
      </c>
      <c t="str" r="V561" s="6">
        <f>IF(C561="План",A561&amp;"|"&amp;J561,"")</f>
        <v/>
      </c>
    </row>
    <row r="562">
      <c r="A562" s="3" t="inlineStr">
        <is>
          <t>UNIVERSAL MEAT</t>
        </is>
      </c>
      <c r="B562" s="3" t="inlineStr">
        <is>
          <t>Заруб</t>
        </is>
      </c>
      <c r="C562" s="3" t="inlineStr">
        <is>
          <t>Шкала</t>
        </is>
      </c>
      <c r="D562" s="3" t="inlineStr">
        <is>
          <t>Оборудование</t>
        </is>
      </c>
      <c r="E562" s="3" t="inlineStr">
        <is>
          <t>Оборудование — за полугодие</t>
        </is>
      </c>
      <c r="F562" s="3" t="inlineStr">
        <is>
          <t>ИТОГО</t>
        </is>
      </c>
      <c r="G562" s="4" t="n">
        <v>4</v>
      </c>
      <c r="H562" s="4" t="inlineStr">
        <is>
          <t>да</t>
        </is>
      </c>
      <c r="I562" s="3" t="inlineStr">
        <is>
          <t>115-149</t>
        </is>
      </c>
      <c r="J562" s="4" t="n">
        <v>3</v>
      </c>
      <c r="K562" s="4" t="n"/>
      <c r="L562" s="4" t="n"/>
      <c r="M562" s="8" t="n">
        <v>0.17</v>
      </c>
      <c r="N562" s="4" t="inlineStr">
        <is>
          <t>%</t>
        </is>
      </c>
      <c r="O562" s="3" t="inlineStr">
        <is>
          <t>Universal meat</t>
        </is>
      </c>
      <c r="P562" s="3" t="inlineStr">
        <is>
          <t>G18</t>
        </is>
      </c>
      <c t="str" r="Q562" s="6">
        <f>A562&amp;"|"&amp;C562&amp;"|"&amp;D562&amp;"|"&amp;G562</f>
        <v>UNIVERSAL MEAT|Шкала|Оборудование|4</v>
      </c>
      <c t="str" r="R562" s="6">
        <f>A562&amp;"|"&amp;C562&amp;"|"&amp;D562&amp;"|"&amp;J562</f>
        <v>UNIVERSAL MEAT|Шкала|Оборудование|3</v>
      </c>
      <c t="str" r="S562" s="6">
        <f>A562&amp;"|"&amp;C562&amp;"|"&amp;D562&amp;"|"&amp;G562&amp;"|"&amp;J562</f>
        <v>UNIVERSAL MEAT|Шкала|Оборудование|4|3</v>
      </c>
      <c t="str" r="T562" s="6">
        <f>A562&amp;"|"&amp;C562&amp;"|"&amp;G562</f>
        <v>UNIVERSAL MEAT|Шкала|4</v>
      </c>
      <c t="str" r="U562" s="6">
        <f>IF(H562="да",A562&amp;"|"&amp;C562&amp;"|"&amp;D562&amp;"|"&amp;J562,"")</f>
        <v>UNIVERSAL MEAT|Шкала|Оборудование|3</v>
      </c>
      <c t="str" r="V562" s="6">
        <f>IF(C562="План",A562&amp;"|"&amp;J562,"")</f>
        <v/>
      </c>
    </row>
    <row r="563">
      <c r="A563" s="3" t="inlineStr">
        <is>
          <t>UNIVERSAL MEAT</t>
        </is>
      </c>
      <c r="B563" s="3" t="inlineStr">
        <is>
          <t>Заруб</t>
        </is>
      </c>
      <c r="C563" s="3" t="inlineStr">
        <is>
          <t>Шкала</t>
        </is>
      </c>
      <c r="D563" s="3" t="inlineStr">
        <is>
          <t>Оборудование</t>
        </is>
      </c>
      <c r="E563" s="3" t="inlineStr">
        <is>
          <t>Оборудование — за полугодие</t>
        </is>
      </c>
      <c r="F563" s="3" t="inlineStr">
        <is>
          <t>ИТОГО</t>
        </is>
      </c>
      <c r="G563" s="4" t="n">
        <v>4</v>
      </c>
      <c r="H563" s="4" t="inlineStr">
        <is>
          <t>да</t>
        </is>
      </c>
      <c r="I563" s="3" t="inlineStr">
        <is>
          <t>150-189</t>
        </is>
      </c>
      <c r="J563" s="4" t="n">
        <v>4</v>
      </c>
      <c r="K563" s="4" t="n"/>
      <c r="L563" s="4" t="n"/>
      <c r="M563" s="8" t="n">
        <v>0.18</v>
      </c>
      <c r="N563" s="4" t="inlineStr">
        <is>
          <t>%</t>
        </is>
      </c>
      <c r="O563" s="3" t="inlineStr">
        <is>
          <t>Universal meat</t>
        </is>
      </c>
      <c r="P563" s="3" t="inlineStr">
        <is>
          <t>H18</t>
        </is>
      </c>
      <c t="str" r="Q563" s="6">
        <f>A563&amp;"|"&amp;C563&amp;"|"&amp;D563&amp;"|"&amp;G563</f>
        <v>UNIVERSAL MEAT|Шкала|Оборудование|4</v>
      </c>
      <c t="str" r="R563" s="6">
        <f>A563&amp;"|"&amp;C563&amp;"|"&amp;D563&amp;"|"&amp;J563</f>
        <v>UNIVERSAL MEAT|Шкала|Оборудование|4</v>
      </c>
      <c t="str" r="S563" s="6">
        <f>A563&amp;"|"&amp;C563&amp;"|"&amp;D563&amp;"|"&amp;G563&amp;"|"&amp;J563</f>
        <v>UNIVERSAL MEAT|Шкала|Оборудование|4|4</v>
      </c>
      <c t="str" r="T563" s="6">
        <f>A563&amp;"|"&amp;C563&amp;"|"&amp;G563</f>
        <v>UNIVERSAL MEAT|Шкала|4</v>
      </c>
      <c t="str" r="U563" s="6">
        <f>IF(H563="да",A563&amp;"|"&amp;C563&amp;"|"&amp;D563&amp;"|"&amp;J563,"")</f>
        <v>UNIVERSAL MEAT|Шкала|Оборудование|4</v>
      </c>
      <c t="str" r="V563" s="6">
        <f>IF(C563="План",A563&amp;"|"&amp;J563,"")</f>
        <v/>
      </c>
    </row>
    <row r="564">
      <c r="A564" s="3" t="inlineStr">
        <is>
          <t>UNIVERSAL MEAT</t>
        </is>
      </c>
      <c r="B564" s="3" t="inlineStr">
        <is>
          <t>Заруб</t>
        </is>
      </c>
      <c r="C564" s="3" t="inlineStr">
        <is>
          <t>Шкала</t>
        </is>
      </c>
      <c r="D564" s="3" t="inlineStr">
        <is>
          <t>Оборудование</t>
        </is>
      </c>
      <c r="E564" s="3" t="inlineStr">
        <is>
          <t>Оборудование — за полугодие</t>
        </is>
      </c>
      <c r="F564" s="3" t="inlineStr">
        <is>
          <t>ИТОГО</t>
        </is>
      </c>
      <c r="G564" s="4" t="n">
        <v>4</v>
      </c>
      <c r="H564" s="4" t="inlineStr">
        <is>
          <t>да</t>
        </is>
      </c>
      <c r="I564" s="3" t="inlineStr">
        <is>
          <t>190-224</t>
        </is>
      </c>
      <c r="J564" s="4" t="n">
        <v>5</v>
      </c>
      <c r="K564" s="4" t="n"/>
      <c r="L564" s="4" t="n"/>
      <c r="M564" s="8" t="n">
        <v>0.19</v>
      </c>
      <c r="N564" s="4" t="inlineStr">
        <is>
          <t>%</t>
        </is>
      </c>
      <c r="O564" s="3" t="inlineStr">
        <is>
          <t>Universal meat</t>
        </is>
      </c>
      <c r="P564" s="3" t="inlineStr">
        <is>
          <t>I18</t>
        </is>
      </c>
      <c t="str" r="Q564" s="6">
        <f>A564&amp;"|"&amp;C564&amp;"|"&amp;D564&amp;"|"&amp;G564</f>
        <v>UNIVERSAL MEAT|Шкала|Оборудование|4</v>
      </c>
      <c t="str" r="R564" s="6">
        <f>A564&amp;"|"&amp;C564&amp;"|"&amp;D564&amp;"|"&amp;J564</f>
        <v>UNIVERSAL MEAT|Шкала|Оборудование|5</v>
      </c>
      <c t="str" r="S564" s="6">
        <f>A564&amp;"|"&amp;C564&amp;"|"&amp;D564&amp;"|"&amp;G564&amp;"|"&amp;J564</f>
        <v>UNIVERSAL MEAT|Шкала|Оборудование|4|5</v>
      </c>
      <c t="str" r="T564" s="6">
        <f>A564&amp;"|"&amp;C564&amp;"|"&amp;G564</f>
        <v>UNIVERSAL MEAT|Шкала|4</v>
      </c>
      <c t="str" r="U564" s="6">
        <f>IF(H564="да",A564&amp;"|"&amp;C564&amp;"|"&amp;D564&amp;"|"&amp;J564,"")</f>
        <v>UNIVERSAL MEAT|Шкала|Оборудование|5</v>
      </c>
      <c t="str" r="V564" s="6">
        <f>IF(C564="План",A564&amp;"|"&amp;J564,"")</f>
        <v/>
      </c>
    </row>
    <row r="565">
      <c r="A565" s="3" t="inlineStr">
        <is>
          <t>UNIVERSAL MEAT</t>
        </is>
      </c>
      <c r="B565" s="3" t="inlineStr">
        <is>
          <t>Заруб</t>
        </is>
      </c>
      <c r="C565" s="3" t="inlineStr">
        <is>
          <t>Шкала</t>
        </is>
      </c>
      <c r="D565" s="3" t="inlineStr">
        <is>
          <t>Оборудование</t>
        </is>
      </c>
      <c r="E565" s="3" t="inlineStr">
        <is>
          <t>Оборудование — за полугодие</t>
        </is>
      </c>
      <c r="F565" s="3" t="inlineStr">
        <is>
          <t>ИТОГО</t>
        </is>
      </c>
      <c r="G565" s="4" t="n">
        <v>4</v>
      </c>
      <c r="H565" s="4" t="inlineStr">
        <is>
          <t>да</t>
        </is>
      </c>
      <c r="I565" s="3" t="inlineStr">
        <is>
          <t>225 и более</t>
        </is>
      </c>
      <c r="J565" s="4" t="n">
        <v>6</v>
      </c>
      <c r="K565" s="4" t="n"/>
      <c r="L565" s="4" t="n"/>
      <c r="M565" s="8" t="n">
        <v>0.2</v>
      </c>
      <c r="N565" s="4" t="inlineStr">
        <is>
          <t>%</t>
        </is>
      </c>
      <c r="O565" s="3" t="inlineStr">
        <is>
          <t>Universal meat</t>
        </is>
      </c>
      <c r="P565" s="3" t="inlineStr">
        <is>
          <t>J18</t>
        </is>
      </c>
      <c t="str" r="Q565" s="6">
        <f>A565&amp;"|"&amp;C565&amp;"|"&amp;D565&amp;"|"&amp;G565</f>
        <v>UNIVERSAL MEAT|Шкала|Оборудование|4</v>
      </c>
      <c t="str" r="R565" s="6">
        <f>A565&amp;"|"&amp;C565&amp;"|"&amp;D565&amp;"|"&amp;J565</f>
        <v>UNIVERSAL MEAT|Шкала|Оборудование|6</v>
      </c>
      <c t="str" r="S565" s="6">
        <f>A565&amp;"|"&amp;C565&amp;"|"&amp;D565&amp;"|"&amp;G565&amp;"|"&amp;J565</f>
        <v>UNIVERSAL MEAT|Шкала|Оборудование|4|6</v>
      </c>
      <c t="str" r="T565" s="6">
        <f>A565&amp;"|"&amp;C565&amp;"|"&amp;G565</f>
        <v>UNIVERSAL MEAT|Шкала|4</v>
      </c>
      <c t="str" r="U565" s="6">
        <f>IF(H565="да",A565&amp;"|"&amp;C565&amp;"|"&amp;D565&amp;"|"&amp;J565,"")</f>
        <v>UNIVERSAL MEAT|Шкала|Оборудование|6</v>
      </c>
      <c t="str" r="V565" s="6">
        <f>IF(C565="План",A565&amp;"|"&amp;J565,"")</f>
        <v/>
      </c>
    </row>
    <row r="566">
      <c r="A566" s="3" t="inlineStr">
        <is>
          <t>UNIVERSAL MEAT</t>
        </is>
      </c>
      <c r="B566" s="3" t="inlineStr">
        <is>
          <t>Заруб</t>
        </is>
      </c>
      <c r="C566" s="3" t="inlineStr">
        <is>
          <t>Шкала</t>
        </is>
      </c>
      <c r="D566" s="3" t="inlineStr">
        <is>
          <t>Расходные материалы</t>
        </is>
      </c>
      <c r="E566" s="3" t="inlineStr">
        <is>
          <t>Расходные материалы — за полугодие</t>
        </is>
      </c>
      <c r="F566" s="3" t="inlineStr">
        <is>
          <t>Объем закупок РМ</t>
        </is>
      </c>
      <c r="G566" s="4" t="n">
        <v>1</v>
      </c>
      <c r="H566" s="4" t="n"/>
      <c r="I566" s="3" t="inlineStr">
        <is>
          <t>до 24</t>
        </is>
      </c>
      <c r="J566" s="4" t="n">
        <v>1</v>
      </c>
      <c r="K566" s="4" t="n"/>
      <c r="L566" s="4" t="n"/>
      <c r="M566" s="8" t="n">
        <v>0</v>
      </c>
      <c r="N566" s="4" t="inlineStr">
        <is>
          <t>%</t>
        </is>
      </c>
      <c r="O566" s="3" t="inlineStr">
        <is>
          <t>Universal meat</t>
        </is>
      </c>
      <c r="P566" s="3" t="inlineStr">
        <is>
          <t>E21</t>
        </is>
      </c>
      <c t="str" r="Q566" s="6">
        <f>A566&amp;"|"&amp;C566&amp;"|"&amp;D566&amp;"|"&amp;G566</f>
        <v>UNIVERSAL MEAT|Шкала|Расходные материалы|1</v>
      </c>
      <c t="str" r="R566" s="6">
        <f>A566&amp;"|"&amp;C566&amp;"|"&amp;D566&amp;"|"&amp;J566</f>
        <v>UNIVERSAL MEAT|Шкала|Расходные материалы|1</v>
      </c>
      <c t="str" r="S566" s="6">
        <f>A566&amp;"|"&amp;C566&amp;"|"&amp;D566&amp;"|"&amp;G566&amp;"|"&amp;J566</f>
        <v>UNIVERSAL MEAT|Шкала|Расходные материалы|1|1</v>
      </c>
      <c t="str" r="T566" s="6">
        <f>A566&amp;"|"&amp;C566&amp;"|"&amp;G566</f>
        <v>UNIVERSAL MEAT|Шкала|1</v>
      </c>
      <c t="str" r="U566" s="6">
        <f>IF(H566="да",A566&amp;"|"&amp;C566&amp;"|"&amp;D566&amp;"|"&amp;J566,"")</f>
        <v/>
      </c>
      <c t="str" r="V566" s="6">
        <f>IF(C566="План",A566&amp;"|"&amp;J566,"")</f>
        <v/>
      </c>
    </row>
    <row r="567">
      <c r="A567" s="3" t="inlineStr">
        <is>
          <t>UNIVERSAL MEAT</t>
        </is>
      </c>
      <c r="B567" s="3" t="inlineStr">
        <is>
          <t>Заруб</t>
        </is>
      </c>
      <c r="C567" s="3" t="inlineStr">
        <is>
          <t>Шкала</t>
        </is>
      </c>
      <c r="D567" s="3" t="inlineStr">
        <is>
          <t>Расходные материалы</t>
        </is>
      </c>
      <c r="E567" s="3" t="inlineStr">
        <is>
          <t>Расходные материалы — за полугодие</t>
        </is>
      </c>
      <c r="F567" s="3" t="inlineStr">
        <is>
          <t>Объем закупок РМ</t>
        </is>
      </c>
      <c r="G567" s="4" t="n">
        <v>1</v>
      </c>
      <c r="H567" s="4" t="n"/>
      <c r="I567" s="3" t="inlineStr">
        <is>
          <t>25-34</t>
        </is>
      </c>
      <c r="J567" s="4" t="n">
        <v>2</v>
      </c>
      <c r="K567" s="4" t="n"/>
      <c r="L567" s="4" t="n"/>
      <c r="M567" s="8" t="n">
        <v>0.01</v>
      </c>
      <c r="N567" s="4" t="inlineStr">
        <is>
          <t>%</t>
        </is>
      </c>
      <c r="O567" s="3" t="inlineStr">
        <is>
          <t>Universal meat</t>
        </is>
      </c>
      <c r="P567" s="3" t="inlineStr">
        <is>
          <t>F21</t>
        </is>
      </c>
      <c t="str" r="Q567" s="6">
        <f>A567&amp;"|"&amp;C567&amp;"|"&amp;D567&amp;"|"&amp;G567</f>
        <v>UNIVERSAL MEAT|Шкала|Расходные материалы|1</v>
      </c>
      <c t="str" r="R567" s="6">
        <f>A567&amp;"|"&amp;C567&amp;"|"&amp;D567&amp;"|"&amp;J567</f>
        <v>UNIVERSAL MEAT|Шкала|Расходные материалы|2</v>
      </c>
      <c t="str" r="S567" s="6">
        <f>A567&amp;"|"&amp;C567&amp;"|"&amp;D567&amp;"|"&amp;G567&amp;"|"&amp;J567</f>
        <v>UNIVERSAL MEAT|Шкала|Расходные материалы|1|2</v>
      </c>
      <c t="str" r="T567" s="6">
        <f>A567&amp;"|"&amp;C567&amp;"|"&amp;G567</f>
        <v>UNIVERSAL MEAT|Шкала|1</v>
      </c>
      <c t="str" r="U567" s="6">
        <f>IF(H567="да",A567&amp;"|"&amp;C567&amp;"|"&amp;D567&amp;"|"&amp;J567,"")</f>
        <v/>
      </c>
      <c t="str" r="V567" s="6">
        <f>IF(C567="План",A567&amp;"|"&amp;J567,"")</f>
        <v/>
      </c>
    </row>
    <row r="568">
      <c r="A568" s="3" t="inlineStr">
        <is>
          <t>UNIVERSAL MEAT</t>
        </is>
      </c>
      <c r="B568" s="3" t="inlineStr">
        <is>
          <t>Заруб</t>
        </is>
      </c>
      <c r="C568" s="3" t="inlineStr">
        <is>
          <t>Шкала</t>
        </is>
      </c>
      <c r="D568" s="3" t="inlineStr">
        <is>
          <t>Расходные материалы</t>
        </is>
      </c>
      <c r="E568" s="3" t="inlineStr">
        <is>
          <t>Расходные материалы — за полугодие</t>
        </is>
      </c>
      <c r="F568" s="3" t="inlineStr">
        <is>
          <t>Объем закупок РМ</t>
        </is>
      </c>
      <c r="G568" s="4" t="n">
        <v>1</v>
      </c>
      <c r="H568" s="4" t="n"/>
      <c r="I568" s="3" t="inlineStr">
        <is>
          <t>35-44</t>
        </is>
      </c>
      <c r="J568" s="4" t="n">
        <v>3</v>
      </c>
      <c r="K568" s="4" t="n"/>
      <c r="L568" s="4" t="n"/>
      <c r="M568" s="8" t="n">
        <v>0.02</v>
      </c>
      <c r="N568" s="4" t="inlineStr">
        <is>
          <t>%</t>
        </is>
      </c>
      <c r="O568" s="3" t="inlineStr">
        <is>
          <t>Universal meat</t>
        </is>
      </c>
      <c r="P568" s="3" t="inlineStr">
        <is>
          <t>G21</t>
        </is>
      </c>
      <c t="str" r="Q568" s="6">
        <f>A568&amp;"|"&amp;C568&amp;"|"&amp;D568&amp;"|"&amp;G568</f>
        <v>UNIVERSAL MEAT|Шкала|Расходные материалы|1</v>
      </c>
      <c t="str" r="R568" s="6">
        <f>A568&amp;"|"&amp;C568&amp;"|"&amp;D568&amp;"|"&amp;J568</f>
        <v>UNIVERSAL MEAT|Шкала|Расходные материалы|3</v>
      </c>
      <c t="str" r="S568" s="6">
        <f>A568&amp;"|"&amp;C568&amp;"|"&amp;D568&amp;"|"&amp;G568&amp;"|"&amp;J568</f>
        <v>UNIVERSAL MEAT|Шкала|Расходные материалы|1|3</v>
      </c>
      <c t="str" r="T568" s="6">
        <f>A568&amp;"|"&amp;C568&amp;"|"&amp;G568</f>
        <v>UNIVERSAL MEAT|Шкала|1</v>
      </c>
      <c t="str" r="U568" s="6">
        <f>IF(H568="да",A568&amp;"|"&amp;C568&amp;"|"&amp;D568&amp;"|"&amp;J568,"")</f>
        <v/>
      </c>
      <c t="str" r="V568" s="6">
        <f>IF(C568="План",A568&amp;"|"&amp;J568,"")</f>
        <v/>
      </c>
    </row>
    <row r="569">
      <c r="A569" s="3" t="inlineStr">
        <is>
          <t>UNIVERSAL MEAT</t>
        </is>
      </c>
      <c r="B569" s="3" t="inlineStr">
        <is>
          <t>Заруб</t>
        </is>
      </c>
      <c r="C569" s="3" t="inlineStr">
        <is>
          <t>Шкала</t>
        </is>
      </c>
      <c r="D569" s="3" t="inlineStr">
        <is>
          <t>Расходные материалы</t>
        </is>
      </c>
      <c r="E569" s="3" t="inlineStr">
        <is>
          <t>Расходные материалы — за полугодие</t>
        </is>
      </c>
      <c r="F569" s="3" t="inlineStr">
        <is>
          <t>Объем закупок РМ</t>
        </is>
      </c>
      <c r="G569" s="4" t="n">
        <v>1</v>
      </c>
      <c r="H569" s="4" t="n"/>
      <c r="I569" s="3" t="inlineStr">
        <is>
          <t>45-54</t>
        </is>
      </c>
      <c r="J569" s="4" t="n">
        <v>4</v>
      </c>
      <c r="K569" s="4" t="n"/>
      <c r="L569" s="4" t="n"/>
      <c r="M569" s="8" t="n">
        <v>0.03</v>
      </c>
      <c r="N569" s="4" t="inlineStr">
        <is>
          <t>%</t>
        </is>
      </c>
      <c r="O569" s="3" t="inlineStr">
        <is>
          <t>Universal meat</t>
        </is>
      </c>
      <c r="P569" s="3" t="inlineStr">
        <is>
          <t>H21</t>
        </is>
      </c>
      <c t="str" r="Q569" s="6">
        <f>A569&amp;"|"&amp;C569&amp;"|"&amp;D569&amp;"|"&amp;G569</f>
        <v>UNIVERSAL MEAT|Шкала|Расходные материалы|1</v>
      </c>
      <c t="str" r="R569" s="6">
        <f>A569&amp;"|"&amp;C569&amp;"|"&amp;D569&amp;"|"&amp;J569</f>
        <v>UNIVERSAL MEAT|Шкала|Расходные материалы|4</v>
      </c>
      <c t="str" r="S569" s="6">
        <f>A569&amp;"|"&amp;C569&amp;"|"&amp;D569&amp;"|"&amp;G569&amp;"|"&amp;J569</f>
        <v>UNIVERSAL MEAT|Шкала|Расходные материалы|1|4</v>
      </c>
      <c t="str" r="T569" s="6">
        <f>A569&amp;"|"&amp;C569&amp;"|"&amp;G569</f>
        <v>UNIVERSAL MEAT|Шкала|1</v>
      </c>
      <c t="str" r="U569" s="6">
        <f>IF(H569="да",A569&amp;"|"&amp;C569&amp;"|"&amp;D569&amp;"|"&amp;J569,"")</f>
        <v/>
      </c>
      <c t="str" r="V569" s="6">
        <f>IF(C569="План",A569&amp;"|"&amp;J569,"")</f>
        <v/>
      </c>
    </row>
    <row r="570">
      <c r="A570" s="3" t="inlineStr">
        <is>
          <t>UNIVERSAL MEAT</t>
        </is>
      </c>
      <c r="B570" s="3" t="inlineStr">
        <is>
          <t>Заруб</t>
        </is>
      </c>
      <c r="C570" s="3" t="inlineStr">
        <is>
          <t>Шкала</t>
        </is>
      </c>
      <c r="D570" s="3" t="inlineStr">
        <is>
          <t>Расходные материалы</t>
        </is>
      </c>
      <c r="E570" s="3" t="inlineStr">
        <is>
          <t>Расходные материалы — за полугодие</t>
        </is>
      </c>
      <c r="F570" s="3" t="inlineStr">
        <is>
          <t>Объем закупок РМ</t>
        </is>
      </c>
      <c r="G570" s="4" t="n">
        <v>1</v>
      </c>
      <c r="H570" s="4" t="n"/>
      <c r="I570" s="3" t="inlineStr">
        <is>
          <t>55-64</t>
        </is>
      </c>
      <c r="J570" s="4" t="n">
        <v>5</v>
      </c>
      <c r="K570" s="4" t="n"/>
      <c r="L570" s="4" t="n"/>
      <c r="M570" s="8" t="n">
        <v>0.04</v>
      </c>
      <c r="N570" s="4" t="inlineStr">
        <is>
          <t>%</t>
        </is>
      </c>
      <c r="O570" s="3" t="inlineStr">
        <is>
          <t>Universal meat</t>
        </is>
      </c>
      <c r="P570" s="3" t="inlineStr">
        <is>
          <t>I21</t>
        </is>
      </c>
      <c t="str" r="Q570" s="6">
        <f>A570&amp;"|"&amp;C570&amp;"|"&amp;D570&amp;"|"&amp;G570</f>
        <v>UNIVERSAL MEAT|Шкала|Расходные материалы|1</v>
      </c>
      <c t="str" r="R570" s="6">
        <f>A570&amp;"|"&amp;C570&amp;"|"&amp;D570&amp;"|"&amp;J570</f>
        <v>UNIVERSAL MEAT|Шкала|Расходные материалы|5</v>
      </c>
      <c t="str" r="S570" s="6">
        <f>A570&amp;"|"&amp;C570&amp;"|"&amp;D570&amp;"|"&amp;G570&amp;"|"&amp;J570</f>
        <v>UNIVERSAL MEAT|Шкала|Расходные материалы|1|5</v>
      </c>
      <c t="str" r="T570" s="6">
        <f>A570&amp;"|"&amp;C570&amp;"|"&amp;G570</f>
        <v>UNIVERSAL MEAT|Шкала|1</v>
      </c>
      <c t="str" r="U570" s="6">
        <f>IF(H570="да",A570&amp;"|"&amp;C570&amp;"|"&amp;D570&amp;"|"&amp;J570,"")</f>
        <v/>
      </c>
      <c t="str" r="V570" s="6">
        <f>IF(C570="План",A570&amp;"|"&amp;J570,"")</f>
        <v/>
      </c>
    </row>
    <row r="571">
      <c r="A571" s="3" t="inlineStr">
        <is>
          <t>UNIVERSAL MEAT</t>
        </is>
      </c>
      <c r="B571" s="3" t="inlineStr">
        <is>
          <t>Заруб</t>
        </is>
      </c>
      <c r="C571" s="3" t="inlineStr">
        <is>
          <t>Шкала</t>
        </is>
      </c>
      <c r="D571" s="3" t="inlineStr">
        <is>
          <t>Расходные материалы</t>
        </is>
      </c>
      <c r="E571" s="3" t="inlineStr">
        <is>
          <t>Расходные материалы — за полугодие</t>
        </is>
      </c>
      <c r="F571" s="3" t="inlineStr">
        <is>
          <t>Объем закупок РМ</t>
        </is>
      </c>
      <c r="G571" s="4" t="n">
        <v>1</v>
      </c>
      <c r="H571" s="4" t="n"/>
      <c r="I571" s="3" t="inlineStr">
        <is>
          <t>65 и более</t>
        </is>
      </c>
      <c r="J571" s="4" t="n">
        <v>6</v>
      </c>
      <c r="K571" s="4" t="n"/>
      <c r="L571" s="4" t="n"/>
      <c r="M571" s="8" t="n">
        <v>0.05</v>
      </c>
      <c r="N571" s="4" t="inlineStr">
        <is>
          <t>%</t>
        </is>
      </c>
      <c r="O571" s="3" t="inlineStr">
        <is>
          <t>Universal meat</t>
        </is>
      </c>
      <c r="P571" s="3" t="inlineStr">
        <is>
          <t>J21</t>
        </is>
      </c>
      <c t="str" r="Q571" s="6">
        <f>A571&amp;"|"&amp;C571&amp;"|"&amp;D571&amp;"|"&amp;G571</f>
        <v>UNIVERSAL MEAT|Шкала|Расходные материалы|1</v>
      </c>
      <c t="str" r="R571" s="6">
        <f>A571&amp;"|"&amp;C571&amp;"|"&amp;D571&amp;"|"&amp;J571</f>
        <v>UNIVERSAL MEAT|Шкала|Расходные материалы|6</v>
      </c>
      <c t="str" r="S571" s="6">
        <f>A571&amp;"|"&amp;C571&amp;"|"&amp;D571&amp;"|"&amp;G571&amp;"|"&amp;J571</f>
        <v>UNIVERSAL MEAT|Шкала|Расходные материалы|1|6</v>
      </c>
      <c t="str" r="T571" s="6">
        <f>A571&amp;"|"&amp;C571&amp;"|"&amp;G571</f>
        <v>UNIVERSAL MEAT|Шкала|1</v>
      </c>
      <c t="str" r="U571" s="6">
        <f>IF(H571="да",A571&amp;"|"&amp;C571&amp;"|"&amp;D571&amp;"|"&amp;J571,"")</f>
        <v/>
      </c>
      <c t="str" r="V571" s="6">
        <f>IF(C571="План",A571&amp;"|"&amp;J571,"")</f>
        <v/>
      </c>
    </row>
    <row r="572">
      <c r="A572" s="3" t="inlineStr">
        <is>
          <t>UNIVERSAL MEAT</t>
        </is>
      </c>
      <c r="B572" s="3" t="inlineStr">
        <is>
          <t>Заруб</t>
        </is>
      </c>
      <c r="C572" s="3" t="inlineStr">
        <is>
          <t>Шкала</t>
        </is>
      </c>
      <c r="D572" s="3" t="inlineStr">
        <is>
          <t>Сервис (ЗЧ)</t>
        </is>
      </c>
      <c r="E572" s="3" t="inlineStr">
        <is>
          <t>Сервис (ЗЧ) — абсолютные отгрузки за 12 месяцев</t>
        </is>
      </c>
      <c r="F572" s="3" t="inlineStr">
        <is>
          <t>Скидка по сервису</t>
        </is>
      </c>
      <c r="G572" s="4" t="n">
        <v>1</v>
      </c>
      <c r="H572" s="4" t="inlineStr">
        <is>
          <t>да</t>
        </is>
      </c>
      <c r="I572" s="3" t="inlineStr">
        <is>
          <t>0–7000</t>
        </is>
      </c>
      <c r="J572" s="4" t="n">
        <v>1</v>
      </c>
      <c r="K572" s="4" t="n">
        <v>0</v>
      </c>
      <c r="L572" s="4" t="n">
        <v>7000</v>
      </c>
      <c r="M572" s="8" t="n">
        <v>0.1</v>
      </c>
      <c r="N572" s="4" t="inlineStr">
        <is>
          <t>%</t>
        </is>
      </c>
      <c r="O572" s="3" t="inlineStr">
        <is>
          <t>Universal meat</t>
        </is>
      </c>
      <c r="P572" s="3" t="inlineStr">
        <is>
          <t>F24</t>
        </is>
      </c>
      <c t="str" r="Q572" s="6">
        <f>A572&amp;"|"&amp;C572&amp;"|"&amp;D572&amp;"|"&amp;G572</f>
        <v>UNIVERSAL MEAT|Шкала|Сервис (ЗЧ)|1</v>
      </c>
      <c t="str" r="R572" s="6">
        <f>A572&amp;"|"&amp;C572&amp;"|"&amp;D572&amp;"|"&amp;J572</f>
        <v>UNIVERSAL MEAT|Шкала|Сервис (ЗЧ)|1</v>
      </c>
      <c t="str" r="S572" s="6">
        <f>A572&amp;"|"&amp;C572&amp;"|"&amp;D572&amp;"|"&amp;G572&amp;"|"&amp;J572</f>
        <v>UNIVERSAL MEAT|Шкала|Сервис (ЗЧ)|1|1</v>
      </c>
      <c t="str" r="T572" s="6">
        <f>A572&amp;"|"&amp;C572&amp;"|"&amp;G572</f>
        <v>UNIVERSAL MEAT|Шкала|1</v>
      </c>
      <c t="str" r="U572" s="6">
        <f>IF(H572="да",A572&amp;"|"&amp;C572&amp;"|"&amp;D572&amp;"|"&amp;J572,"")</f>
        <v>UNIVERSAL MEAT|Шкала|Сервис (ЗЧ)|1</v>
      </c>
      <c t="str" r="V572" s="6">
        <f>IF(C572="План",A572&amp;"|"&amp;J572,"")</f>
        <v/>
      </c>
    </row>
    <row r="573">
      <c r="A573" s="3" t="inlineStr">
        <is>
          <t>UNIVERSAL MEAT</t>
        </is>
      </c>
      <c r="B573" s="3" t="inlineStr">
        <is>
          <t>Заруб</t>
        </is>
      </c>
      <c r="C573" s="3" t="inlineStr">
        <is>
          <t>Шкала</t>
        </is>
      </c>
      <c r="D573" s="3" t="inlineStr">
        <is>
          <t>Сервис (ЗЧ)</t>
        </is>
      </c>
      <c r="E573" s="3" t="inlineStr">
        <is>
          <t>Сервис (ЗЧ) — абсолютные отгрузки за 12 месяцев</t>
        </is>
      </c>
      <c r="F573" s="3" t="inlineStr">
        <is>
          <t>Скидка по сервису</t>
        </is>
      </c>
      <c r="G573" s="4" t="n">
        <v>1</v>
      </c>
      <c r="H573" s="4" t="inlineStr">
        <is>
          <t>да</t>
        </is>
      </c>
      <c r="I573" s="3" t="inlineStr">
        <is>
          <t>7001–19000</t>
        </is>
      </c>
      <c r="J573" s="4" t="n">
        <v>2</v>
      </c>
      <c r="K573" s="4" t="n">
        <v>7001</v>
      </c>
      <c r="L573" s="4" t="n">
        <v>19000</v>
      </c>
      <c r="M573" s="8" t="n">
        <v>0.11</v>
      </c>
      <c r="N573" s="4" t="inlineStr">
        <is>
          <t>%</t>
        </is>
      </c>
      <c r="O573" s="3" t="inlineStr">
        <is>
          <t>Universal meat</t>
        </is>
      </c>
      <c r="P573" s="3" t="inlineStr">
        <is>
          <t>F25</t>
        </is>
      </c>
      <c t="str" r="Q573" s="6">
        <f>A573&amp;"|"&amp;C573&amp;"|"&amp;D573&amp;"|"&amp;G573</f>
        <v>UNIVERSAL MEAT|Шкала|Сервис (ЗЧ)|1</v>
      </c>
      <c t="str" r="R573" s="6">
        <f>A573&amp;"|"&amp;C573&amp;"|"&amp;D573&amp;"|"&amp;J573</f>
        <v>UNIVERSAL MEAT|Шкала|Сервис (ЗЧ)|2</v>
      </c>
      <c t="str" r="S573" s="6">
        <f>A573&amp;"|"&amp;C573&amp;"|"&amp;D573&amp;"|"&amp;G573&amp;"|"&amp;J573</f>
        <v>UNIVERSAL MEAT|Шкала|Сервис (ЗЧ)|1|2</v>
      </c>
      <c t="str" r="T573" s="6">
        <f>A573&amp;"|"&amp;C573&amp;"|"&amp;G573</f>
        <v>UNIVERSAL MEAT|Шкала|1</v>
      </c>
      <c t="str" r="U573" s="6">
        <f>IF(H573="да",A573&amp;"|"&amp;C573&amp;"|"&amp;D573&amp;"|"&amp;J573,"")</f>
        <v>UNIVERSAL MEAT|Шкала|Сервис (ЗЧ)|2</v>
      </c>
      <c t="str" r="V573" s="6">
        <f>IF(C573="План",A573&amp;"|"&amp;J573,"")</f>
        <v/>
      </c>
    </row>
    <row r="574">
      <c r="A574" s="3" t="inlineStr">
        <is>
          <t>UNIVERSAL MEAT</t>
        </is>
      </c>
      <c r="B574" s="3" t="inlineStr">
        <is>
          <t>Заруб</t>
        </is>
      </c>
      <c r="C574" s="3" t="inlineStr">
        <is>
          <t>Шкала</t>
        </is>
      </c>
      <c r="D574" s="3" t="inlineStr">
        <is>
          <t>Сервис (ЗЧ)</t>
        </is>
      </c>
      <c r="E574" s="3" t="inlineStr">
        <is>
          <t>Сервис (ЗЧ) — абсолютные отгрузки за 12 месяцев</t>
        </is>
      </c>
      <c r="F574" s="3" t="inlineStr">
        <is>
          <t>Скидка по сервису</t>
        </is>
      </c>
      <c r="G574" s="4" t="n">
        <v>1</v>
      </c>
      <c r="H574" s="4" t="inlineStr">
        <is>
          <t>да</t>
        </is>
      </c>
      <c r="I574" s="3" t="inlineStr">
        <is>
          <t>19001–24000</t>
        </is>
      </c>
      <c r="J574" s="4" t="n">
        <v>3</v>
      </c>
      <c r="K574" s="4" t="n">
        <v>19001</v>
      </c>
      <c r="L574" s="4" t="n">
        <v>24000</v>
      </c>
      <c r="M574" s="8" t="n">
        <v>0.13</v>
      </c>
      <c r="N574" s="4" t="inlineStr">
        <is>
          <t>%</t>
        </is>
      </c>
      <c r="O574" s="3" t="inlineStr">
        <is>
          <t>Universal meat</t>
        </is>
      </c>
      <c r="P574" s="3" t="inlineStr">
        <is>
          <t>F26</t>
        </is>
      </c>
      <c t="str" r="Q574" s="6">
        <f>A574&amp;"|"&amp;C574&amp;"|"&amp;D574&amp;"|"&amp;G574</f>
        <v>UNIVERSAL MEAT|Шкала|Сервис (ЗЧ)|1</v>
      </c>
      <c t="str" r="R574" s="6">
        <f>A574&amp;"|"&amp;C574&amp;"|"&amp;D574&amp;"|"&amp;J574</f>
        <v>UNIVERSAL MEAT|Шкала|Сервис (ЗЧ)|3</v>
      </c>
      <c t="str" r="S574" s="6">
        <f>A574&amp;"|"&amp;C574&amp;"|"&amp;D574&amp;"|"&amp;G574&amp;"|"&amp;J574</f>
        <v>UNIVERSAL MEAT|Шкала|Сервис (ЗЧ)|1|3</v>
      </c>
      <c t="str" r="T574" s="6">
        <f>A574&amp;"|"&amp;C574&amp;"|"&amp;G574</f>
        <v>UNIVERSAL MEAT|Шкала|1</v>
      </c>
      <c t="str" r="U574" s="6">
        <f>IF(H574="да",A574&amp;"|"&amp;C574&amp;"|"&amp;D574&amp;"|"&amp;J574,"")</f>
        <v>UNIVERSAL MEAT|Шкала|Сервис (ЗЧ)|3</v>
      </c>
      <c t="str" r="V574" s="6">
        <f>IF(C574="План",A574&amp;"|"&amp;J574,"")</f>
        <v/>
      </c>
    </row>
    <row r="575">
      <c r="A575" s="3" t="inlineStr">
        <is>
          <t>UNIVERSAL MEAT</t>
        </is>
      </c>
      <c r="B575" s="3" t="inlineStr">
        <is>
          <t>Заруб</t>
        </is>
      </c>
      <c r="C575" s="3" t="inlineStr">
        <is>
          <t>Шкала</t>
        </is>
      </c>
      <c r="D575" s="3" t="inlineStr">
        <is>
          <t>Сервис (ЗЧ)</t>
        </is>
      </c>
      <c r="E575" s="3" t="inlineStr">
        <is>
          <t>Сервис (ЗЧ) — абсолютные отгрузки за 12 месяцев</t>
        </is>
      </c>
      <c r="F575" s="3" t="inlineStr">
        <is>
          <t>Скидка по сервису</t>
        </is>
      </c>
      <c r="G575" s="4" t="n">
        <v>1</v>
      </c>
      <c r="H575" s="4" t="inlineStr">
        <is>
          <t>да</t>
        </is>
      </c>
      <c r="I575" s="3" t="inlineStr">
        <is>
          <t>24001–28000</t>
        </is>
      </c>
      <c r="J575" s="4" t="n">
        <v>4</v>
      </c>
      <c r="K575" s="4" t="n">
        <v>24001</v>
      </c>
      <c r="L575" s="4" t="n">
        <v>28000</v>
      </c>
      <c r="M575" s="8" t="n">
        <v>0.14</v>
      </c>
      <c r="N575" s="4" t="inlineStr">
        <is>
          <t>%</t>
        </is>
      </c>
      <c r="O575" s="3" t="inlineStr">
        <is>
          <t>Universal meat</t>
        </is>
      </c>
      <c r="P575" s="3" t="inlineStr">
        <is>
          <t>F27</t>
        </is>
      </c>
      <c t="str" r="Q575" s="6">
        <f>A575&amp;"|"&amp;C575&amp;"|"&amp;D575&amp;"|"&amp;G575</f>
        <v>UNIVERSAL MEAT|Шкала|Сервис (ЗЧ)|1</v>
      </c>
      <c t="str" r="R575" s="6">
        <f>A575&amp;"|"&amp;C575&amp;"|"&amp;D575&amp;"|"&amp;J575</f>
        <v>UNIVERSAL MEAT|Шкала|Сервис (ЗЧ)|4</v>
      </c>
      <c t="str" r="S575" s="6">
        <f>A575&amp;"|"&amp;C575&amp;"|"&amp;D575&amp;"|"&amp;G575&amp;"|"&amp;J575</f>
        <v>UNIVERSAL MEAT|Шкала|Сервис (ЗЧ)|1|4</v>
      </c>
      <c t="str" r="T575" s="6">
        <f>A575&amp;"|"&amp;C575&amp;"|"&amp;G575</f>
        <v>UNIVERSAL MEAT|Шкала|1</v>
      </c>
      <c t="str" r="U575" s="6">
        <f>IF(H575="да",A575&amp;"|"&amp;C575&amp;"|"&amp;D575&amp;"|"&amp;J575,"")</f>
        <v>UNIVERSAL MEAT|Шкала|Сервис (ЗЧ)|4</v>
      </c>
      <c t="str" r="V575" s="6">
        <f>IF(C575="План",A575&amp;"|"&amp;J575,"")</f>
        <v/>
      </c>
    </row>
    <row r="576">
      <c r="A576" s="3" t="inlineStr">
        <is>
          <t>UNIVERSAL MEAT</t>
        </is>
      </c>
      <c r="B576" s="3" t="inlineStr">
        <is>
          <t>Заруб</t>
        </is>
      </c>
      <c r="C576" s="3" t="inlineStr">
        <is>
          <t>Шкала</t>
        </is>
      </c>
      <c r="D576" s="3" t="inlineStr">
        <is>
          <t>Сервис (ЗЧ)</t>
        </is>
      </c>
      <c r="E576" s="3" t="inlineStr">
        <is>
          <t>Сервис (ЗЧ) — абсолютные отгрузки за 12 месяцев</t>
        </is>
      </c>
      <c r="F576" s="3" t="inlineStr">
        <is>
          <t>Скидка по сервису</t>
        </is>
      </c>
      <c r="G576" s="4" t="n">
        <v>1</v>
      </c>
      <c r="H576" s="4" t="inlineStr">
        <is>
          <t>да</t>
        </is>
      </c>
      <c r="I576" s="3" t="inlineStr">
        <is>
          <t>28001–40000</t>
        </is>
      </c>
      <c r="J576" s="4" t="n">
        <v>5</v>
      </c>
      <c r="K576" s="4" t="n">
        <v>28001</v>
      </c>
      <c r="L576" s="4" t="n">
        <v>40000</v>
      </c>
      <c r="M576" s="8" t="n">
        <v>0.15</v>
      </c>
      <c r="N576" s="4" t="inlineStr">
        <is>
          <t>%</t>
        </is>
      </c>
      <c r="O576" s="3" t="inlineStr">
        <is>
          <t>Universal meat</t>
        </is>
      </c>
      <c r="P576" s="3" t="inlineStr">
        <is>
          <t>F28</t>
        </is>
      </c>
      <c t="str" r="Q576" s="6">
        <f>A576&amp;"|"&amp;C576&amp;"|"&amp;D576&amp;"|"&amp;G576</f>
        <v>UNIVERSAL MEAT|Шкала|Сервис (ЗЧ)|1</v>
      </c>
      <c t="str" r="R576" s="6">
        <f>A576&amp;"|"&amp;C576&amp;"|"&amp;D576&amp;"|"&amp;J576</f>
        <v>UNIVERSAL MEAT|Шкала|Сервис (ЗЧ)|5</v>
      </c>
      <c t="str" r="S576" s="6">
        <f>A576&amp;"|"&amp;C576&amp;"|"&amp;D576&amp;"|"&amp;G576&amp;"|"&amp;J576</f>
        <v>UNIVERSAL MEAT|Шкала|Сервис (ЗЧ)|1|5</v>
      </c>
      <c t="str" r="T576" s="6">
        <f>A576&amp;"|"&amp;C576&amp;"|"&amp;G576</f>
        <v>UNIVERSAL MEAT|Шкала|1</v>
      </c>
      <c t="str" r="U576" s="6">
        <f>IF(H576="да",A576&amp;"|"&amp;C576&amp;"|"&amp;D576&amp;"|"&amp;J576,"")</f>
        <v>UNIVERSAL MEAT|Шкала|Сервис (ЗЧ)|5</v>
      </c>
      <c t="str" r="V576" s="6">
        <f>IF(C576="План",A576&amp;"|"&amp;J576,"")</f>
        <v/>
      </c>
    </row>
    <row r="577">
      <c r="A577" s="3" t="inlineStr">
        <is>
          <t>UNIVERSAL MEAT</t>
        </is>
      </c>
      <c r="B577" s="3" t="inlineStr">
        <is>
          <t>Заруб</t>
        </is>
      </c>
      <c r="C577" s="3" t="inlineStr">
        <is>
          <t>Шкала</t>
        </is>
      </c>
      <c r="D577" s="3" t="inlineStr">
        <is>
          <t>Сервис (ЗЧ)</t>
        </is>
      </c>
      <c r="E577" s="3" t="inlineStr">
        <is>
          <t>Сервис (ЗЧ) — абсолютные отгрузки за 12 месяцев</t>
        </is>
      </c>
      <c r="F577" s="3" t="inlineStr">
        <is>
          <t>Скидка по сервису</t>
        </is>
      </c>
      <c r="G577" s="4" t="n">
        <v>1</v>
      </c>
      <c r="H577" s="4" t="inlineStr">
        <is>
          <t>да</t>
        </is>
      </c>
      <c r="I577" s="3" t="inlineStr">
        <is>
          <t>40001–48000</t>
        </is>
      </c>
      <c r="J577" s="4" t="n">
        <v>6</v>
      </c>
      <c r="K577" s="4" t="n">
        <v>40001</v>
      </c>
      <c r="L577" s="4" t="n">
        <v>48000</v>
      </c>
      <c r="M577" s="8" t="n">
        <v>0.16</v>
      </c>
      <c r="N577" s="4" t="inlineStr">
        <is>
          <t>%</t>
        </is>
      </c>
      <c r="O577" s="3" t="inlineStr">
        <is>
          <t>Universal meat</t>
        </is>
      </c>
      <c r="P577" s="3" t="inlineStr">
        <is>
          <t>F29</t>
        </is>
      </c>
      <c t="str" r="Q577" s="6">
        <f>A577&amp;"|"&amp;C577&amp;"|"&amp;D577&amp;"|"&amp;G577</f>
        <v>UNIVERSAL MEAT|Шкала|Сервис (ЗЧ)|1</v>
      </c>
      <c t="str" r="R577" s="6">
        <f>A577&amp;"|"&amp;C577&amp;"|"&amp;D577&amp;"|"&amp;J577</f>
        <v>UNIVERSAL MEAT|Шкала|Сервис (ЗЧ)|6</v>
      </c>
      <c t="str" r="S577" s="6">
        <f>A577&amp;"|"&amp;C577&amp;"|"&amp;D577&amp;"|"&amp;G577&amp;"|"&amp;J577</f>
        <v>UNIVERSAL MEAT|Шкала|Сервис (ЗЧ)|1|6</v>
      </c>
      <c t="str" r="T577" s="6">
        <f>A577&amp;"|"&amp;C577&amp;"|"&amp;G577</f>
        <v>UNIVERSAL MEAT|Шкала|1</v>
      </c>
      <c t="str" r="U577" s="6">
        <f>IF(H577="да",A577&amp;"|"&amp;C577&amp;"|"&amp;D577&amp;"|"&amp;J577,"")</f>
        <v>UNIVERSAL MEAT|Шкала|Сервис (ЗЧ)|6</v>
      </c>
      <c t="str" r="V577" s="6">
        <f>IF(C577="План",A577&amp;"|"&amp;J577,"")</f>
        <v/>
      </c>
    </row>
    <row r="578">
      <c r="A578" s="3" t="inlineStr">
        <is>
          <t>UNIVERSAL MEAT</t>
        </is>
      </c>
      <c r="B578" s="3" t="inlineStr">
        <is>
          <t>Заруб</t>
        </is>
      </c>
      <c r="C578" s="3" t="inlineStr">
        <is>
          <t>Шкала</t>
        </is>
      </c>
      <c r="D578" s="3" t="inlineStr">
        <is>
          <t>Сервис (ЗЧ)</t>
        </is>
      </c>
      <c r="E578" s="3" t="inlineStr">
        <is>
          <t>Сервис (ЗЧ) — абсолютные отгрузки за 12 месяцев</t>
        </is>
      </c>
      <c r="F578" s="3" t="inlineStr">
        <is>
          <t>Скидка по сервису</t>
        </is>
      </c>
      <c r="G578" s="4" t="n">
        <v>1</v>
      </c>
      <c r="H578" s="4" t="inlineStr">
        <is>
          <t>да</t>
        </is>
      </c>
      <c r="I578" s="3" t="inlineStr">
        <is>
          <t>48001–60000</t>
        </is>
      </c>
      <c r="J578" s="4" t="n">
        <v>7</v>
      </c>
      <c r="K578" s="4" t="n">
        <v>48001</v>
      </c>
      <c r="L578" s="4" t="n">
        <v>60000</v>
      </c>
      <c r="M578" s="8" t="n">
        <v>0.17</v>
      </c>
      <c r="N578" s="4" t="inlineStr">
        <is>
          <t>%</t>
        </is>
      </c>
      <c r="O578" s="3" t="inlineStr">
        <is>
          <t>Universal meat</t>
        </is>
      </c>
      <c r="P578" s="3" t="inlineStr">
        <is>
          <t>F30</t>
        </is>
      </c>
      <c t="str" r="Q578" s="6">
        <f>A578&amp;"|"&amp;C578&amp;"|"&amp;D578&amp;"|"&amp;G578</f>
        <v>UNIVERSAL MEAT|Шкала|Сервис (ЗЧ)|1</v>
      </c>
      <c t="str" r="R578" s="6">
        <f>A578&amp;"|"&amp;C578&amp;"|"&amp;D578&amp;"|"&amp;J578</f>
        <v>UNIVERSAL MEAT|Шкала|Сервис (ЗЧ)|7</v>
      </c>
      <c t="str" r="S578" s="6">
        <f>A578&amp;"|"&amp;C578&amp;"|"&amp;D578&amp;"|"&amp;G578&amp;"|"&amp;J578</f>
        <v>UNIVERSAL MEAT|Шкала|Сервис (ЗЧ)|1|7</v>
      </c>
      <c t="str" r="T578" s="6">
        <f>A578&amp;"|"&amp;C578&amp;"|"&amp;G578</f>
        <v>UNIVERSAL MEAT|Шкала|1</v>
      </c>
      <c t="str" r="U578" s="6">
        <f>IF(H578="да",A578&amp;"|"&amp;C578&amp;"|"&amp;D578&amp;"|"&amp;J578,"")</f>
        <v>UNIVERSAL MEAT|Шкала|Сервис (ЗЧ)|7</v>
      </c>
      <c t="str" r="V578" s="6">
        <f>IF(C578="План",A578&amp;"|"&amp;J578,"")</f>
        <v/>
      </c>
    </row>
    <row r="579">
      <c r="A579" s="3" t="inlineStr">
        <is>
          <t>UNIVERSAL MEAT</t>
        </is>
      </c>
      <c r="B579" s="3" t="inlineStr">
        <is>
          <t>Заруб</t>
        </is>
      </c>
      <c r="C579" s="3" t="inlineStr">
        <is>
          <t>Шкала</t>
        </is>
      </c>
      <c r="D579" s="3" t="inlineStr">
        <is>
          <t>Сервис (ЗЧ)</t>
        </is>
      </c>
      <c r="E579" s="3" t="inlineStr">
        <is>
          <t>Сервис (ЗЧ) — абсолютные отгрузки за 12 месяцев</t>
        </is>
      </c>
      <c r="F579" s="3" t="inlineStr">
        <is>
          <t>Скидка по сервису</t>
        </is>
      </c>
      <c r="G579" s="4" t="n">
        <v>1</v>
      </c>
      <c r="H579" s="4" t="inlineStr">
        <is>
          <t>да</t>
        </is>
      </c>
      <c r="I579" s="3" t="inlineStr">
        <is>
          <t>60001–75000</t>
        </is>
      </c>
      <c r="J579" s="4" t="n">
        <v>8</v>
      </c>
      <c r="K579" s="4" t="n">
        <v>60001</v>
      </c>
      <c r="L579" s="4" t="n">
        <v>75000</v>
      </c>
      <c r="M579" s="8" t="n">
        <v>0.18</v>
      </c>
      <c r="N579" s="4" t="inlineStr">
        <is>
          <t>%</t>
        </is>
      </c>
      <c r="O579" s="3" t="inlineStr">
        <is>
          <t>Universal meat</t>
        </is>
      </c>
      <c r="P579" s="3" t="inlineStr">
        <is>
          <t>F31</t>
        </is>
      </c>
      <c t="str" r="Q579" s="6">
        <f>A579&amp;"|"&amp;C579&amp;"|"&amp;D579&amp;"|"&amp;G579</f>
        <v>UNIVERSAL MEAT|Шкала|Сервис (ЗЧ)|1</v>
      </c>
      <c t="str" r="R579" s="6">
        <f>A579&amp;"|"&amp;C579&amp;"|"&amp;D579&amp;"|"&amp;J579</f>
        <v>UNIVERSAL MEAT|Шкала|Сервис (ЗЧ)|8</v>
      </c>
      <c t="str" r="S579" s="6">
        <f>A579&amp;"|"&amp;C579&amp;"|"&amp;D579&amp;"|"&amp;G579&amp;"|"&amp;J579</f>
        <v>UNIVERSAL MEAT|Шкала|Сервис (ЗЧ)|1|8</v>
      </c>
      <c t="str" r="T579" s="6">
        <f>A579&amp;"|"&amp;C579&amp;"|"&amp;G579</f>
        <v>UNIVERSAL MEAT|Шкала|1</v>
      </c>
      <c t="str" r="U579" s="6">
        <f>IF(H579="да",A579&amp;"|"&amp;C579&amp;"|"&amp;D579&amp;"|"&amp;J579,"")</f>
        <v>UNIVERSAL MEAT|Шкала|Сервис (ЗЧ)|8</v>
      </c>
      <c t="str" r="V579" s="6">
        <f>IF(C579="План",A579&amp;"|"&amp;J579,"")</f>
        <v/>
      </c>
    </row>
    <row r="580">
      <c r="A580" s="3" t="inlineStr">
        <is>
          <t>UNIVERSAL MEAT</t>
        </is>
      </c>
      <c r="B580" s="3" t="inlineStr">
        <is>
          <t>Заруб</t>
        </is>
      </c>
      <c r="C580" s="3" t="inlineStr">
        <is>
          <t>Шкала</t>
        </is>
      </c>
      <c r="D580" s="3" t="inlineStr">
        <is>
          <t>Сервис (ЗЧ)</t>
        </is>
      </c>
      <c r="E580" s="3" t="inlineStr">
        <is>
          <t>Сервис (ЗЧ) — абсолютные отгрузки за 12 месяцев</t>
        </is>
      </c>
      <c r="F580" s="3" t="inlineStr">
        <is>
          <t>Скидка по сервису</t>
        </is>
      </c>
      <c r="G580" s="4" t="n">
        <v>1</v>
      </c>
      <c r="H580" s="4" t="inlineStr">
        <is>
          <t>да</t>
        </is>
      </c>
      <c r="I580" s="3" t="inlineStr">
        <is>
          <t>75001–90000</t>
        </is>
      </c>
      <c r="J580" s="4" t="n">
        <v>9</v>
      </c>
      <c r="K580" s="4" t="n">
        <v>75001</v>
      </c>
      <c r="L580" s="4" t="n">
        <v>90000</v>
      </c>
      <c r="M580" s="8" t="n">
        <v>0.19</v>
      </c>
      <c r="N580" s="4" t="inlineStr">
        <is>
          <t>%</t>
        </is>
      </c>
      <c r="O580" s="3" t="inlineStr">
        <is>
          <t>Universal meat</t>
        </is>
      </c>
      <c r="P580" s="3" t="inlineStr">
        <is>
          <t>F32</t>
        </is>
      </c>
      <c t="str" r="Q580" s="6">
        <f>A580&amp;"|"&amp;C580&amp;"|"&amp;D580&amp;"|"&amp;G580</f>
        <v>UNIVERSAL MEAT|Шкала|Сервис (ЗЧ)|1</v>
      </c>
      <c t="str" r="R580" s="6">
        <f>A580&amp;"|"&amp;C580&amp;"|"&amp;D580&amp;"|"&amp;J580</f>
        <v>UNIVERSAL MEAT|Шкала|Сервис (ЗЧ)|9</v>
      </c>
      <c t="str" r="S580" s="6">
        <f>A580&amp;"|"&amp;C580&amp;"|"&amp;D580&amp;"|"&amp;G580&amp;"|"&amp;J580</f>
        <v>UNIVERSAL MEAT|Шкала|Сервис (ЗЧ)|1|9</v>
      </c>
      <c t="str" r="T580" s="6">
        <f>A580&amp;"|"&amp;C580&amp;"|"&amp;G580</f>
        <v>UNIVERSAL MEAT|Шкала|1</v>
      </c>
      <c t="str" r="U580" s="6">
        <f>IF(H580="да",A580&amp;"|"&amp;C580&amp;"|"&amp;D580&amp;"|"&amp;J580,"")</f>
        <v>UNIVERSAL MEAT|Шкала|Сервис (ЗЧ)|9</v>
      </c>
      <c t="str" r="V580" s="6">
        <f>IF(C580="План",A580&amp;"|"&amp;J580,"")</f>
        <v/>
      </c>
    </row>
    <row r="581">
      <c r="A581" s="3" t="inlineStr">
        <is>
          <t>UNIVERSAL MEAT</t>
        </is>
      </c>
      <c r="B581" s="3" t="inlineStr">
        <is>
          <t>Заруб</t>
        </is>
      </c>
      <c r="C581" s="3" t="inlineStr">
        <is>
          <t>Шкала</t>
        </is>
      </c>
      <c r="D581" s="3" t="inlineStr">
        <is>
          <t>Сервис (ЗЧ)</t>
        </is>
      </c>
      <c r="E581" s="3" t="inlineStr">
        <is>
          <t>Сервис (ЗЧ) — абсолютные отгрузки за 12 месяцев</t>
        </is>
      </c>
      <c r="F581" s="3" t="inlineStr">
        <is>
          <t>Скидка по сервису</t>
        </is>
      </c>
      <c r="G581" s="4" t="n">
        <v>1</v>
      </c>
      <c r="H581" s="4" t="inlineStr">
        <is>
          <t>да</t>
        </is>
      </c>
      <c r="I581" s="3" t="inlineStr">
        <is>
          <t>90001–105000</t>
        </is>
      </c>
      <c r="J581" s="4" t="n">
        <v>10</v>
      </c>
      <c r="K581" s="4" t="n">
        <v>90001</v>
      </c>
      <c r="L581" s="4" t="n">
        <v>105000</v>
      </c>
      <c r="M581" s="8" t="n">
        <v>0.2</v>
      </c>
      <c r="N581" s="4" t="inlineStr">
        <is>
          <t>%</t>
        </is>
      </c>
      <c r="O581" s="3" t="inlineStr">
        <is>
          <t>Universal meat</t>
        </is>
      </c>
      <c r="P581" s="3" t="inlineStr">
        <is>
          <t>F33</t>
        </is>
      </c>
      <c t="str" r="Q581" s="6">
        <f>A581&amp;"|"&amp;C581&amp;"|"&amp;D581&amp;"|"&amp;G581</f>
        <v>UNIVERSAL MEAT|Шкала|Сервис (ЗЧ)|1</v>
      </c>
      <c t="str" r="R581" s="6">
        <f>A581&amp;"|"&amp;C581&amp;"|"&amp;D581&amp;"|"&amp;J581</f>
        <v>UNIVERSAL MEAT|Шкала|Сервис (ЗЧ)|10</v>
      </c>
      <c t="str" r="S581" s="6">
        <f>A581&amp;"|"&amp;C581&amp;"|"&amp;D581&amp;"|"&amp;G581&amp;"|"&amp;J581</f>
        <v>UNIVERSAL MEAT|Шкала|Сервис (ЗЧ)|1|10</v>
      </c>
      <c t="str" r="T581" s="6">
        <f>A581&amp;"|"&amp;C581&amp;"|"&amp;G581</f>
        <v>UNIVERSAL MEAT|Шкала|1</v>
      </c>
      <c t="str" r="U581" s="6">
        <f>IF(H581="да",A581&amp;"|"&amp;C581&amp;"|"&amp;D581&amp;"|"&amp;J581,"")</f>
        <v>UNIVERSAL MEAT|Шкала|Сервис (ЗЧ)|10</v>
      </c>
      <c t="str" r="V581" s="6">
        <f>IF(C581="План",A581&amp;"|"&amp;J581,"")</f>
        <v/>
      </c>
    </row>
    <row r="582">
      <c r="A582" s="3" t="inlineStr">
        <is>
          <t>UNIVERSAL MEAT</t>
        </is>
      </c>
      <c r="B582" s="3" t="inlineStr">
        <is>
          <t>Заруб</t>
        </is>
      </c>
      <c r="C582" s="3" t="inlineStr">
        <is>
          <t>Шкала</t>
        </is>
      </c>
      <c r="D582" s="3" t="inlineStr">
        <is>
          <t>Сервис (ЗЧ)</t>
        </is>
      </c>
      <c r="E582" s="3" t="inlineStr">
        <is>
          <t>Сервис (ЗЧ) — абсолютные отгрузки за 12 месяцев</t>
        </is>
      </c>
      <c r="F582" s="3" t="inlineStr">
        <is>
          <t>Скидка по сервису</t>
        </is>
      </c>
      <c r="G582" s="4" t="n">
        <v>1</v>
      </c>
      <c r="H582" s="4" t="inlineStr">
        <is>
          <t>да</t>
        </is>
      </c>
      <c r="I582" s="3" t="inlineStr">
        <is>
          <t>105001–115000</t>
        </is>
      </c>
      <c r="J582" s="4" t="n">
        <v>11</v>
      </c>
      <c r="K582" s="4" t="n">
        <v>105001</v>
      </c>
      <c r="L582" s="4" t="n">
        <v>115000</v>
      </c>
      <c r="M582" s="8" t="n">
        <v>0.21</v>
      </c>
      <c r="N582" s="4" t="inlineStr">
        <is>
          <t>%</t>
        </is>
      </c>
      <c r="O582" s="3" t="inlineStr">
        <is>
          <t>Universal meat</t>
        </is>
      </c>
      <c r="P582" s="3" t="inlineStr">
        <is>
          <t>F34</t>
        </is>
      </c>
      <c t="str" r="Q582" s="6">
        <f>A582&amp;"|"&amp;C582&amp;"|"&amp;D582&amp;"|"&amp;G582</f>
        <v>UNIVERSAL MEAT|Шкала|Сервис (ЗЧ)|1</v>
      </c>
      <c t="str" r="R582" s="6">
        <f>A582&amp;"|"&amp;C582&amp;"|"&amp;D582&amp;"|"&amp;J582</f>
        <v>UNIVERSAL MEAT|Шкала|Сервис (ЗЧ)|11</v>
      </c>
      <c t="str" r="S582" s="6">
        <f>A582&amp;"|"&amp;C582&amp;"|"&amp;D582&amp;"|"&amp;G582&amp;"|"&amp;J582</f>
        <v>UNIVERSAL MEAT|Шкала|Сервис (ЗЧ)|1|11</v>
      </c>
      <c t="str" r="T582" s="6">
        <f>A582&amp;"|"&amp;C582&amp;"|"&amp;G582</f>
        <v>UNIVERSAL MEAT|Шкала|1</v>
      </c>
      <c t="str" r="U582" s="6">
        <f>IF(H582="да",A582&amp;"|"&amp;C582&amp;"|"&amp;D582&amp;"|"&amp;J582,"")</f>
        <v>UNIVERSAL MEAT|Шкала|Сервис (ЗЧ)|11</v>
      </c>
      <c t="str" r="V582" s="6">
        <f>IF(C582="План",A582&amp;"|"&amp;J582,"")</f>
        <v/>
      </c>
    </row>
    <row r="583">
      <c r="A583" s="3" t="inlineStr">
        <is>
          <t>UNIVERSAL MEAT</t>
        </is>
      </c>
      <c r="B583" s="3" t="inlineStr">
        <is>
          <t>Заруб</t>
        </is>
      </c>
      <c r="C583" s="3" t="inlineStr">
        <is>
          <t>Шкала</t>
        </is>
      </c>
      <c r="D583" s="3" t="inlineStr">
        <is>
          <t>Сервис (ЗЧ)</t>
        </is>
      </c>
      <c r="E583" s="3" t="inlineStr">
        <is>
          <t>Сервис (ЗЧ) — абсолютные отгрузки за 12 месяцев</t>
        </is>
      </c>
      <c r="F583" s="3" t="inlineStr">
        <is>
          <t>Скидка по сервису</t>
        </is>
      </c>
      <c r="G583" s="4" t="n">
        <v>1</v>
      </c>
      <c r="H583" s="4" t="inlineStr">
        <is>
          <t>да</t>
        </is>
      </c>
      <c r="I583" s="3" t="inlineStr">
        <is>
          <t>115001+</t>
        </is>
      </c>
      <c r="J583" s="4" t="n">
        <v>12</v>
      </c>
      <c r="K583" s="4" t="n">
        <v>115001</v>
      </c>
      <c r="L583" s="4" t="n">
        <v>0</v>
      </c>
      <c r="M583" s="8" t="n">
        <v>0.22</v>
      </c>
      <c r="N583" s="4" t="inlineStr">
        <is>
          <t>%</t>
        </is>
      </c>
      <c r="O583" s="3" t="inlineStr">
        <is>
          <t>Universal meat</t>
        </is>
      </c>
      <c r="P583" s="3" t="inlineStr">
        <is>
          <t>F35</t>
        </is>
      </c>
      <c t="str" r="Q583" s="6">
        <f>A583&amp;"|"&amp;C583&amp;"|"&amp;D583&amp;"|"&amp;G583</f>
        <v>UNIVERSAL MEAT|Шкала|Сервис (ЗЧ)|1</v>
      </c>
      <c t="str" r="R583" s="6">
        <f>A583&amp;"|"&amp;C583&amp;"|"&amp;D583&amp;"|"&amp;J583</f>
        <v>UNIVERSAL MEAT|Шкала|Сервис (ЗЧ)|12</v>
      </c>
      <c t="str" r="S583" s="6">
        <f>A583&amp;"|"&amp;C583&amp;"|"&amp;D583&amp;"|"&amp;G583&amp;"|"&amp;J583</f>
        <v>UNIVERSAL MEAT|Шкала|Сервис (ЗЧ)|1|12</v>
      </c>
      <c t="str" r="T583" s="6">
        <f>A583&amp;"|"&amp;C583&amp;"|"&amp;G583</f>
        <v>UNIVERSAL MEAT|Шкала|1</v>
      </c>
      <c t="str" r="U583" s="6">
        <f>IF(H583="да",A583&amp;"|"&amp;C583&amp;"|"&amp;D583&amp;"|"&amp;J583,"")</f>
        <v>UNIVERSAL MEAT|Шкала|Сервис (ЗЧ)|12</v>
      </c>
      <c t="str" r="V583" s="6">
        <f>IF(C583="План",A583&amp;"|"&amp;J583,"")</f>
        <v/>
      </c>
    </row>
    <row r="584">
      <c r="A584" s="3" t="inlineStr">
        <is>
          <t>КОМПО North America Inc</t>
        </is>
      </c>
      <c r="B584" s="3" t="inlineStr">
        <is>
          <t>Заруб</t>
        </is>
      </c>
      <c r="C584" s="3" t="inlineStr">
        <is>
          <t>План</t>
        </is>
      </c>
      <c r="D584" s="3" t="inlineStr">
        <is>
          <t>Итого по дилеру</t>
        </is>
      </c>
      <c r="E584" s="3" t="inlineStr">
        <is>
          <t>План и бонусы</t>
        </is>
      </c>
      <c r="F584" s="3" t="inlineStr">
        <is>
          <t>Выручка 2024</t>
        </is>
      </c>
      <c r="G584" s="4" t="n">
        <v>1</v>
      </c>
      <c r="H584" s="4" t="n"/>
      <c r="I584" s="3" t="n"/>
      <c r="J584" s="4" t="n">
        <v>1</v>
      </c>
      <c r="K584" s="4" t="n"/>
      <c r="L584" s="4" t="n"/>
      <c r="M584" s="5" t="n">
        <v>382736</v>
      </c>
      <c r="N584" s="4" t="inlineStr">
        <is>
          <t>EUR</t>
        </is>
      </c>
      <c r="O584" s="3" t="inlineStr">
        <is>
          <t>KNA</t>
        </is>
      </c>
      <c r="P584" s="3" t="inlineStr">
        <is>
          <t>D4</t>
        </is>
      </c>
      <c t="str" r="Q584" s="6">
        <f>A584&amp;"|"&amp;C584&amp;"|"&amp;D584&amp;"|"&amp;G584</f>
        <v>КОМПО North America Inc|План|Итого по дилеру|1</v>
      </c>
      <c t="str" r="R584" s="6">
        <f>A584&amp;"|"&amp;C584&amp;"|"&amp;D584&amp;"|"&amp;J584</f>
        <v>КОМПО North America Inc|План|Итого по дилеру|1</v>
      </c>
      <c t="str" r="S584" s="6">
        <f>A584&amp;"|"&amp;C584&amp;"|"&amp;D584&amp;"|"&amp;G584&amp;"|"&amp;J584</f>
        <v>КОМПО North America Inc|План|Итого по дилеру|1|1</v>
      </c>
      <c t="str" r="T584" s="6">
        <f>A584&amp;"|"&amp;C584&amp;"|"&amp;G584</f>
        <v>КОМПО North America Inc|План|1</v>
      </c>
      <c t="str" r="U584" s="6">
        <f>IF(H584="да",A584&amp;"|"&amp;C584&amp;"|"&amp;D584&amp;"|"&amp;J584,"")</f>
        <v/>
      </c>
      <c t="str" r="V584" s="6">
        <f>IF(C584="План",A584&amp;"|"&amp;J584,"")</f>
        <v>КОМПО North America Inc|1</v>
      </c>
    </row>
    <row r="585">
      <c r="A585" s="3" t="inlineStr">
        <is>
          <t>КОМПО North America Inc</t>
        </is>
      </c>
      <c r="B585" s="3" t="inlineStr">
        <is>
          <t>Заруб</t>
        </is>
      </c>
      <c r="C585" s="3" t="inlineStr">
        <is>
          <t>План</t>
        </is>
      </c>
      <c r="D585" s="3" t="inlineStr">
        <is>
          <t>Итого по дилеру</t>
        </is>
      </c>
      <c r="E585" s="3" t="inlineStr">
        <is>
          <t>План и бонусы</t>
        </is>
      </c>
      <c r="F585" s="3" t="inlineStr">
        <is>
          <t>Выручка 2025</t>
        </is>
      </c>
      <c r="G585" s="4" t="n">
        <v>1</v>
      </c>
      <c r="H585" s="4" t="n"/>
      <c r="I585" s="3" t="n"/>
      <c r="J585" s="4" t="n">
        <v>2</v>
      </c>
      <c r="K585" s="4" t="n"/>
      <c r="L585" s="4" t="n"/>
      <c r="M585" s="5" t="n">
        <v>184983</v>
      </c>
      <c r="N585" s="4" t="inlineStr">
        <is>
          <t>EUR</t>
        </is>
      </c>
      <c r="O585" s="3" t="inlineStr">
        <is>
          <t>KNA</t>
        </is>
      </c>
      <c r="P585" s="3" t="inlineStr">
        <is>
          <t>E4</t>
        </is>
      </c>
      <c t="str" r="Q585" s="6">
        <f>A585&amp;"|"&amp;C585&amp;"|"&amp;D585&amp;"|"&amp;G585</f>
        <v>КОМПО North America Inc|План|Итого по дилеру|1</v>
      </c>
      <c t="str" r="R585" s="6">
        <f>A585&amp;"|"&amp;C585&amp;"|"&amp;D585&amp;"|"&amp;J585</f>
        <v>КОМПО North America Inc|План|Итого по дилеру|2</v>
      </c>
      <c t="str" r="S585" s="6">
        <f>A585&amp;"|"&amp;C585&amp;"|"&amp;D585&amp;"|"&amp;G585&amp;"|"&amp;J585</f>
        <v>КОМПО North America Inc|План|Итого по дилеру|1|2</v>
      </c>
      <c t="str" r="T585" s="6">
        <f>A585&amp;"|"&amp;C585&amp;"|"&amp;G585</f>
        <v>КОМПО North America Inc|План|1</v>
      </c>
      <c t="str" r="U585" s="6">
        <f>IF(H585="да",A585&amp;"|"&amp;C585&amp;"|"&amp;D585&amp;"|"&amp;J585,"")</f>
        <v/>
      </c>
      <c t="str" r="V585" s="6">
        <f>IF(C585="План",A585&amp;"|"&amp;J585,"")</f>
        <v>КОМПО North America Inc|2</v>
      </c>
    </row>
    <row r="586">
      <c r="A586" s="3" t="inlineStr">
        <is>
          <t>КОМПО North America Inc</t>
        </is>
      </c>
      <c r="B586" s="3" t="inlineStr">
        <is>
          <t>Заруб</t>
        </is>
      </c>
      <c r="C586" s="3" t="inlineStr">
        <is>
          <t>План</t>
        </is>
      </c>
      <c r="D586" s="3" t="inlineStr">
        <is>
          <t>Итого по дилеру</t>
        </is>
      </c>
      <c r="E586" s="3" t="inlineStr">
        <is>
          <t>План и бонусы</t>
        </is>
      </c>
      <c r="F586" s="3" t="inlineStr">
        <is>
          <t>План 2026</t>
        </is>
      </c>
      <c r="G586" s="4" t="n">
        <v>1</v>
      </c>
      <c r="H586" s="4" t="n"/>
      <c r="I586" s="3" t="n"/>
      <c r="J586" s="4" t="n">
        <v>3</v>
      </c>
      <c r="K586" s="4" t="n"/>
      <c r="L586" s="4" t="n"/>
      <c r="M586" s="5" t="n">
        <v>350000</v>
      </c>
      <c r="N586" s="4" t="inlineStr">
        <is>
          <t>EUR</t>
        </is>
      </c>
      <c r="O586" s="3" t="inlineStr">
        <is>
          <t>KNA</t>
        </is>
      </c>
      <c r="P586" s="3" t="inlineStr">
        <is>
          <t>F4</t>
        </is>
      </c>
      <c t="str" r="Q586" s="6">
        <f>A586&amp;"|"&amp;C586&amp;"|"&amp;D586&amp;"|"&amp;G586</f>
        <v>КОМПО North America Inc|План|Итого по дилеру|1</v>
      </c>
      <c t="str" r="R586" s="6">
        <f>A586&amp;"|"&amp;C586&amp;"|"&amp;D586&amp;"|"&amp;J586</f>
        <v>КОМПО North America Inc|План|Итого по дилеру|3</v>
      </c>
      <c t="str" r="S586" s="6">
        <f>A586&amp;"|"&amp;C586&amp;"|"&amp;D586&amp;"|"&amp;G586&amp;"|"&amp;J586</f>
        <v>КОМПО North America Inc|План|Итого по дилеру|1|3</v>
      </c>
      <c t="str" r="T586" s="6">
        <f>A586&amp;"|"&amp;C586&amp;"|"&amp;G586</f>
        <v>КОМПО North America Inc|План|1</v>
      </c>
      <c t="str" r="U586" s="6">
        <f>IF(H586="да",A586&amp;"|"&amp;C586&amp;"|"&amp;D586&amp;"|"&amp;J586,"")</f>
        <v/>
      </c>
      <c t="str" r="V586" s="6">
        <f>IF(C586="План",A586&amp;"|"&amp;J586,"")</f>
        <v>КОМПО North America Inc|3</v>
      </c>
    </row>
    <row r="587">
      <c r="A587" s="3" t="inlineStr">
        <is>
          <t>КОМПО North America Inc</t>
        </is>
      </c>
      <c r="B587" s="3" t="inlineStr">
        <is>
          <t>Заруб</t>
        </is>
      </c>
      <c r="C587" s="3" t="inlineStr">
        <is>
          <t>План</t>
        </is>
      </c>
      <c r="D587" s="3" t="inlineStr">
        <is>
          <t>Итого по дилеру</t>
        </is>
      </c>
      <c r="E587" s="3" t="inlineStr">
        <is>
          <t>План и бонусы</t>
        </is>
      </c>
      <c r="F587" s="3" t="inlineStr">
        <is>
          <t>Прирост П/Ф</t>
        </is>
      </c>
      <c r="G587" s="4" t="n">
        <v>1</v>
      </c>
      <c r="H587" s="4" t="n"/>
      <c r="I587" s="3" t="n"/>
      <c r="J587" s="4" t="n">
        <v>4</v>
      </c>
      <c r="K587" s="4" t="n"/>
      <c r="L587" s="4" t="n"/>
      <c r="M587" s="7" t="n">
        <v>0.8920657573939226</v>
      </c>
      <c r="N587" s="4" t="inlineStr">
        <is>
          <t>%</t>
        </is>
      </c>
      <c r="O587" s="3" t="inlineStr">
        <is>
          <t>KNA</t>
        </is>
      </c>
      <c r="P587" s="3" t="inlineStr">
        <is>
          <t>G4</t>
        </is>
      </c>
      <c t="str" r="Q587" s="6">
        <f>A587&amp;"|"&amp;C587&amp;"|"&amp;D587&amp;"|"&amp;G587</f>
        <v>КОМПО North America Inc|План|Итого по дилеру|1</v>
      </c>
      <c t="str" r="R587" s="6">
        <f>A587&amp;"|"&amp;C587&amp;"|"&amp;D587&amp;"|"&amp;J587</f>
        <v>КОМПО North America Inc|План|Итого по дилеру|4</v>
      </c>
      <c t="str" r="S587" s="6">
        <f>A587&amp;"|"&amp;C587&amp;"|"&amp;D587&amp;"|"&amp;G587&amp;"|"&amp;J587</f>
        <v>КОМПО North America Inc|План|Итого по дилеру|1|4</v>
      </c>
      <c t="str" r="T587" s="6">
        <f>A587&amp;"|"&amp;C587&amp;"|"&amp;G587</f>
        <v>КОМПО North America Inc|План|1</v>
      </c>
      <c t="str" r="U587" s="6">
        <f>IF(H587="да",A587&amp;"|"&amp;C587&amp;"|"&amp;D587&amp;"|"&amp;J587,"")</f>
        <v/>
      </c>
      <c t="str" r="V587" s="6">
        <f>IF(C587="План",A587&amp;"|"&amp;J587,"")</f>
        <v>КОМПО North America Inc|4</v>
      </c>
    </row>
    <row r="588">
      <c r="A588" s="3" t="inlineStr">
        <is>
          <t>КОМПО North America Inc</t>
        </is>
      </c>
      <c r="B588" s="3" t="inlineStr">
        <is>
          <t>Заруб</t>
        </is>
      </c>
      <c r="C588" s="3" t="inlineStr">
        <is>
          <t>План</t>
        </is>
      </c>
      <c r="D588" s="3" t="inlineStr">
        <is>
          <t>Сервис</t>
        </is>
      </c>
      <c r="E588" s="3" t="inlineStr">
        <is>
          <t>План и бонусы</t>
        </is>
      </c>
      <c r="F588" s="3" t="inlineStr">
        <is>
          <t>Выручка 2024</t>
        </is>
      </c>
      <c r="G588" s="4" t="n">
        <v>2</v>
      </c>
      <c r="H588" s="4" t="n"/>
      <c r="I588" s="3" t="n"/>
      <c r="J588" s="4" t="n">
        <v>1</v>
      </c>
      <c r="K588" s="4" t="n"/>
      <c r="L588" s="4" t="n"/>
      <c r="M588" s="5" t="n">
        <v>5377</v>
      </c>
      <c r="N588" s="4" t="inlineStr">
        <is>
          <t>EUR</t>
        </is>
      </c>
      <c r="O588" s="3" t="inlineStr">
        <is>
          <t>KNA</t>
        </is>
      </c>
      <c r="P588" s="3" t="inlineStr">
        <is>
          <t>D5</t>
        </is>
      </c>
      <c t="str" r="Q588" s="6">
        <f>A588&amp;"|"&amp;C588&amp;"|"&amp;D588&amp;"|"&amp;G588</f>
        <v>КОМПО North America Inc|План|Сервис|2</v>
      </c>
      <c t="str" r="R588" s="6">
        <f>A588&amp;"|"&amp;C588&amp;"|"&amp;D588&amp;"|"&amp;J588</f>
        <v>КОМПО North America Inc|План|Сервис|1</v>
      </c>
      <c t="str" r="S588" s="6">
        <f>A588&amp;"|"&amp;C588&amp;"|"&amp;D588&amp;"|"&amp;G588&amp;"|"&amp;J588</f>
        <v>КОМПО North America Inc|План|Сервис|2|1</v>
      </c>
      <c t="str" r="T588" s="6">
        <f>A588&amp;"|"&amp;C588&amp;"|"&amp;G588</f>
        <v>КОМПО North America Inc|План|2</v>
      </c>
      <c t="str" r="U588" s="6">
        <f>IF(H588="да",A588&amp;"|"&amp;C588&amp;"|"&amp;D588&amp;"|"&amp;J588,"")</f>
        <v/>
      </c>
      <c t="str" r="V588" s="6">
        <f>IF(C588="План",A588&amp;"|"&amp;J588,"")</f>
        <v>КОМПО North America Inc|1</v>
      </c>
    </row>
    <row r="589">
      <c r="A589" s="3" t="inlineStr">
        <is>
          <t>КОМПО North America Inc</t>
        </is>
      </c>
      <c r="B589" s="3" t="inlineStr">
        <is>
          <t>Заруб</t>
        </is>
      </c>
      <c r="C589" s="3" t="inlineStr">
        <is>
          <t>План</t>
        </is>
      </c>
      <c r="D589" s="3" t="inlineStr">
        <is>
          <t>Сервис</t>
        </is>
      </c>
      <c r="E589" s="3" t="inlineStr">
        <is>
          <t>План и бонусы</t>
        </is>
      </c>
      <c r="F589" s="3" t="inlineStr">
        <is>
          <t>Выручка 2025</t>
        </is>
      </c>
      <c r="G589" s="4" t="n">
        <v>2</v>
      </c>
      <c r="H589" s="4" t="n"/>
      <c r="I589" s="3" t="n"/>
      <c r="J589" s="4" t="n">
        <v>2</v>
      </c>
      <c r="K589" s="4" t="n"/>
      <c r="L589" s="4" t="n"/>
      <c r="M589" s="5" t="n">
        <v>-1814</v>
      </c>
      <c r="N589" s="4" t="inlineStr">
        <is>
          <t>EUR</t>
        </is>
      </c>
      <c r="O589" s="3" t="inlineStr">
        <is>
          <t>KNA</t>
        </is>
      </c>
      <c r="P589" s="3" t="inlineStr">
        <is>
          <t>E5</t>
        </is>
      </c>
      <c t="str" r="Q589" s="6">
        <f>A589&amp;"|"&amp;C589&amp;"|"&amp;D589&amp;"|"&amp;G589</f>
        <v>КОМПО North America Inc|План|Сервис|2</v>
      </c>
      <c t="str" r="R589" s="6">
        <f>A589&amp;"|"&amp;C589&amp;"|"&amp;D589&amp;"|"&amp;J589</f>
        <v>КОМПО North America Inc|План|Сервис|2</v>
      </c>
      <c t="str" r="S589" s="6">
        <f>A589&amp;"|"&amp;C589&amp;"|"&amp;D589&amp;"|"&amp;G589&amp;"|"&amp;J589</f>
        <v>КОМПО North America Inc|План|Сервис|2|2</v>
      </c>
      <c t="str" r="T589" s="6">
        <f>A589&amp;"|"&amp;C589&amp;"|"&amp;G589</f>
        <v>КОМПО North America Inc|План|2</v>
      </c>
      <c t="str" r="U589" s="6">
        <f>IF(H589="да",A589&amp;"|"&amp;C589&amp;"|"&amp;D589&amp;"|"&amp;J589,"")</f>
        <v/>
      </c>
      <c t="str" r="V589" s="6">
        <f>IF(C589="План",A589&amp;"|"&amp;J589,"")</f>
        <v>КОМПО North America Inc|2</v>
      </c>
    </row>
    <row r="590">
      <c r="A590" s="3" t="inlineStr">
        <is>
          <t>КОМПО North America Inc</t>
        </is>
      </c>
      <c r="B590" s="3" t="inlineStr">
        <is>
          <t>Заруб</t>
        </is>
      </c>
      <c r="C590" s="3" t="inlineStr">
        <is>
          <t>План</t>
        </is>
      </c>
      <c r="D590" s="3" t="inlineStr">
        <is>
          <t>Сервис</t>
        </is>
      </c>
      <c r="E590" s="3" t="inlineStr">
        <is>
          <t>План и бонусы</t>
        </is>
      </c>
      <c r="F590" s="3" t="inlineStr">
        <is>
          <t>План 2026</t>
        </is>
      </c>
      <c r="G590" s="4" t="n">
        <v>2</v>
      </c>
      <c r="H590" s="4" t="n"/>
      <c r="I590" s="3" t="n"/>
      <c r="J590" s="4" t="n">
        <v>3</v>
      </c>
      <c r="K590" s="4" t="n"/>
      <c r="L590" s="4" t="n"/>
      <c r="M590" s="5" t="n">
        <v>50000</v>
      </c>
      <c r="N590" s="4" t="inlineStr">
        <is>
          <t>EUR</t>
        </is>
      </c>
      <c r="O590" s="3" t="inlineStr">
        <is>
          <t>KNA</t>
        </is>
      </c>
      <c r="P590" s="3" t="inlineStr">
        <is>
          <t>F5</t>
        </is>
      </c>
      <c t="str" r="Q590" s="6">
        <f>A590&amp;"|"&amp;C590&amp;"|"&amp;D590&amp;"|"&amp;G590</f>
        <v>КОМПО North America Inc|План|Сервис|2</v>
      </c>
      <c t="str" r="R590" s="6">
        <f>A590&amp;"|"&amp;C590&amp;"|"&amp;D590&amp;"|"&amp;J590</f>
        <v>КОМПО North America Inc|План|Сервис|3</v>
      </c>
      <c t="str" r="S590" s="6">
        <f>A590&amp;"|"&amp;C590&amp;"|"&amp;D590&amp;"|"&amp;G590&amp;"|"&amp;J590</f>
        <v>КОМПО North America Inc|План|Сервис|2|3</v>
      </c>
      <c t="str" r="T590" s="6">
        <f>A590&amp;"|"&amp;C590&amp;"|"&amp;G590</f>
        <v>КОМПО North America Inc|План|2</v>
      </c>
      <c t="str" r="U590" s="6">
        <f>IF(H590="да",A590&amp;"|"&amp;C590&amp;"|"&amp;D590&amp;"|"&amp;J590,"")</f>
        <v/>
      </c>
      <c t="str" r="V590" s="6">
        <f>IF(C590="План",A590&amp;"|"&amp;J590,"")</f>
        <v>КОМПО North America Inc|3</v>
      </c>
    </row>
    <row r="591">
      <c r="A591" s="3" t="inlineStr">
        <is>
          <t>КОМПО North America Inc</t>
        </is>
      </c>
      <c r="B591" s="3" t="inlineStr">
        <is>
          <t>Заруб</t>
        </is>
      </c>
      <c r="C591" s="3" t="inlineStr">
        <is>
          <t>План</t>
        </is>
      </c>
      <c r="D591" s="3" t="inlineStr">
        <is>
          <t>Сервис</t>
        </is>
      </c>
      <c r="E591" s="3" t="inlineStr">
        <is>
          <t>План и бонусы</t>
        </is>
      </c>
      <c r="F591" s="3" t="inlineStr">
        <is>
          <t>Размер бонуса по итогам 2026 г</t>
        </is>
      </c>
      <c r="G591" s="4" t="n">
        <v>2</v>
      </c>
      <c r="H591" s="4" t="n"/>
      <c r="I591" s="3" t="n"/>
      <c r="J591" s="4" t="n">
        <v>5</v>
      </c>
      <c r="K591" s="4" t="n"/>
      <c r="L591" s="4" t="n"/>
      <c r="M591" s="7" t="n">
        <v>0.01</v>
      </c>
      <c r="N591" s="4" t="inlineStr">
        <is>
          <t>%</t>
        </is>
      </c>
      <c r="O591" s="3" t="inlineStr">
        <is>
          <t>KNA</t>
        </is>
      </c>
      <c r="P591" s="3" t="inlineStr">
        <is>
          <t>H5</t>
        </is>
      </c>
      <c t="str" r="Q591" s="6">
        <f>A591&amp;"|"&amp;C591&amp;"|"&amp;D591&amp;"|"&amp;G591</f>
        <v>КОМПО North America Inc|План|Сервис|2</v>
      </c>
      <c t="str" r="R591" s="6">
        <f>A591&amp;"|"&amp;C591&amp;"|"&amp;D591&amp;"|"&amp;J591</f>
        <v>КОМПО North America Inc|План|Сервис|5</v>
      </c>
      <c t="str" r="S591" s="6">
        <f>A591&amp;"|"&amp;C591&amp;"|"&amp;D591&amp;"|"&amp;G591&amp;"|"&amp;J591</f>
        <v>КОМПО North America Inc|План|Сервис|2|5</v>
      </c>
      <c t="str" r="T591" s="6">
        <f>A591&amp;"|"&amp;C591&amp;"|"&amp;G591</f>
        <v>КОМПО North America Inc|План|2</v>
      </c>
      <c t="str" r="U591" s="6">
        <f>IF(H591="да",A591&amp;"|"&amp;C591&amp;"|"&amp;D591&amp;"|"&amp;J591,"")</f>
        <v/>
      </c>
      <c t="str" r="V591" s="6">
        <f>IF(C591="План",A591&amp;"|"&amp;J591,"")</f>
        <v>КОМПО North America Inc|5</v>
      </c>
    </row>
    <row r="592">
      <c r="A592" s="3" t="inlineStr">
        <is>
          <t>КОМПО North America Inc</t>
        </is>
      </c>
      <c r="B592" s="3" t="inlineStr">
        <is>
          <t>Заруб</t>
        </is>
      </c>
      <c r="C592" s="3" t="inlineStr">
        <is>
          <t>План</t>
        </is>
      </c>
      <c r="D592" s="3" t="inlineStr">
        <is>
          <t>Сервис</t>
        </is>
      </c>
      <c r="E592" s="3" t="inlineStr">
        <is>
          <t>План и бонусы</t>
        </is>
      </c>
      <c r="F592" s="3" t="inlineStr">
        <is>
          <t>Скидка в 1 кв. 2026 ф.г.*</t>
        </is>
      </c>
      <c r="G592" s="4" t="n">
        <v>2</v>
      </c>
      <c r="H592" s="4" t="n"/>
      <c r="I592" s="3" t="n"/>
      <c r="J592" s="4" t="n">
        <v>6</v>
      </c>
      <c r="K592" s="4" t="n"/>
      <c r="L592" s="4" t="n"/>
      <c r="M592" s="8" t="n">
        <v>0.21</v>
      </c>
      <c r="N592" s="4" t="inlineStr">
        <is>
          <t>%</t>
        </is>
      </c>
      <c r="O592" s="3" t="inlineStr">
        <is>
          <t>KNA</t>
        </is>
      </c>
      <c r="P592" s="3" t="inlineStr">
        <is>
          <t>I5</t>
        </is>
      </c>
      <c t="str" r="Q592" s="6">
        <f>A592&amp;"|"&amp;C592&amp;"|"&amp;D592&amp;"|"&amp;G592</f>
        <v>КОМПО North America Inc|План|Сервис|2</v>
      </c>
      <c t="str" r="R592" s="6">
        <f>A592&amp;"|"&amp;C592&amp;"|"&amp;D592&amp;"|"&amp;J592</f>
        <v>КОМПО North America Inc|План|Сервис|6</v>
      </c>
      <c t="str" r="S592" s="6">
        <f>A592&amp;"|"&amp;C592&amp;"|"&amp;D592&amp;"|"&amp;G592&amp;"|"&amp;J592</f>
        <v>КОМПО North America Inc|План|Сервис|2|6</v>
      </c>
      <c t="str" r="T592" s="6">
        <f>A592&amp;"|"&amp;C592&amp;"|"&amp;G592</f>
        <v>КОМПО North America Inc|План|2</v>
      </c>
      <c t="str" r="U592" s="6">
        <f>IF(H592="да",A592&amp;"|"&amp;C592&amp;"|"&amp;D592&amp;"|"&amp;J592,"")</f>
        <v/>
      </c>
      <c t="str" r="V592" s="6">
        <f>IF(C592="План",A592&amp;"|"&amp;J592,"")</f>
        <v>КОМПО North America Inc|6</v>
      </c>
    </row>
    <row r="593">
      <c r="A593" s="3" t="inlineStr">
        <is>
          <t>КОМПО North America Inc</t>
        </is>
      </c>
      <c r="B593" s="3" t="inlineStr">
        <is>
          <t>Заруб</t>
        </is>
      </c>
      <c r="C593" s="3" t="inlineStr">
        <is>
          <t>План</t>
        </is>
      </c>
      <c r="D593" s="3" t="inlineStr">
        <is>
          <t>Оборудование</t>
        </is>
      </c>
      <c r="E593" s="3" t="inlineStr">
        <is>
          <t>План и бонусы</t>
        </is>
      </c>
      <c r="F593" s="3" t="inlineStr">
        <is>
          <t>Выручка 2024</t>
        </is>
      </c>
      <c r="G593" s="4" t="n">
        <v>3</v>
      </c>
      <c r="H593" s="4" t="n"/>
      <c r="I593" s="3" t="n"/>
      <c r="J593" s="4" t="n">
        <v>1</v>
      </c>
      <c r="K593" s="4" t="n"/>
      <c r="L593" s="4" t="n"/>
      <c r="M593" s="5" t="n">
        <v>141373</v>
      </c>
      <c r="N593" s="4" t="inlineStr">
        <is>
          <t>EUR</t>
        </is>
      </c>
      <c r="O593" s="3" t="inlineStr">
        <is>
          <t>KNA</t>
        </is>
      </c>
      <c r="P593" s="3" t="inlineStr">
        <is>
          <t>D6</t>
        </is>
      </c>
      <c t="str" r="Q593" s="6">
        <f>A593&amp;"|"&amp;C593&amp;"|"&amp;D593&amp;"|"&amp;G593</f>
        <v>КОМПО North America Inc|План|Оборудование|3</v>
      </c>
      <c t="str" r="R593" s="6">
        <f>A593&amp;"|"&amp;C593&amp;"|"&amp;D593&amp;"|"&amp;J593</f>
        <v>КОМПО North America Inc|План|Оборудование|1</v>
      </c>
      <c t="str" r="S593" s="6">
        <f>A593&amp;"|"&amp;C593&amp;"|"&amp;D593&amp;"|"&amp;G593&amp;"|"&amp;J593</f>
        <v>КОМПО North America Inc|План|Оборудование|3|1</v>
      </c>
      <c t="str" r="T593" s="6">
        <f>A593&amp;"|"&amp;C593&amp;"|"&amp;G593</f>
        <v>КОМПО North America Inc|План|3</v>
      </c>
      <c t="str" r="U593" s="6">
        <f>IF(H593="да",A593&amp;"|"&amp;C593&amp;"|"&amp;D593&amp;"|"&amp;J593,"")</f>
        <v/>
      </c>
      <c t="str" r="V593" s="6">
        <f>IF(C593="План",A593&amp;"|"&amp;J593,"")</f>
        <v>КОМПО North America Inc|1</v>
      </c>
    </row>
    <row r="594">
      <c r="A594" s="3" t="inlineStr">
        <is>
          <t>КОМПО North America Inc</t>
        </is>
      </c>
      <c r="B594" s="3" t="inlineStr">
        <is>
          <t>Заруб</t>
        </is>
      </c>
      <c r="C594" s="3" t="inlineStr">
        <is>
          <t>План</t>
        </is>
      </c>
      <c r="D594" s="3" t="inlineStr">
        <is>
          <t>Оборудование</t>
        </is>
      </c>
      <c r="E594" s="3" t="inlineStr">
        <is>
          <t>План и бонусы</t>
        </is>
      </c>
      <c r="F594" s="3" t="inlineStr">
        <is>
          <t>Выручка 2025</t>
        </is>
      </c>
      <c r="G594" s="4" t="n">
        <v>3</v>
      </c>
      <c r="H594" s="4" t="n"/>
      <c r="I594" s="3" t="n"/>
      <c r="J594" s="4" t="n">
        <v>2</v>
      </c>
      <c r="K594" s="4" t="n"/>
      <c r="L594" s="4" t="n"/>
      <c r="M594" s="5" t="n">
        <v>85983</v>
      </c>
      <c r="N594" s="4" t="inlineStr">
        <is>
          <t>EUR</t>
        </is>
      </c>
      <c r="O594" s="3" t="inlineStr">
        <is>
          <t>KNA</t>
        </is>
      </c>
      <c r="P594" s="3" t="inlineStr">
        <is>
          <t>E6</t>
        </is>
      </c>
      <c t="str" r="Q594" s="6">
        <f>A594&amp;"|"&amp;C594&amp;"|"&amp;D594&amp;"|"&amp;G594</f>
        <v>КОМПО North America Inc|План|Оборудование|3</v>
      </c>
      <c t="str" r="R594" s="6">
        <f>A594&amp;"|"&amp;C594&amp;"|"&amp;D594&amp;"|"&amp;J594</f>
        <v>КОМПО North America Inc|План|Оборудование|2</v>
      </c>
      <c t="str" r="S594" s="6">
        <f>A594&amp;"|"&amp;C594&amp;"|"&amp;D594&amp;"|"&amp;G594&amp;"|"&amp;J594</f>
        <v>КОМПО North America Inc|План|Оборудование|3|2</v>
      </c>
      <c t="str" r="T594" s="6">
        <f>A594&amp;"|"&amp;C594&amp;"|"&amp;G594</f>
        <v>КОМПО North America Inc|План|3</v>
      </c>
      <c t="str" r="U594" s="6">
        <f>IF(H594="да",A594&amp;"|"&amp;C594&amp;"|"&amp;D594&amp;"|"&amp;J594,"")</f>
        <v/>
      </c>
      <c t="str" r="V594" s="6">
        <f>IF(C594="План",A594&amp;"|"&amp;J594,"")</f>
        <v>КОМПО North America Inc|2</v>
      </c>
    </row>
    <row r="595">
      <c r="A595" s="3" t="inlineStr">
        <is>
          <t>КОМПО North America Inc</t>
        </is>
      </c>
      <c r="B595" s="3" t="inlineStr">
        <is>
          <t>Заруб</t>
        </is>
      </c>
      <c r="C595" s="3" t="inlineStr">
        <is>
          <t>План</t>
        </is>
      </c>
      <c r="D595" s="3" t="inlineStr">
        <is>
          <t>Оборудование</t>
        </is>
      </c>
      <c r="E595" s="3" t="inlineStr">
        <is>
          <t>План и бонусы</t>
        </is>
      </c>
      <c r="F595" s="3" t="inlineStr">
        <is>
          <t>План 2026</t>
        </is>
      </c>
      <c r="G595" s="4" t="n">
        <v>3</v>
      </c>
      <c r="H595" s="4" t="n"/>
      <c r="I595" s="3" t="n"/>
      <c r="J595" s="4" t="n">
        <v>3</v>
      </c>
      <c r="K595" s="4" t="n"/>
      <c r="L595" s="4" t="n"/>
      <c r="M595" s="5" t="n">
        <v>150000</v>
      </c>
      <c r="N595" s="4" t="inlineStr">
        <is>
          <t>EUR</t>
        </is>
      </c>
      <c r="O595" s="3" t="inlineStr">
        <is>
          <t>KNA</t>
        </is>
      </c>
      <c r="P595" s="3" t="inlineStr">
        <is>
          <t>F6</t>
        </is>
      </c>
      <c t="str" r="Q595" s="6">
        <f>A595&amp;"|"&amp;C595&amp;"|"&amp;D595&amp;"|"&amp;G595</f>
        <v>КОМПО North America Inc|План|Оборудование|3</v>
      </c>
      <c t="str" r="R595" s="6">
        <f>A595&amp;"|"&amp;C595&amp;"|"&amp;D595&amp;"|"&amp;J595</f>
        <v>КОМПО North America Inc|План|Оборудование|3</v>
      </c>
      <c t="str" r="S595" s="6">
        <f>A595&amp;"|"&amp;C595&amp;"|"&amp;D595&amp;"|"&amp;G595&amp;"|"&amp;J595</f>
        <v>КОМПО North America Inc|План|Оборудование|3|3</v>
      </c>
      <c t="str" r="T595" s="6">
        <f>A595&amp;"|"&amp;C595&amp;"|"&amp;G595</f>
        <v>КОМПО North America Inc|План|3</v>
      </c>
      <c t="str" r="U595" s="6">
        <f>IF(H595="да",A595&amp;"|"&amp;C595&amp;"|"&amp;D595&amp;"|"&amp;J595,"")</f>
        <v/>
      </c>
      <c t="str" r="V595" s="6">
        <f>IF(C595="План",A595&amp;"|"&amp;J595,"")</f>
        <v>КОМПО North America Inc|3</v>
      </c>
    </row>
    <row r="596">
      <c r="A596" s="3" t="inlineStr">
        <is>
          <t>КОМПО North America Inc</t>
        </is>
      </c>
      <c r="B596" s="3" t="inlineStr">
        <is>
          <t>Заруб</t>
        </is>
      </c>
      <c r="C596" s="3" t="inlineStr">
        <is>
          <t>План</t>
        </is>
      </c>
      <c r="D596" s="3" t="inlineStr">
        <is>
          <t>Оборудование</t>
        </is>
      </c>
      <c r="E596" s="3" t="inlineStr">
        <is>
          <t>План и бонусы</t>
        </is>
      </c>
      <c r="F596" s="3" t="inlineStr">
        <is>
          <t>Размер бонуса по итогам 2026 г</t>
        </is>
      </c>
      <c r="G596" s="4" t="n">
        <v>3</v>
      </c>
      <c r="H596" s="4" t="n"/>
      <c r="I596" s="3" t="n"/>
      <c r="J596" s="4" t="n">
        <v>5</v>
      </c>
      <c r="K596" s="4" t="n"/>
      <c r="L596" s="4" t="n"/>
      <c r="M596" s="7" t="n">
        <v>0.015</v>
      </c>
      <c r="N596" s="4" t="inlineStr">
        <is>
          <t>%</t>
        </is>
      </c>
      <c r="O596" s="3" t="inlineStr">
        <is>
          <t>KNA</t>
        </is>
      </c>
      <c r="P596" s="3" t="inlineStr">
        <is>
          <t>H6</t>
        </is>
      </c>
      <c t="str" r="Q596" s="6">
        <f>A596&amp;"|"&amp;C596&amp;"|"&amp;D596&amp;"|"&amp;G596</f>
        <v>КОМПО North America Inc|План|Оборудование|3</v>
      </c>
      <c t="str" r="R596" s="6">
        <f>A596&amp;"|"&amp;C596&amp;"|"&amp;D596&amp;"|"&amp;J596</f>
        <v>КОМПО North America Inc|План|Оборудование|5</v>
      </c>
      <c t="str" r="S596" s="6">
        <f>A596&amp;"|"&amp;C596&amp;"|"&amp;D596&amp;"|"&amp;G596&amp;"|"&amp;J596</f>
        <v>КОМПО North America Inc|План|Оборудование|3|5</v>
      </c>
      <c t="str" r="T596" s="6">
        <f>A596&amp;"|"&amp;C596&amp;"|"&amp;G596</f>
        <v>КОМПО North America Inc|План|3</v>
      </c>
      <c t="str" r="U596" s="6">
        <f>IF(H596="да",A596&amp;"|"&amp;C596&amp;"|"&amp;D596&amp;"|"&amp;J596,"")</f>
        <v/>
      </c>
      <c t="str" r="V596" s="6">
        <f>IF(C596="План",A596&amp;"|"&amp;J596,"")</f>
        <v>КОМПО North America Inc|5</v>
      </c>
    </row>
    <row r="597">
      <c r="A597" s="3" t="inlineStr">
        <is>
          <t>КОМПО North America Inc</t>
        </is>
      </c>
      <c r="B597" s="3" t="inlineStr">
        <is>
          <t>Заруб</t>
        </is>
      </c>
      <c r="C597" s="3" t="inlineStr">
        <is>
          <t>План</t>
        </is>
      </c>
      <c r="D597" s="3" t="inlineStr">
        <is>
          <t>Оборудование</t>
        </is>
      </c>
      <c r="E597" s="3" t="inlineStr">
        <is>
          <t>План и бонусы</t>
        </is>
      </c>
      <c r="F597" s="3" t="inlineStr">
        <is>
          <t>Скидка в 1 кв. 2026 ф.г.*</t>
        </is>
      </c>
      <c r="G597" s="4" t="n">
        <v>3</v>
      </c>
      <c r="H597" s="4" t="n"/>
      <c r="I597" s="3" t="n"/>
      <c r="J597" s="4" t="n">
        <v>6</v>
      </c>
      <c r="K597" s="4" t="n"/>
      <c r="L597" s="4" t="n"/>
      <c r="M597" s="8" t="n">
        <v>0.22</v>
      </c>
      <c r="N597" s="4" t="inlineStr">
        <is>
          <t>%</t>
        </is>
      </c>
      <c r="O597" s="3" t="inlineStr">
        <is>
          <t>KNA</t>
        </is>
      </c>
      <c r="P597" s="3" t="inlineStr">
        <is>
          <t>I6</t>
        </is>
      </c>
      <c t="str" r="Q597" s="6">
        <f>A597&amp;"|"&amp;C597&amp;"|"&amp;D597&amp;"|"&amp;G597</f>
        <v>КОМПО North America Inc|План|Оборудование|3</v>
      </c>
      <c t="str" r="R597" s="6">
        <f>A597&amp;"|"&amp;C597&amp;"|"&amp;D597&amp;"|"&amp;J597</f>
        <v>КОМПО North America Inc|План|Оборудование|6</v>
      </c>
      <c t="str" r="S597" s="6">
        <f>A597&amp;"|"&amp;C597&amp;"|"&amp;D597&amp;"|"&amp;G597&amp;"|"&amp;J597</f>
        <v>КОМПО North America Inc|План|Оборудование|3|6</v>
      </c>
      <c t="str" r="T597" s="6">
        <f>A597&amp;"|"&amp;C597&amp;"|"&amp;G597</f>
        <v>КОМПО North America Inc|План|3</v>
      </c>
      <c t="str" r="U597" s="6">
        <f>IF(H597="да",A597&amp;"|"&amp;C597&amp;"|"&amp;D597&amp;"|"&amp;J597,"")</f>
        <v/>
      </c>
      <c t="str" r="V597" s="6">
        <f>IF(C597="План",A597&amp;"|"&amp;J597,"")</f>
        <v>КОМПО North America Inc|6</v>
      </c>
    </row>
    <row r="598">
      <c r="A598" s="3" t="inlineStr">
        <is>
          <t>КОМПО North America Inc</t>
        </is>
      </c>
      <c r="B598" s="3" t="inlineStr">
        <is>
          <t>Заруб</t>
        </is>
      </c>
      <c r="C598" s="3" t="inlineStr">
        <is>
          <t>План</t>
        </is>
      </c>
      <c r="D598" s="3" t="inlineStr">
        <is>
          <t>Расходные материалы</t>
        </is>
      </c>
      <c r="E598" s="3" t="inlineStr">
        <is>
          <t>План и бонусы</t>
        </is>
      </c>
      <c r="F598" s="3" t="inlineStr">
        <is>
          <t>Выручка 2024</t>
        </is>
      </c>
      <c r="G598" s="4" t="n">
        <v>4</v>
      </c>
      <c r="H598" s="4" t="n"/>
      <c r="I598" s="3" t="n"/>
      <c r="J598" s="4" t="n">
        <v>1</v>
      </c>
      <c r="K598" s="4" t="n"/>
      <c r="L598" s="4" t="n"/>
      <c r="M598" s="5" t="n">
        <v>235986</v>
      </c>
      <c r="N598" s="4" t="inlineStr">
        <is>
          <t>EUR</t>
        </is>
      </c>
      <c r="O598" s="3" t="inlineStr">
        <is>
          <t>KNA</t>
        </is>
      </c>
      <c r="P598" s="3" t="inlineStr">
        <is>
          <t>D7</t>
        </is>
      </c>
      <c t="str" r="Q598" s="6">
        <f>A598&amp;"|"&amp;C598&amp;"|"&amp;D598&amp;"|"&amp;G598</f>
        <v>КОМПО North America Inc|План|Расходные материалы|4</v>
      </c>
      <c t="str" r="R598" s="6">
        <f>A598&amp;"|"&amp;C598&amp;"|"&amp;D598&amp;"|"&amp;J598</f>
        <v>КОМПО North America Inc|План|Расходные материалы|1</v>
      </c>
      <c t="str" r="S598" s="6">
        <f>A598&amp;"|"&amp;C598&amp;"|"&amp;D598&amp;"|"&amp;G598&amp;"|"&amp;J598</f>
        <v>КОМПО North America Inc|План|Расходные материалы|4|1</v>
      </c>
      <c t="str" r="T598" s="6">
        <f>A598&amp;"|"&amp;C598&amp;"|"&amp;G598</f>
        <v>КОМПО North America Inc|План|4</v>
      </c>
      <c t="str" r="U598" s="6">
        <f>IF(H598="да",A598&amp;"|"&amp;C598&amp;"|"&amp;D598&amp;"|"&amp;J598,"")</f>
        <v/>
      </c>
      <c t="str" r="V598" s="6">
        <f>IF(C598="План",A598&amp;"|"&amp;J598,"")</f>
        <v>КОМПО North America Inc|1</v>
      </c>
    </row>
    <row r="599">
      <c r="A599" s="3" t="inlineStr">
        <is>
          <t>КОМПО North America Inc</t>
        </is>
      </c>
      <c r="B599" s="3" t="inlineStr">
        <is>
          <t>Заруб</t>
        </is>
      </c>
      <c r="C599" s="3" t="inlineStr">
        <is>
          <t>План</t>
        </is>
      </c>
      <c r="D599" s="3" t="inlineStr">
        <is>
          <t>Расходные материалы</t>
        </is>
      </c>
      <c r="E599" s="3" t="inlineStr">
        <is>
          <t>План и бонусы</t>
        </is>
      </c>
      <c r="F599" s="3" t="inlineStr">
        <is>
          <t>Выручка 2025</t>
        </is>
      </c>
      <c r="G599" s="4" t="n">
        <v>4</v>
      </c>
      <c r="H599" s="4" t="n"/>
      <c r="I599" s="3" t="n"/>
      <c r="J599" s="4" t="n">
        <v>2</v>
      </c>
      <c r="K599" s="4" t="n"/>
      <c r="L599" s="4" t="n"/>
      <c r="M599" s="5" t="n">
        <v>100814</v>
      </c>
      <c r="N599" s="4" t="inlineStr">
        <is>
          <t>EUR</t>
        </is>
      </c>
      <c r="O599" s="3" t="inlineStr">
        <is>
          <t>KNA</t>
        </is>
      </c>
      <c r="P599" s="3" t="inlineStr">
        <is>
          <t>E7</t>
        </is>
      </c>
      <c t="str" r="Q599" s="6">
        <f>A599&amp;"|"&amp;C599&amp;"|"&amp;D599&amp;"|"&amp;G599</f>
        <v>КОМПО North America Inc|План|Расходные материалы|4</v>
      </c>
      <c t="str" r="R599" s="6">
        <f>A599&amp;"|"&amp;C599&amp;"|"&amp;D599&amp;"|"&amp;J599</f>
        <v>КОМПО North America Inc|План|Расходные материалы|2</v>
      </c>
      <c t="str" r="S599" s="6">
        <f>A599&amp;"|"&amp;C599&amp;"|"&amp;D599&amp;"|"&amp;G599&amp;"|"&amp;J599</f>
        <v>КОМПО North America Inc|План|Расходные материалы|4|2</v>
      </c>
      <c t="str" r="T599" s="6">
        <f>A599&amp;"|"&amp;C599&amp;"|"&amp;G599</f>
        <v>КОМПО North America Inc|План|4</v>
      </c>
      <c t="str" r="U599" s="6">
        <f>IF(H599="да",A599&amp;"|"&amp;C599&amp;"|"&amp;D599&amp;"|"&amp;J599,"")</f>
        <v/>
      </c>
      <c t="str" r="V599" s="6">
        <f>IF(C599="План",A599&amp;"|"&amp;J599,"")</f>
        <v>КОМПО North America Inc|2</v>
      </c>
    </row>
    <row r="600">
      <c r="A600" s="3" t="inlineStr">
        <is>
          <t>КОМПО North America Inc</t>
        </is>
      </c>
      <c r="B600" s="3" t="inlineStr">
        <is>
          <t>Заруб</t>
        </is>
      </c>
      <c r="C600" s="3" t="inlineStr">
        <is>
          <t>План</t>
        </is>
      </c>
      <c r="D600" s="3" t="inlineStr">
        <is>
          <t>Расходные материалы</t>
        </is>
      </c>
      <c r="E600" s="3" t="inlineStr">
        <is>
          <t>План и бонусы</t>
        </is>
      </c>
      <c r="F600" s="3" t="inlineStr">
        <is>
          <t>План 2026</t>
        </is>
      </c>
      <c r="G600" s="4" t="n">
        <v>4</v>
      </c>
      <c r="H600" s="4" t="n"/>
      <c r="I600" s="3" t="n"/>
      <c r="J600" s="4" t="n">
        <v>3</v>
      </c>
      <c r="K600" s="4" t="n"/>
      <c r="L600" s="4" t="n"/>
      <c r="M600" s="5" t="n">
        <v>150000</v>
      </c>
      <c r="N600" s="4" t="inlineStr">
        <is>
          <t>EUR</t>
        </is>
      </c>
      <c r="O600" s="3" t="inlineStr">
        <is>
          <t>KNA</t>
        </is>
      </c>
      <c r="P600" s="3" t="inlineStr">
        <is>
          <t>F7</t>
        </is>
      </c>
      <c t="str" r="Q600" s="6">
        <f>A600&amp;"|"&amp;C600&amp;"|"&amp;D600&amp;"|"&amp;G600</f>
        <v>КОМПО North America Inc|План|Расходные материалы|4</v>
      </c>
      <c t="str" r="R600" s="6">
        <f>A600&amp;"|"&amp;C600&amp;"|"&amp;D600&amp;"|"&amp;J600</f>
        <v>КОМПО North America Inc|План|Расходные материалы|3</v>
      </c>
      <c t="str" r="S600" s="6">
        <f>A600&amp;"|"&amp;C600&amp;"|"&amp;D600&amp;"|"&amp;G600&amp;"|"&amp;J600</f>
        <v>КОМПО North America Inc|План|Расходные материалы|4|3</v>
      </c>
      <c t="str" r="T600" s="6">
        <f>A600&amp;"|"&amp;C600&amp;"|"&amp;G600</f>
        <v>КОМПО North America Inc|План|4</v>
      </c>
      <c t="str" r="U600" s="6">
        <f>IF(H600="да",A600&amp;"|"&amp;C600&amp;"|"&amp;D600&amp;"|"&amp;J600,"")</f>
        <v/>
      </c>
      <c t="str" r="V600" s="6">
        <f>IF(C600="План",A600&amp;"|"&amp;J600,"")</f>
        <v>КОМПО North America Inc|3</v>
      </c>
    </row>
    <row r="601">
      <c r="A601" s="3" t="inlineStr">
        <is>
          <t>КОМПО North America Inc</t>
        </is>
      </c>
      <c r="B601" s="3" t="inlineStr">
        <is>
          <t>Заруб</t>
        </is>
      </c>
      <c r="C601" s="3" t="inlineStr">
        <is>
          <t>План</t>
        </is>
      </c>
      <c r="D601" s="3" t="inlineStr">
        <is>
          <t>Расходные материалы</t>
        </is>
      </c>
      <c r="E601" s="3" t="inlineStr">
        <is>
          <t>План и бонусы</t>
        </is>
      </c>
      <c r="F601" s="3" t="inlineStr">
        <is>
          <t>Размер бонуса по итогам 2026 г</t>
        </is>
      </c>
      <c r="G601" s="4" t="n">
        <v>4</v>
      </c>
      <c r="H601" s="4" t="n"/>
      <c r="I601" s="3" t="n"/>
      <c r="J601" s="4" t="n">
        <v>5</v>
      </c>
      <c r="K601" s="4" t="n"/>
      <c r="L601" s="4" t="n"/>
      <c r="M601" s="7" t="n">
        <v>0.005</v>
      </c>
      <c r="N601" s="4" t="inlineStr">
        <is>
          <t>%</t>
        </is>
      </c>
      <c r="O601" s="3" t="inlineStr">
        <is>
          <t>KNA</t>
        </is>
      </c>
      <c r="P601" s="3" t="inlineStr">
        <is>
          <t>H7</t>
        </is>
      </c>
      <c t="str" r="Q601" s="6">
        <f>A601&amp;"|"&amp;C601&amp;"|"&amp;D601&amp;"|"&amp;G601</f>
        <v>КОМПО North America Inc|План|Расходные материалы|4</v>
      </c>
      <c t="str" r="R601" s="6">
        <f>A601&amp;"|"&amp;C601&amp;"|"&amp;D601&amp;"|"&amp;J601</f>
        <v>КОМПО North America Inc|План|Расходные материалы|5</v>
      </c>
      <c t="str" r="S601" s="6">
        <f>A601&amp;"|"&amp;C601&amp;"|"&amp;D601&amp;"|"&amp;G601&amp;"|"&amp;J601</f>
        <v>КОМПО North America Inc|План|Расходные материалы|4|5</v>
      </c>
      <c t="str" r="T601" s="6">
        <f>A601&amp;"|"&amp;C601&amp;"|"&amp;G601</f>
        <v>КОМПО North America Inc|План|4</v>
      </c>
      <c t="str" r="U601" s="6">
        <f>IF(H601="да",A601&amp;"|"&amp;C601&amp;"|"&amp;D601&amp;"|"&amp;J601,"")</f>
        <v/>
      </c>
      <c t="str" r="V601" s="6">
        <f>IF(C601="План",A601&amp;"|"&amp;J601,"")</f>
        <v>КОМПО North America Inc|5</v>
      </c>
    </row>
    <row r="602">
      <c r="A602" s="3" t="inlineStr">
        <is>
          <t>КОМПО North America Inc</t>
        </is>
      </c>
      <c r="B602" s="3" t="inlineStr">
        <is>
          <t>Заруб</t>
        </is>
      </c>
      <c r="C602" s="3" t="inlineStr">
        <is>
          <t>Шкала</t>
        </is>
      </c>
      <c r="D602" s="3" t="inlineStr">
        <is>
          <t>Оборудование</t>
        </is>
      </c>
      <c r="E602" s="3" t="inlineStr">
        <is>
          <t>Оборудование — за полугодие</t>
        </is>
      </c>
      <c r="F602" s="3" t="inlineStr">
        <is>
          <t>Базовое вознаграждение за Дилерский договор</t>
        </is>
      </c>
      <c r="G602" s="4" t="n">
        <v>1</v>
      </c>
      <c r="H602" s="4" t="n"/>
      <c r="I602" s="3" t="inlineStr">
        <is>
          <t>до 75</t>
        </is>
      </c>
      <c r="J602" s="4" t="n">
        <v>1</v>
      </c>
      <c r="K602" s="4" t="n"/>
      <c r="L602" s="4" t="n"/>
      <c r="M602" s="8" t="n">
        <v>0.06</v>
      </c>
      <c r="N602" s="4" t="inlineStr">
        <is>
          <t>%</t>
        </is>
      </c>
      <c r="O602" s="3" t="inlineStr">
        <is>
          <t>KNA</t>
        </is>
      </c>
      <c r="P602" s="3" t="inlineStr">
        <is>
          <t>E14</t>
        </is>
      </c>
      <c t="str" r="Q602" s="6">
        <f>A602&amp;"|"&amp;C602&amp;"|"&amp;D602&amp;"|"&amp;G602</f>
        <v>КОМПО North America Inc|Шкала|Оборудование|1</v>
      </c>
      <c t="str" r="R602" s="6">
        <f>A602&amp;"|"&amp;C602&amp;"|"&amp;D602&amp;"|"&amp;J602</f>
        <v>КОМПО North America Inc|Шкала|Оборудование|1</v>
      </c>
      <c t="str" r="S602" s="6">
        <f>A602&amp;"|"&amp;C602&amp;"|"&amp;D602&amp;"|"&amp;G602&amp;"|"&amp;J602</f>
        <v>КОМПО North America Inc|Шкала|Оборудование|1|1</v>
      </c>
      <c t="str" r="T602" s="6">
        <f>A602&amp;"|"&amp;C602&amp;"|"&amp;G602</f>
        <v>КОМПО North America Inc|Шкала|1</v>
      </c>
      <c t="str" r="U602" s="6">
        <f>IF(H602="да",A602&amp;"|"&amp;C602&amp;"|"&amp;D602&amp;"|"&amp;J602,"")</f>
        <v/>
      </c>
      <c t="str" r="V602" s="6">
        <f>IF(C602="План",A602&amp;"|"&amp;J602,"")</f>
        <v/>
      </c>
    </row>
    <row r="603">
      <c r="A603" s="3" t="inlineStr">
        <is>
          <t>КОМПО North America Inc</t>
        </is>
      </c>
      <c r="B603" s="3" t="inlineStr">
        <is>
          <t>Заруб</t>
        </is>
      </c>
      <c r="C603" s="3" t="inlineStr">
        <is>
          <t>Шкала</t>
        </is>
      </c>
      <c r="D603" s="3" t="inlineStr">
        <is>
          <t>Оборудование</t>
        </is>
      </c>
      <c r="E603" s="3" t="inlineStr">
        <is>
          <t>Оборудование — за полугодие</t>
        </is>
      </c>
      <c r="F603" s="3" t="inlineStr">
        <is>
          <t>Базовое вознаграждение за Дилерский договор</t>
        </is>
      </c>
      <c r="G603" s="4" t="n">
        <v>1</v>
      </c>
      <c r="H603" s="4" t="n"/>
      <c r="I603" s="3" t="inlineStr">
        <is>
          <t>75-114</t>
        </is>
      </c>
      <c r="J603" s="4" t="n">
        <v>2</v>
      </c>
      <c r="K603" s="4" t="n"/>
      <c r="L603" s="4" t="n"/>
      <c r="M603" s="8" t="n">
        <v>0.06</v>
      </c>
      <c r="N603" s="4" t="inlineStr">
        <is>
          <t>%</t>
        </is>
      </c>
      <c r="O603" s="3" t="inlineStr">
        <is>
          <t>KNA</t>
        </is>
      </c>
      <c r="P603" s="3" t="inlineStr">
        <is>
          <t>F14</t>
        </is>
      </c>
      <c t="str" r="Q603" s="6">
        <f>A603&amp;"|"&amp;C603&amp;"|"&amp;D603&amp;"|"&amp;G603</f>
        <v>КОМПО North America Inc|Шкала|Оборудование|1</v>
      </c>
      <c t="str" r="R603" s="6">
        <f>A603&amp;"|"&amp;C603&amp;"|"&amp;D603&amp;"|"&amp;J603</f>
        <v>КОМПО North America Inc|Шкала|Оборудование|2</v>
      </c>
      <c t="str" r="S603" s="6">
        <f>A603&amp;"|"&amp;C603&amp;"|"&amp;D603&amp;"|"&amp;G603&amp;"|"&amp;J603</f>
        <v>КОМПО North America Inc|Шкала|Оборудование|1|2</v>
      </c>
      <c t="str" r="T603" s="6">
        <f>A603&amp;"|"&amp;C603&amp;"|"&amp;G603</f>
        <v>КОМПО North America Inc|Шкала|1</v>
      </c>
      <c t="str" r="U603" s="6">
        <f>IF(H603="да",A603&amp;"|"&amp;C603&amp;"|"&amp;D603&amp;"|"&amp;J603,"")</f>
        <v/>
      </c>
      <c t="str" r="V603" s="6">
        <f>IF(C603="План",A603&amp;"|"&amp;J603,"")</f>
        <v/>
      </c>
    </row>
    <row r="604">
      <c r="A604" s="3" t="inlineStr">
        <is>
          <t>КОМПО North America Inc</t>
        </is>
      </c>
      <c r="B604" s="3" t="inlineStr">
        <is>
          <t>Заруб</t>
        </is>
      </c>
      <c r="C604" s="3" t="inlineStr">
        <is>
          <t>Шкала</t>
        </is>
      </c>
      <c r="D604" s="3" t="inlineStr">
        <is>
          <t>Оборудование</t>
        </is>
      </c>
      <c r="E604" s="3" t="inlineStr">
        <is>
          <t>Оборудование — за полугодие</t>
        </is>
      </c>
      <c r="F604" s="3" t="inlineStr">
        <is>
          <t>Базовое вознаграждение за Дилерский договор</t>
        </is>
      </c>
      <c r="G604" s="4" t="n">
        <v>1</v>
      </c>
      <c r="H604" s="4" t="n"/>
      <c r="I604" s="3" t="inlineStr">
        <is>
          <t>115-149</t>
        </is>
      </c>
      <c r="J604" s="4" t="n">
        <v>3</v>
      </c>
      <c r="K604" s="4" t="n"/>
      <c r="L604" s="4" t="n"/>
      <c r="M604" s="8" t="n">
        <v>0.06</v>
      </c>
      <c r="N604" s="4" t="inlineStr">
        <is>
          <t>%</t>
        </is>
      </c>
      <c r="O604" s="3" t="inlineStr">
        <is>
          <t>KNA</t>
        </is>
      </c>
      <c r="P604" s="3" t="inlineStr">
        <is>
          <t>G14</t>
        </is>
      </c>
      <c t="str" r="Q604" s="6">
        <f>A604&amp;"|"&amp;C604&amp;"|"&amp;D604&amp;"|"&amp;G604</f>
        <v>КОМПО North America Inc|Шкала|Оборудование|1</v>
      </c>
      <c t="str" r="R604" s="6">
        <f>A604&amp;"|"&amp;C604&amp;"|"&amp;D604&amp;"|"&amp;J604</f>
        <v>КОМПО North America Inc|Шкала|Оборудование|3</v>
      </c>
      <c t="str" r="S604" s="6">
        <f>A604&amp;"|"&amp;C604&amp;"|"&amp;D604&amp;"|"&amp;G604&amp;"|"&amp;J604</f>
        <v>КОМПО North America Inc|Шкала|Оборудование|1|3</v>
      </c>
      <c t="str" r="T604" s="6">
        <f>A604&amp;"|"&amp;C604&amp;"|"&amp;G604</f>
        <v>КОМПО North America Inc|Шкала|1</v>
      </c>
      <c t="str" r="U604" s="6">
        <f>IF(H604="да",A604&amp;"|"&amp;C604&amp;"|"&amp;D604&amp;"|"&amp;J604,"")</f>
        <v/>
      </c>
      <c t="str" r="V604" s="6">
        <f>IF(C604="План",A604&amp;"|"&amp;J604,"")</f>
        <v/>
      </c>
    </row>
    <row r="605">
      <c r="A605" s="3" t="inlineStr">
        <is>
          <t>КОМПО North America Inc</t>
        </is>
      </c>
      <c r="B605" s="3" t="inlineStr">
        <is>
          <t>Заруб</t>
        </is>
      </c>
      <c r="C605" s="3" t="inlineStr">
        <is>
          <t>Шкала</t>
        </is>
      </c>
      <c r="D605" s="3" t="inlineStr">
        <is>
          <t>Оборудование</t>
        </is>
      </c>
      <c r="E605" s="3" t="inlineStr">
        <is>
          <t>Оборудование — за полугодие</t>
        </is>
      </c>
      <c r="F605" s="3" t="inlineStr">
        <is>
          <t>Базовое вознаграждение за Дилерский договор</t>
        </is>
      </c>
      <c r="G605" s="4" t="n">
        <v>1</v>
      </c>
      <c r="H605" s="4" t="n"/>
      <c r="I605" s="3" t="inlineStr">
        <is>
          <t>150-189</t>
        </is>
      </c>
      <c r="J605" s="4" t="n">
        <v>4</v>
      </c>
      <c r="K605" s="4" t="n"/>
      <c r="L605" s="4" t="n"/>
      <c r="M605" s="8" t="n">
        <v>0.06</v>
      </c>
      <c r="N605" s="4" t="inlineStr">
        <is>
          <t>%</t>
        </is>
      </c>
      <c r="O605" s="3" t="inlineStr">
        <is>
          <t>KNA</t>
        </is>
      </c>
      <c r="P605" s="3" t="inlineStr">
        <is>
          <t>H14</t>
        </is>
      </c>
      <c t="str" r="Q605" s="6">
        <f>A605&amp;"|"&amp;C605&amp;"|"&amp;D605&amp;"|"&amp;G605</f>
        <v>КОМПО North America Inc|Шкала|Оборудование|1</v>
      </c>
      <c t="str" r="R605" s="6">
        <f>A605&amp;"|"&amp;C605&amp;"|"&amp;D605&amp;"|"&amp;J605</f>
        <v>КОМПО North America Inc|Шкала|Оборудование|4</v>
      </c>
      <c t="str" r="S605" s="6">
        <f>A605&amp;"|"&amp;C605&amp;"|"&amp;D605&amp;"|"&amp;G605&amp;"|"&amp;J605</f>
        <v>КОМПО North America Inc|Шкала|Оборудование|1|4</v>
      </c>
      <c t="str" r="T605" s="6">
        <f>A605&amp;"|"&amp;C605&amp;"|"&amp;G605</f>
        <v>КОМПО North America Inc|Шкала|1</v>
      </c>
      <c t="str" r="U605" s="6">
        <f>IF(H605="да",A605&amp;"|"&amp;C605&amp;"|"&amp;D605&amp;"|"&amp;J605,"")</f>
        <v/>
      </c>
      <c t="str" r="V605" s="6">
        <f>IF(C605="План",A605&amp;"|"&amp;J605,"")</f>
        <v/>
      </c>
    </row>
    <row r="606">
      <c r="A606" s="3" t="inlineStr">
        <is>
          <t>КОМПО North America Inc</t>
        </is>
      </c>
      <c r="B606" s="3" t="inlineStr">
        <is>
          <t>Заруб</t>
        </is>
      </c>
      <c r="C606" s="3" t="inlineStr">
        <is>
          <t>Шкала</t>
        </is>
      </c>
      <c r="D606" s="3" t="inlineStr">
        <is>
          <t>Оборудование</t>
        </is>
      </c>
      <c r="E606" s="3" t="inlineStr">
        <is>
          <t>Оборудование — за полугодие</t>
        </is>
      </c>
      <c r="F606" s="3" t="inlineStr">
        <is>
          <t>Базовое вознаграждение за Дилерский договор</t>
        </is>
      </c>
      <c r="G606" s="4" t="n">
        <v>1</v>
      </c>
      <c r="H606" s="4" t="n"/>
      <c r="I606" s="3" t="inlineStr">
        <is>
          <t>190-224</t>
        </is>
      </c>
      <c r="J606" s="4" t="n">
        <v>5</v>
      </c>
      <c r="K606" s="4" t="n"/>
      <c r="L606" s="4" t="n"/>
      <c r="M606" s="8" t="n">
        <v>0.06</v>
      </c>
      <c r="N606" s="4" t="inlineStr">
        <is>
          <t>%</t>
        </is>
      </c>
      <c r="O606" s="3" t="inlineStr">
        <is>
          <t>KNA</t>
        </is>
      </c>
      <c r="P606" s="3" t="inlineStr">
        <is>
          <t>I14</t>
        </is>
      </c>
      <c t="str" r="Q606" s="6">
        <f>A606&amp;"|"&amp;C606&amp;"|"&amp;D606&amp;"|"&amp;G606</f>
        <v>КОМПО North America Inc|Шкала|Оборудование|1</v>
      </c>
      <c t="str" r="R606" s="6">
        <f>A606&amp;"|"&amp;C606&amp;"|"&amp;D606&amp;"|"&amp;J606</f>
        <v>КОМПО North America Inc|Шкала|Оборудование|5</v>
      </c>
      <c t="str" r="S606" s="6">
        <f>A606&amp;"|"&amp;C606&amp;"|"&amp;D606&amp;"|"&amp;G606&amp;"|"&amp;J606</f>
        <v>КОМПО North America Inc|Шкала|Оборудование|1|5</v>
      </c>
      <c t="str" r="T606" s="6">
        <f>A606&amp;"|"&amp;C606&amp;"|"&amp;G606</f>
        <v>КОМПО North America Inc|Шкала|1</v>
      </c>
      <c t="str" r="U606" s="6">
        <f>IF(H606="да",A606&amp;"|"&amp;C606&amp;"|"&amp;D606&amp;"|"&amp;J606,"")</f>
        <v/>
      </c>
      <c t="str" r="V606" s="6">
        <f>IF(C606="План",A606&amp;"|"&amp;J606,"")</f>
        <v/>
      </c>
    </row>
    <row r="607">
      <c r="A607" s="3" t="inlineStr">
        <is>
          <t>КОМПО North America Inc</t>
        </is>
      </c>
      <c r="B607" s="3" t="inlineStr">
        <is>
          <t>Заруб</t>
        </is>
      </c>
      <c r="C607" s="3" t="inlineStr">
        <is>
          <t>Шкала</t>
        </is>
      </c>
      <c r="D607" s="3" t="inlineStr">
        <is>
          <t>Оборудование</t>
        </is>
      </c>
      <c r="E607" s="3" t="inlineStr">
        <is>
          <t>Оборудование — за полугодие</t>
        </is>
      </c>
      <c r="F607" s="3" t="inlineStr">
        <is>
          <t>Базовое вознаграждение за Дилерский договор</t>
        </is>
      </c>
      <c r="G607" s="4" t="n">
        <v>1</v>
      </c>
      <c r="H607" s="4" t="n"/>
      <c r="I607" s="3" t="inlineStr">
        <is>
          <t>225 и более</t>
        </is>
      </c>
      <c r="J607" s="4" t="n">
        <v>6</v>
      </c>
      <c r="K607" s="4" t="n"/>
      <c r="L607" s="4" t="n"/>
      <c r="M607" s="8" t="n">
        <v>0.06</v>
      </c>
      <c r="N607" s="4" t="inlineStr">
        <is>
          <t>%</t>
        </is>
      </c>
      <c r="O607" s="3" t="inlineStr">
        <is>
          <t>KNA</t>
        </is>
      </c>
      <c r="P607" s="3" t="inlineStr">
        <is>
          <t>J14</t>
        </is>
      </c>
      <c t="str" r="Q607" s="6">
        <f>A607&amp;"|"&amp;C607&amp;"|"&amp;D607&amp;"|"&amp;G607</f>
        <v>КОМПО North America Inc|Шкала|Оборудование|1</v>
      </c>
      <c t="str" r="R607" s="6">
        <f>A607&amp;"|"&amp;C607&amp;"|"&amp;D607&amp;"|"&amp;J607</f>
        <v>КОМПО North America Inc|Шкала|Оборудование|6</v>
      </c>
      <c t="str" r="S607" s="6">
        <f>A607&amp;"|"&amp;C607&amp;"|"&amp;D607&amp;"|"&amp;G607&amp;"|"&amp;J607</f>
        <v>КОМПО North America Inc|Шкала|Оборудование|1|6</v>
      </c>
      <c t="str" r="T607" s="6">
        <f>A607&amp;"|"&amp;C607&amp;"|"&amp;G607</f>
        <v>КОМПО North America Inc|Шкала|1</v>
      </c>
      <c t="str" r="U607" s="6">
        <f>IF(H607="да",A607&amp;"|"&amp;C607&amp;"|"&amp;D607&amp;"|"&amp;J607,"")</f>
        <v/>
      </c>
      <c t="str" r="V607" s="6">
        <f>IF(C607="План",A607&amp;"|"&amp;J607,"")</f>
        <v/>
      </c>
    </row>
    <row r="608">
      <c r="A608" s="3" t="inlineStr">
        <is>
          <t>КОМПО North America Inc</t>
        </is>
      </c>
      <c r="B608" s="3" t="inlineStr">
        <is>
          <t>Заруб</t>
        </is>
      </c>
      <c r="C608" s="3" t="inlineStr">
        <is>
          <t>Шкала</t>
        </is>
      </c>
      <c r="D608" s="3" t="inlineStr">
        <is>
          <t>Оборудование</t>
        </is>
      </c>
      <c r="E608" s="3" t="inlineStr">
        <is>
          <t>Оборудование — за полугодие</t>
        </is>
      </c>
      <c r="F608" s="3" t="inlineStr">
        <is>
          <t>Наличие сервисного центра и гарантийное обслуживание</t>
        </is>
      </c>
      <c r="G608" s="4" t="n">
        <v>2</v>
      </c>
      <c r="H608" s="4" t="n"/>
      <c r="I608" s="3" t="inlineStr">
        <is>
          <t>до 75</t>
        </is>
      </c>
      <c r="J608" s="4" t="n">
        <v>1</v>
      </c>
      <c r="K608" s="4" t="n"/>
      <c r="L608" s="4" t="n"/>
      <c r="M608" s="8" t="n">
        <v>0.01</v>
      </c>
      <c r="N608" s="4" t="inlineStr">
        <is>
          <t>%</t>
        </is>
      </c>
      <c r="O608" s="3" t="inlineStr">
        <is>
          <t>KNA</t>
        </is>
      </c>
      <c r="P608" s="3" t="inlineStr">
        <is>
          <t>E15</t>
        </is>
      </c>
      <c t="str" r="Q608" s="6">
        <f>A608&amp;"|"&amp;C608&amp;"|"&amp;D608&amp;"|"&amp;G608</f>
        <v>КОМПО North America Inc|Шкала|Оборудование|2</v>
      </c>
      <c t="str" r="R608" s="6">
        <f>A608&amp;"|"&amp;C608&amp;"|"&amp;D608&amp;"|"&amp;J608</f>
        <v>КОМПО North America Inc|Шкала|Оборудование|1</v>
      </c>
      <c t="str" r="S608" s="6">
        <f>A608&amp;"|"&amp;C608&amp;"|"&amp;D608&amp;"|"&amp;G608&amp;"|"&amp;J608</f>
        <v>КОМПО North America Inc|Шкала|Оборудование|2|1</v>
      </c>
      <c t="str" r="T608" s="6">
        <f>A608&amp;"|"&amp;C608&amp;"|"&amp;G608</f>
        <v>КОМПО North America Inc|Шкала|2</v>
      </c>
      <c t="str" r="U608" s="6">
        <f>IF(H608="да",A608&amp;"|"&amp;C608&amp;"|"&amp;D608&amp;"|"&amp;J608,"")</f>
        <v/>
      </c>
      <c t="str" r="V608" s="6">
        <f>IF(C608="План",A608&amp;"|"&amp;J608,"")</f>
        <v/>
      </c>
    </row>
    <row r="609">
      <c r="A609" s="3" t="inlineStr">
        <is>
          <t>КОМПО North America Inc</t>
        </is>
      </c>
      <c r="B609" s="3" t="inlineStr">
        <is>
          <t>Заруб</t>
        </is>
      </c>
      <c r="C609" s="3" t="inlineStr">
        <is>
          <t>Шкала</t>
        </is>
      </c>
      <c r="D609" s="3" t="inlineStr">
        <is>
          <t>Оборудование</t>
        </is>
      </c>
      <c r="E609" s="3" t="inlineStr">
        <is>
          <t>Оборудование — за полугодие</t>
        </is>
      </c>
      <c r="F609" s="3" t="inlineStr">
        <is>
          <t>Наличие сервисного центра и гарантийное обслуживание</t>
        </is>
      </c>
      <c r="G609" s="4" t="n">
        <v>2</v>
      </c>
      <c r="H609" s="4" t="n"/>
      <c r="I609" s="3" t="inlineStr">
        <is>
          <t>75-114</t>
        </is>
      </c>
      <c r="J609" s="4" t="n">
        <v>2</v>
      </c>
      <c r="K609" s="4" t="n"/>
      <c r="L609" s="4" t="n"/>
      <c r="M609" s="8" t="n">
        <v>0.01</v>
      </c>
      <c r="N609" s="4" t="inlineStr">
        <is>
          <t>%</t>
        </is>
      </c>
      <c r="O609" s="3" t="inlineStr">
        <is>
          <t>KNA</t>
        </is>
      </c>
      <c r="P609" s="3" t="inlineStr">
        <is>
          <t>F15</t>
        </is>
      </c>
      <c t="str" r="Q609" s="6">
        <f>A609&amp;"|"&amp;C609&amp;"|"&amp;D609&amp;"|"&amp;G609</f>
        <v>КОМПО North America Inc|Шкала|Оборудование|2</v>
      </c>
      <c t="str" r="R609" s="6">
        <f>A609&amp;"|"&amp;C609&amp;"|"&amp;D609&amp;"|"&amp;J609</f>
        <v>КОМПО North America Inc|Шкала|Оборудование|2</v>
      </c>
      <c t="str" r="S609" s="6">
        <f>A609&amp;"|"&amp;C609&amp;"|"&amp;D609&amp;"|"&amp;G609&amp;"|"&amp;J609</f>
        <v>КОМПО North America Inc|Шкала|Оборудование|2|2</v>
      </c>
      <c t="str" r="T609" s="6">
        <f>A609&amp;"|"&amp;C609&amp;"|"&amp;G609</f>
        <v>КОМПО North America Inc|Шкала|2</v>
      </c>
      <c t="str" r="U609" s="6">
        <f>IF(H609="да",A609&amp;"|"&amp;C609&amp;"|"&amp;D609&amp;"|"&amp;J609,"")</f>
        <v/>
      </c>
      <c t="str" r="V609" s="6">
        <f>IF(C609="План",A609&amp;"|"&amp;J609,"")</f>
        <v/>
      </c>
    </row>
    <row r="610">
      <c r="A610" s="3" t="inlineStr">
        <is>
          <t>КОМПО North America Inc</t>
        </is>
      </c>
      <c r="B610" s="3" t="inlineStr">
        <is>
          <t>Заруб</t>
        </is>
      </c>
      <c r="C610" s="3" t="inlineStr">
        <is>
          <t>Шкала</t>
        </is>
      </c>
      <c r="D610" s="3" t="inlineStr">
        <is>
          <t>Оборудование</t>
        </is>
      </c>
      <c r="E610" s="3" t="inlineStr">
        <is>
          <t>Оборудование — за полугодие</t>
        </is>
      </c>
      <c r="F610" s="3" t="inlineStr">
        <is>
          <t>Наличие сервисного центра и гарантийное обслуживание</t>
        </is>
      </c>
      <c r="G610" s="4" t="n">
        <v>2</v>
      </c>
      <c r="H610" s="4" t="n"/>
      <c r="I610" s="3" t="inlineStr">
        <is>
          <t>115-149</t>
        </is>
      </c>
      <c r="J610" s="4" t="n">
        <v>3</v>
      </c>
      <c r="K610" s="4" t="n"/>
      <c r="L610" s="4" t="n"/>
      <c r="M610" s="8" t="n">
        <v>0.01</v>
      </c>
      <c r="N610" s="4" t="inlineStr">
        <is>
          <t>%</t>
        </is>
      </c>
      <c r="O610" s="3" t="inlineStr">
        <is>
          <t>KNA</t>
        </is>
      </c>
      <c r="P610" s="3" t="inlineStr">
        <is>
          <t>G15</t>
        </is>
      </c>
      <c t="str" r="Q610" s="6">
        <f>A610&amp;"|"&amp;C610&amp;"|"&amp;D610&amp;"|"&amp;G610</f>
        <v>КОМПО North America Inc|Шкала|Оборудование|2</v>
      </c>
      <c t="str" r="R610" s="6">
        <f>A610&amp;"|"&amp;C610&amp;"|"&amp;D610&amp;"|"&amp;J610</f>
        <v>КОМПО North America Inc|Шкала|Оборудование|3</v>
      </c>
      <c t="str" r="S610" s="6">
        <f>A610&amp;"|"&amp;C610&amp;"|"&amp;D610&amp;"|"&amp;G610&amp;"|"&amp;J610</f>
        <v>КОМПО North America Inc|Шкала|Оборудование|2|3</v>
      </c>
      <c t="str" r="T610" s="6">
        <f>A610&amp;"|"&amp;C610&amp;"|"&amp;G610</f>
        <v>КОМПО North America Inc|Шкала|2</v>
      </c>
      <c t="str" r="U610" s="6">
        <f>IF(H610="да",A610&amp;"|"&amp;C610&amp;"|"&amp;D610&amp;"|"&amp;J610,"")</f>
        <v/>
      </c>
      <c t="str" r="V610" s="6">
        <f>IF(C610="План",A610&amp;"|"&amp;J610,"")</f>
        <v/>
      </c>
    </row>
    <row r="611">
      <c r="A611" s="3" t="inlineStr">
        <is>
          <t>КОМПО North America Inc</t>
        </is>
      </c>
      <c r="B611" s="3" t="inlineStr">
        <is>
          <t>Заруб</t>
        </is>
      </c>
      <c r="C611" s="3" t="inlineStr">
        <is>
          <t>Шкала</t>
        </is>
      </c>
      <c r="D611" s="3" t="inlineStr">
        <is>
          <t>Оборудование</t>
        </is>
      </c>
      <c r="E611" s="3" t="inlineStr">
        <is>
          <t>Оборудование — за полугодие</t>
        </is>
      </c>
      <c r="F611" s="3" t="inlineStr">
        <is>
          <t>Наличие сервисного центра и гарантийное обслуживание</t>
        </is>
      </c>
      <c r="G611" s="4" t="n">
        <v>2</v>
      </c>
      <c r="H611" s="4" t="n"/>
      <c r="I611" s="3" t="inlineStr">
        <is>
          <t>150-189</t>
        </is>
      </c>
      <c r="J611" s="4" t="n">
        <v>4</v>
      </c>
      <c r="K611" s="4" t="n"/>
      <c r="L611" s="4" t="n"/>
      <c r="M611" s="8" t="n">
        <v>0.01</v>
      </c>
      <c r="N611" s="4" t="inlineStr">
        <is>
          <t>%</t>
        </is>
      </c>
      <c r="O611" s="3" t="inlineStr">
        <is>
          <t>KNA</t>
        </is>
      </c>
      <c r="P611" s="3" t="inlineStr">
        <is>
          <t>H15</t>
        </is>
      </c>
      <c t="str" r="Q611" s="6">
        <f>A611&amp;"|"&amp;C611&amp;"|"&amp;D611&amp;"|"&amp;G611</f>
        <v>КОМПО North America Inc|Шкала|Оборудование|2</v>
      </c>
      <c t="str" r="R611" s="6">
        <f>A611&amp;"|"&amp;C611&amp;"|"&amp;D611&amp;"|"&amp;J611</f>
        <v>КОМПО North America Inc|Шкала|Оборудование|4</v>
      </c>
      <c t="str" r="S611" s="6">
        <f>A611&amp;"|"&amp;C611&amp;"|"&amp;D611&amp;"|"&amp;G611&amp;"|"&amp;J611</f>
        <v>КОМПО North America Inc|Шкала|Оборудование|2|4</v>
      </c>
      <c t="str" r="T611" s="6">
        <f>A611&amp;"|"&amp;C611&amp;"|"&amp;G611</f>
        <v>КОМПО North America Inc|Шкала|2</v>
      </c>
      <c t="str" r="U611" s="6">
        <f>IF(H611="да",A611&amp;"|"&amp;C611&amp;"|"&amp;D611&amp;"|"&amp;J611,"")</f>
        <v/>
      </c>
      <c t="str" r="V611" s="6">
        <f>IF(C611="План",A611&amp;"|"&amp;J611,"")</f>
        <v/>
      </c>
    </row>
    <row r="612">
      <c r="A612" s="3" t="inlineStr">
        <is>
          <t>КОМПО North America Inc</t>
        </is>
      </c>
      <c r="B612" s="3" t="inlineStr">
        <is>
          <t>Заруб</t>
        </is>
      </c>
      <c r="C612" s="3" t="inlineStr">
        <is>
          <t>Шкала</t>
        </is>
      </c>
      <c r="D612" s="3" t="inlineStr">
        <is>
          <t>Оборудование</t>
        </is>
      </c>
      <c r="E612" s="3" t="inlineStr">
        <is>
          <t>Оборудование — за полугодие</t>
        </is>
      </c>
      <c r="F612" s="3" t="inlineStr">
        <is>
          <t>Наличие сервисного центра и гарантийное обслуживание</t>
        </is>
      </c>
      <c r="G612" s="4" t="n">
        <v>2</v>
      </c>
      <c r="H612" s="4" t="n"/>
      <c r="I612" s="3" t="inlineStr">
        <is>
          <t>190-224</t>
        </is>
      </c>
      <c r="J612" s="4" t="n">
        <v>5</v>
      </c>
      <c r="K612" s="4" t="n"/>
      <c r="L612" s="4" t="n"/>
      <c r="M612" s="8" t="n">
        <v>0.01</v>
      </c>
      <c r="N612" s="4" t="inlineStr">
        <is>
          <t>%</t>
        </is>
      </c>
      <c r="O612" s="3" t="inlineStr">
        <is>
          <t>KNA</t>
        </is>
      </c>
      <c r="P612" s="3" t="inlineStr">
        <is>
          <t>I15</t>
        </is>
      </c>
      <c t="str" r="Q612" s="6">
        <f>A612&amp;"|"&amp;C612&amp;"|"&amp;D612&amp;"|"&amp;G612</f>
        <v>КОМПО North America Inc|Шкала|Оборудование|2</v>
      </c>
      <c t="str" r="R612" s="6">
        <f>A612&amp;"|"&amp;C612&amp;"|"&amp;D612&amp;"|"&amp;J612</f>
        <v>КОМПО North America Inc|Шкала|Оборудование|5</v>
      </c>
      <c t="str" r="S612" s="6">
        <f>A612&amp;"|"&amp;C612&amp;"|"&amp;D612&amp;"|"&amp;G612&amp;"|"&amp;J612</f>
        <v>КОМПО North America Inc|Шкала|Оборудование|2|5</v>
      </c>
      <c t="str" r="T612" s="6">
        <f>A612&amp;"|"&amp;C612&amp;"|"&amp;G612</f>
        <v>КОМПО North America Inc|Шкала|2</v>
      </c>
      <c t="str" r="U612" s="6">
        <f>IF(H612="да",A612&amp;"|"&amp;C612&amp;"|"&amp;D612&amp;"|"&amp;J612,"")</f>
        <v/>
      </c>
      <c t="str" r="V612" s="6">
        <f>IF(C612="План",A612&amp;"|"&amp;J612,"")</f>
        <v/>
      </c>
    </row>
    <row r="613">
      <c r="A613" s="3" t="inlineStr">
        <is>
          <t>КОМПО North America Inc</t>
        </is>
      </c>
      <c r="B613" s="3" t="inlineStr">
        <is>
          <t>Заруб</t>
        </is>
      </c>
      <c r="C613" s="3" t="inlineStr">
        <is>
          <t>Шкала</t>
        </is>
      </c>
      <c r="D613" s="3" t="inlineStr">
        <is>
          <t>Оборудование</t>
        </is>
      </c>
      <c r="E613" s="3" t="inlineStr">
        <is>
          <t>Оборудование — за полугодие</t>
        </is>
      </c>
      <c r="F613" s="3" t="inlineStr">
        <is>
          <t>Наличие сервисного центра и гарантийное обслуживание</t>
        </is>
      </c>
      <c r="G613" s="4" t="n">
        <v>2</v>
      </c>
      <c r="H613" s="4" t="n"/>
      <c r="I613" s="3" t="inlineStr">
        <is>
          <t>225 и более</t>
        </is>
      </c>
      <c r="J613" s="4" t="n">
        <v>6</v>
      </c>
      <c r="K613" s="4" t="n"/>
      <c r="L613" s="4" t="n"/>
      <c r="M613" s="8" t="n">
        <v>0.01</v>
      </c>
      <c r="N613" s="4" t="inlineStr">
        <is>
          <t>%</t>
        </is>
      </c>
      <c r="O613" s="3" t="inlineStr">
        <is>
          <t>KNA</t>
        </is>
      </c>
      <c r="P613" s="3" t="inlineStr">
        <is>
          <t>J15</t>
        </is>
      </c>
      <c t="str" r="Q613" s="6">
        <f>A613&amp;"|"&amp;C613&amp;"|"&amp;D613&amp;"|"&amp;G613</f>
        <v>КОМПО North America Inc|Шкала|Оборудование|2</v>
      </c>
      <c t="str" r="R613" s="6">
        <f>A613&amp;"|"&amp;C613&amp;"|"&amp;D613&amp;"|"&amp;J613</f>
        <v>КОМПО North America Inc|Шкала|Оборудование|6</v>
      </c>
      <c t="str" r="S613" s="6">
        <f>A613&amp;"|"&amp;C613&amp;"|"&amp;D613&amp;"|"&amp;G613&amp;"|"&amp;J613</f>
        <v>КОМПО North America Inc|Шкала|Оборудование|2|6</v>
      </c>
      <c t="str" r="T613" s="6">
        <f>A613&amp;"|"&amp;C613&amp;"|"&amp;G613</f>
        <v>КОМПО North America Inc|Шкала|2</v>
      </c>
      <c t="str" r="U613" s="6">
        <f>IF(H613="да",A613&amp;"|"&amp;C613&amp;"|"&amp;D613&amp;"|"&amp;J613,"")</f>
        <v/>
      </c>
      <c t="str" r="V613" s="6">
        <f>IF(C613="План",A613&amp;"|"&amp;J613,"")</f>
        <v/>
      </c>
    </row>
    <row r="614">
      <c r="A614" s="3" t="inlineStr">
        <is>
          <t>КОМПО North America Inc</t>
        </is>
      </c>
      <c r="B614" s="3" t="inlineStr">
        <is>
          <t>Заруб</t>
        </is>
      </c>
      <c r="C614" s="3" t="inlineStr">
        <is>
          <t>Шкала</t>
        </is>
      </c>
      <c r="D614" s="3" t="inlineStr">
        <is>
          <t>Оборудование</t>
        </is>
      </c>
      <c r="E614" s="3" t="inlineStr">
        <is>
          <t>Оборудование — за полугодие</t>
        </is>
      </c>
      <c r="F614" s="3" t="inlineStr">
        <is>
          <t>Объем закупок МП</t>
        </is>
      </c>
      <c r="G614" s="4" t="n">
        <v>3</v>
      </c>
      <c r="H614" s="4" t="n"/>
      <c r="I614" s="3" t="inlineStr">
        <is>
          <t>до 75</t>
        </is>
      </c>
      <c r="J614" s="4" t="n">
        <v>1</v>
      </c>
      <c r="K614" s="4" t="n"/>
      <c r="L614" s="4" t="n"/>
      <c r="M614" s="8" t="n">
        <v>0</v>
      </c>
      <c r="N614" s="4" t="inlineStr">
        <is>
          <t>%</t>
        </is>
      </c>
      <c r="O614" s="3" t="inlineStr">
        <is>
          <t>KNA</t>
        </is>
      </c>
      <c r="P614" s="3" t="inlineStr">
        <is>
          <t>E16</t>
        </is>
      </c>
      <c t="str" r="Q614" s="6">
        <f>A614&amp;"|"&amp;C614&amp;"|"&amp;D614&amp;"|"&amp;G614</f>
        <v>КОМПО North America Inc|Шкала|Оборудование|3</v>
      </c>
      <c t="str" r="R614" s="6">
        <f>A614&amp;"|"&amp;C614&amp;"|"&amp;D614&amp;"|"&amp;J614</f>
        <v>КОМПО North America Inc|Шкала|Оборудование|1</v>
      </c>
      <c t="str" r="S614" s="6">
        <f>A614&amp;"|"&amp;C614&amp;"|"&amp;D614&amp;"|"&amp;G614&amp;"|"&amp;J614</f>
        <v>КОМПО North America Inc|Шкала|Оборудование|3|1</v>
      </c>
      <c t="str" r="T614" s="6">
        <f>A614&amp;"|"&amp;C614&amp;"|"&amp;G614</f>
        <v>КОМПО North America Inc|Шкала|3</v>
      </c>
      <c t="str" r="U614" s="6">
        <f>IF(H614="да",A614&amp;"|"&amp;C614&amp;"|"&amp;D614&amp;"|"&amp;J614,"")</f>
        <v/>
      </c>
      <c t="str" r="V614" s="6">
        <f>IF(C614="План",A614&amp;"|"&amp;J614,"")</f>
        <v/>
      </c>
    </row>
    <row r="615">
      <c r="A615" s="3" t="inlineStr">
        <is>
          <t>КОМПО North America Inc</t>
        </is>
      </c>
      <c r="B615" s="3" t="inlineStr">
        <is>
          <t>Заруб</t>
        </is>
      </c>
      <c r="C615" s="3" t="inlineStr">
        <is>
          <t>Шкала</t>
        </is>
      </c>
      <c r="D615" s="3" t="inlineStr">
        <is>
          <t>Оборудование</t>
        </is>
      </c>
      <c r="E615" s="3" t="inlineStr">
        <is>
          <t>Оборудование — за полугодие</t>
        </is>
      </c>
      <c r="F615" s="3" t="inlineStr">
        <is>
          <t>Объем закупок МП</t>
        </is>
      </c>
      <c r="G615" s="4" t="n">
        <v>3</v>
      </c>
      <c r="H615" s="4" t="n"/>
      <c r="I615" s="3" t="inlineStr">
        <is>
          <t>75-114</t>
        </is>
      </c>
      <c r="J615" s="4" t="n">
        <v>2</v>
      </c>
      <c r="K615" s="4" t="n"/>
      <c r="L615" s="4" t="n"/>
      <c r="M615" s="8" t="n">
        <v>0.09</v>
      </c>
      <c r="N615" s="4" t="inlineStr">
        <is>
          <t>%</t>
        </is>
      </c>
      <c r="O615" s="3" t="inlineStr">
        <is>
          <t>KNA</t>
        </is>
      </c>
      <c r="P615" s="3" t="inlineStr">
        <is>
          <t>F16</t>
        </is>
      </c>
      <c t="str" r="Q615" s="6">
        <f>A615&amp;"|"&amp;C615&amp;"|"&amp;D615&amp;"|"&amp;G615</f>
        <v>КОМПО North America Inc|Шкала|Оборудование|3</v>
      </c>
      <c t="str" r="R615" s="6">
        <f>A615&amp;"|"&amp;C615&amp;"|"&amp;D615&amp;"|"&amp;J615</f>
        <v>КОМПО North America Inc|Шкала|Оборудование|2</v>
      </c>
      <c t="str" r="S615" s="6">
        <f>A615&amp;"|"&amp;C615&amp;"|"&amp;D615&amp;"|"&amp;G615&amp;"|"&amp;J615</f>
        <v>КОМПО North America Inc|Шкала|Оборудование|3|2</v>
      </c>
      <c t="str" r="T615" s="6">
        <f>A615&amp;"|"&amp;C615&amp;"|"&amp;G615</f>
        <v>КОМПО North America Inc|Шкала|3</v>
      </c>
      <c t="str" r="U615" s="6">
        <f>IF(H615="да",A615&amp;"|"&amp;C615&amp;"|"&amp;D615&amp;"|"&amp;J615,"")</f>
        <v/>
      </c>
      <c t="str" r="V615" s="6">
        <f>IF(C615="План",A615&amp;"|"&amp;J615,"")</f>
        <v/>
      </c>
    </row>
    <row r="616">
      <c r="A616" s="3" t="inlineStr">
        <is>
          <t>КОМПО North America Inc</t>
        </is>
      </c>
      <c r="B616" s="3" t="inlineStr">
        <is>
          <t>Заруб</t>
        </is>
      </c>
      <c r="C616" s="3" t="inlineStr">
        <is>
          <t>Шкала</t>
        </is>
      </c>
      <c r="D616" s="3" t="inlineStr">
        <is>
          <t>Оборудование</t>
        </is>
      </c>
      <c r="E616" s="3" t="inlineStr">
        <is>
          <t>Оборудование — за полугодие</t>
        </is>
      </c>
      <c r="F616" s="3" t="inlineStr">
        <is>
          <t>Объем закупок МП</t>
        </is>
      </c>
      <c r="G616" s="4" t="n">
        <v>3</v>
      </c>
      <c r="H616" s="4" t="n"/>
      <c r="I616" s="3" t="inlineStr">
        <is>
          <t>115-149</t>
        </is>
      </c>
      <c r="J616" s="4" t="n">
        <v>3</v>
      </c>
      <c r="K616" s="4" t="n"/>
      <c r="L616" s="4" t="n"/>
      <c r="M616" s="8" t="n">
        <v>0.1</v>
      </c>
      <c r="N616" s="4" t="inlineStr">
        <is>
          <t>%</t>
        </is>
      </c>
      <c r="O616" s="3" t="inlineStr">
        <is>
          <t>KNA</t>
        </is>
      </c>
      <c r="P616" s="3" t="inlineStr">
        <is>
          <t>G16</t>
        </is>
      </c>
      <c t="str" r="Q616" s="6">
        <f>A616&amp;"|"&amp;C616&amp;"|"&amp;D616&amp;"|"&amp;G616</f>
        <v>КОМПО North America Inc|Шкала|Оборудование|3</v>
      </c>
      <c t="str" r="R616" s="6">
        <f>A616&amp;"|"&amp;C616&amp;"|"&amp;D616&amp;"|"&amp;J616</f>
        <v>КОМПО North America Inc|Шкала|Оборудование|3</v>
      </c>
      <c t="str" r="S616" s="6">
        <f>A616&amp;"|"&amp;C616&amp;"|"&amp;D616&amp;"|"&amp;G616&amp;"|"&amp;J616</f>
        <v>КОМПО North America Inc|Шкала|Оборудование|3|3</v>
      </c>
      <c t="str" r="T616" s="6">
        <f>A616&amp;"|"&amp;C616&amp;"|"&amp;G616</f>
        <v>КОМПО North America Inc|Шкала|3</v>
      </c>
      <c t="str" r="U616" s="6">
        <f>IF(H616="да",A616&amp;"|"&amp;C616&amp;"|"&amp;D616&amp;"|"&amp;J616,"")</f>
        <v/>
      </c>
      <c t="str" r="V616" s="6">
        <f>IF(C616="План",A616&amp;"|"&amp;J616,"")</f>
        <v/>
      </c>
    </row>
    <row r="617">
      <c r="A617" s="3" t="inlineStr">
        <is>
          <t>КОМПО North America Inc</t>
        </is>
      </c>
      <c r="B617" s="3" t="inlineStr">
        <is>
          <t>Заруб</t>
        </is>
      </c>
      <c r="C617" s="3" t="inlineStr">
        <is>
          <t>Шкала</t>
        </is>
      </c>
      <c r="D617" s="3" t="inlineStr">
        <is>
          <t>Оборудование</t>
        </is>
      </c>
      <c r="E617" s="3" t="inlineStr">
        <is>
          <t>Оборудование — за полугодие</t>
        </is>
      </c>
      <c r="F617" s="3" t="inlineStr">
        <is>
          <t>Объем закупок МП</t>
        </is>
      </c>
      <c r="G617" s="4" t="n">
        <v>3</v>
      </c>
      <c r="H617" s="4" t="n"/>
      <c r="I617" s="3" t="inlineStr">
        <is>
          <t>150-189</t>
        </is>
      </c>
      <c r="J617" s="4" t="n">
        <v>4</v>
      </c>
      <c r="K617" s="4" t="n"/>
      <c r="L617" s="4" t="n"/>
      <c r="M617" s="8" t="n">
        <v>0.11</v>
      </c>
      <c r="N617" s="4" t="inlineStr">
        <is>
          <t>%</t>
        </is>
      </c>
      <c r="O617" s="3" t="inlineStr">
        <is>
          <t>KNA</t>
        </is>
      </c>
      <c r="P617" s="3" t="inlineStr">
        <is>
          <t>H16</t>
        </is>
      </c>
      <c t="str" r="Q617" s="6">
        <f>A617&amp;"|"&amp;C617&amp;"|"&amp;D617&amp;"|"&amp;G617</f>
        <v>КОМПО North America Inc|Шкала|Оборудование|3</v>
      </c>
      <c t="str" r="R617" s="6">
        <f>A617&amp;"|"&amp;C617&amp;"|"&amp;D617&amp;"|"&amp;J617</f>
        <v>КОМПО North America Inc|Шкала|Оборудование|4</v>
      </c>
      <c t="str" r="S617" s="6">
        <f>A617&amp;"|"&amp;C617&amp;"|"&amp;D617&amp;"|"&amp;G617&amp;"|"&amp;J617</f>
        <v>КОМПО North America Inc|Шкала|Оборудование|3|4</v>
      </c>
      <c t="str" r="T617" s="6">
        <f>A617&amp;"|"&amp;C617&amp;"|"&amp;G617</f>
        <v>КОМПО North America Inc|Шкала|3</v>
      </c>
      <c t="str" r="U617" s="6">
        <f>IF(H617="да",A617&amp;"|"&amp;C617&amp;"|"&amp;D617&amp;"|"&amp;J617,"")</f>
        <v/>
      </c>
      <c t="str" r="V617" s="6">
        <f>IF(C617="План",A617&amp;"|"&amp;J617,"")</f>
        <v/>
      </c>
    </row>
    <row r="618">
      <c r="A618" s="3" t="inlineStr">
        <is>
          <t>КОМПО North America Inc</t>
        </is>
      </c>
      <c r="B618" s="3" t="inlineStr">
        <is>
          <t>Заруб</t>
        </is>
      </c>
      <c r="C618" s="3" t="inlineStr">
        <is>
          <t>Шкала</t>
        </is>
      </c>
      <c r="D618" s="3" t="inlineStr">
        <is>
          <t>Оборудование</t>
        </is>
      </c>
      <c r="E618" s="3" t="inlineStr">
        <is>
          <t>Оборудование — за полугодие</t>
        </is>
      </c>
      <c r="F618" s="3" t="inlineStr">
        <is>
          <t>Объем закупок МП</t>
        </is>
      </c>
      <c r="G618" s="4" t="n">
        <v>3</v>
      </c>
      <c r="H618" s="4" t="n"/>
      <c r="I618" s="3" t="inlineStr">
        <is>
          <t>190-224</t>
        </is>
      </c>
      <c r="J618" s="4" t="n">
        <v>5</v>
      </c>
      <c r="K618" s="4" t="n"/>
      <c r="L618" s="4" t="n"/>
      <c r="M618" s="8" t="n">
        <v>0.12</v>
      </c>
      <c r="N618" s="4" t="inlineStr">
        <is>
          <t>%</t>
        </is>
      </c>
      <c r="O618" s="3" t="inlineStr">
        <is>
          <t>KNA</t>
        </is>
      </c>
      <c r="P618" s="3" t="inlineStr">
        <is>
          <t>I16</t>
        </is>
      </c>
      <c t="str" r="Q618" s="6">
        <f>A618&amp;"|"&amp;C618&amp;"|"&amp;D618&amp;"|"&amp;G618</f>
        <v>КОМПО North America Inc|Шкала|Оборудование|3</v>
      </c>
      <c t="str" r="R618" s="6">
        <f>A618&amp;"|"&amp;C618&amp;"|"&amp;D618&amp;"|"&amp;J618</f>
        <v>КОМПО North America Inc|Шкала|Оборудование|5</v>
      </c>
      <c t="str" r="S618" s="6">
        <f>A618&amp;"|"&amp;C618&amp;"|"&amp;D618&amp;"|"&amp;G618&amp;"|"&amp;J618</f>
        <v>КОМПО North America Inc|Шкала|Оборудование|3|5</v>
      </c>
      <c t="str" r="T618" s="6">
        <f>A618&amp;"|"&amp;C618&amp;"|"&amp;G618</f>
        <v>КОМПО North America Inc|Шкала|3</v>
      </c>
      <c t="str" r="U618" s="6">
        <f>IF(H618="да",A618&amp;"|"&amp;C618&amp;"|"&amp;D618&amp;"|"&amp;J618,"")</f>
        <v/>
      </c>
      <c t="str" r="V618" s="6">
        <f>IF(C618="План",A618&amp;"|"&amp;J618,"")</f>
        <v/>
      </c>
    </row>
    <row r="619">
      <c r="A619" s="3" t="inlineStr">
        <is>
          <t>КОМПО North America Inc</t>
        </is>
      </c>
      <c r="B619" s="3" t="inlineStr">
        <is>
          <t>Заруб</t>
        </is>
      </c>
      <c r="C619" s="3" t="inlineStr">
        <is>
          <t>Шкала</t>
        </is>
      </c>
      <c r="D619" s="3" t="inlineStr">
        <is>
          <t>Оборудование</t>
        </is>
      </c>
      <c r="E619" s="3" t="inlineStr">
        <is>
          <t>Оборудование — за полугодие</t>
        </is>
      </c>
      <c r="F619" s="3" t="inlineStr">
        <is>
          <t>Объем закупок МП</t>
        </is>
      </c>
      <c r="G619" s="4" t="n">
        <v>3</v>
      </c>
      <c r="H619" s="4" t="n"/>
      <c r="I619" s="3" t="inlineStr">
        <is>
          <t>225 и более</t>
        </is>
      </c>
      <c r="J619" s="4" t="n">
        <v>6</v>
      </c>
      <c r="K619" s="4" t="n"/>
      <c r="L619" s="4" t="n"/>
      <c r="M619" s="8" t="n">
        <v>0.13</v>
      </c>
      <c r="N619" s="4" t="inlineStr">
        <is>
          <t>%</t>
        </is>
      </c>
      <c r="O619" s="3" t="inlineStr">
        <is>
          <t>KNA</t>
        </is>
      </c>
      <c r="P619" s="3" t="inlineStr">
        <is>
          <t>J16</t>
        </is>
      </c>
      <c t="str" r="Q619" s="6">
        <f>A619&amp;"|"&amp;C619&amp;"|"&amp;D619&amp;"|"&amp;G619</f>
        <v>КОМПО North America Inc|Шкала|Оборудование|3</v>
      </c>
      <c t="str" r="R619" s="6">
        <f>A619&amp;"|"&amp;C619&amp;"|"&amp;D619&amp;"|"&amp;J619</f>
        <v>КОМПО North America Inc|Шкала|Оборудование|6</v>
      </c>
      <c t="str" r="S619" s="6">
        <f>A619&amp;"|"&amp;C619&amp;"|"&amp;D619&amp;"|"&amp;G619&amp;"|"&amp;J619</f>
        <v>КОМПО North America Inc|Шкала|Оборудование|3|6</v>
      </c>
      <c t="str" r="T619" s="6">
        <f>A619&amp;"|"&amp;C619&amp;"|"&amp;G619</f>
        <v>КОМПО North America Inc|Шкала|3</v>
      </c>
      <c t="str" r="U619" s="6">
        <f>IF(H619="да",A619&amp;"|"&amp;C619&amp;"|"&amp;D619&amp;"|"&amp;J619,"")</f>
        <v/>
      </c>
      <c t="str" r="V619" s="6">
        <f>IF(C619="План",A619&amp;"|"&amp;J619,"")</f>
        <v/>
      </c>
    </row>
    <row r="620">
      <c r="A620" s="3" t="inlineStr">
        <is>
          <t>КОМПО North America Inc</t>
        </is>
      </c>
      <c r="B620" s="3" t="inlineStr">
        <is>
          <t>Заруб</t>
        </is>
      </c>
      <c r="C620" s="3" t="inlineStr">
        <is>
          <t>Шкала</t>
        </is>
      </c>
      <c r="D620" s="3" t="inlineStr">
        <is>
          <t>Оборудование</t>
        </is>
      </c>
      <c r="E620" s="3" t="inlineStr">
        <is>
          <t>Оборудование — за полугодие</t>
        </is>
      </c>
      <c r="F620" s="3" t="inlineStr">
        <is>
          <t>ИТОГО</t>
        </is>
      </c>
      <c r="G620" s="4" t="n">
        <v>4</v>
      </c>
      <c r="H620" s="4" t="inlineStr">
        <is>
          <t>да</t>
        </is>
      </c>
      <c r="I620" s="3" t="inlineStr">
        <is>
          <t>до 75</t>
        </is>
      </c>
      <c r="J620" s="4" t="n">
        <v>1</v>
      </c>
      <c r="K620" s="4" t="n"/>
      <c r="L620" s="4" t="n"/>
      <c r="M620" s="8" t="n">
        <v>0.07000000000000001</v>
      </c>
      <c r="N620" s="4" t="inlineStr">
        <is>
          <t>%</t>
        </is>
      </c>
      <c r="O620" s="3" t="inlineStr">
        <is>
          <t>KNA</t>
        </is>
      </c>
      <c r="P620" s="3" t="inlineStr">
        <is>
          <t>E17</t>
        </is>
      </c>
      <c t="str" r="Q620" s="6">
        <f>A620&amp;"|"&amp;C620&amp;"|"&amp;D620&amp;"|"&amp;G620</f>
        <v>КОМПО North America Inc|Шкала|Оборудование|4</v>
      </c>
      <c t="str" r="R620" s="6">
        <f>A620&amp;"|"&amp;C620&amp;"|"&amp;D620&amp;"|"&amp;J620</f>
        <v>КОМПО North America Inc|Шкала|Оборудование|1</v>
      </c>
      <c t="str" r="S620" s="6">
        <f>A620&amp;"|"&amp;C620&amp;"|"&amp;D620&amp;"|"&amp;G620&amp;"|"&amp;J620</f>
        <v>КОМПО North America Inc|Шкала|Оборудование|4|1</v>
      </c>
      <c t="str" r="T620" s="6">
        <f>A620&amp;"|"&amp;C620&amp;"|"&amp;G620</f>
        <v>КОМПО North America Inc|Шкала|4</v>
      </c>
      <c t="str" r="U620" s="6">
        <f>IF(H620="да",A620&amp;"|"&amp;C620&amp;"|"&amp;D620&amp;"|"&amp;J620,"")</f>
        <v>КОМПО North America Inc|Шкала|Оборудование|1</v>
      </c>
      <c t="str" r="V620" s="6">
        <f>IF(C620="План",A620&amp;"|"&amp;J620,"")</f>
        <v/>
      </c>
    </row>
    <row r="621">
      <c r="A621" s="3" t="inlineStr">
        <is>
          <t>КОМПО North America Inc</t>
        </is>
      </c>
      <c r="B621" s="3" t="inlineStr">
        <is>
          <t>Заруб</t>
        </is>
      </c>
      <c r="C621" s="3" t="inlineStr">
        <is>
          <t>Шкала</t>
        </is>
      </c>
      <c r="D621" s="3" t="inlineStr">
        <is>
          <t>Оборудование</t>
        </is>
      </c>
      <c r="E621" s="3" t="inlineStr">
        <is>
          <t>Оборудование — за полугодие</t>
        </is>
      </c>
      <c r="F621" s="3" t="inlineStr">
        <is>
          <t>ИТОГО</t>
        </is>
      </c>
      <c r="G621" s="4" t="n">
        <v>4</v>
      </c>
      <c r="H621" s="4" t="inlineStr">
        <is>
          <t>да</t>
        </is>
      </c>
      <c r="I621" s="3" t="inlineStr">
        <is>
          <t>75-114</t>
        </is>
      </c>
      <c r="J621" s="4" t="n">
        <v>2</v>
      </c>
      <c r="K621" s="4" t="n"/>
      <c r="L621" s="4" t="n"/>
      <c r="M621" s="8" t="n">
        <v>0.16</v>
      </c>
      <c r="N621" s="4" t="inlineStr">
        <is>
          <t>%</t>
        </is>
      </c>
      <c r="O621" s="3" t="inlineStr">
        <is>
          <t>KNA</t>
        </is>
      </c>
      <c r="P621" s="3" t="inlineStr">
        <is>
          <t>F17</t>
        </is>
      </c>
      <c t="str" r="Q621" s="6">
        <f>A621&amp;"|"&amp;C621&amp;"|"&amp;D621&amp;"|"&amp;G621</f>
        <v>КОМПО North America Inc|Шкала|Оборудование|4</v>
      </c>
      <c t="str" r="R621" s="6">
        <f>A621&amp;"|"&amp;C621&amp;"|"&amp;D621&amp;"|"&amp;J621</f>
        <v>КОМПО North America Inc|Шкала|Оборудование|2</v>
      </c>
      <c t="str" r="S621" s="6">
        <f>A621&amp;"|"&amp;C621&amp;"|"&amp;D621&amp;"|"&amp;G621&amp;"|"&amp;J621</f>
        <v>КОМПО North America Inc|Шкала|Оборудование|4|2</v>
      </c>
      <c t="str" r="T621" s="6">
        <f>A621&amp;"|"&amp;C621&amp;"|"&amp;G621</f>
        <v>КОМПО North America Inc|Шкала|4</v>
      </c>
      <c t="str" r="U621" s="6">
        <f>IF(H621="да",A621&amp;"|"&amp;C621&amp;"|"&amp;D621&amp;"|"&amp;J621,"")</f>
        <v>КОМПО North America Inc|Шкала|Оборудование|2</v>
      </c>
      <c t="str" r="V621" s="6">
        <f>IF(C621="План",A621&amp;"|"&amp;J621,"")</f>
        <v/>
      </c>
    </row>
    <row r="622">
      <c r="A622" s="3" t="inlineStr">
        <is>
          <t>КОМПО North America Inc</t>
        </is>
      </c>
      <c r="B622" s="3" t="inlineStr">
        <is>
          <t>Заруб</t>
        </is>
      </c>
      <c r="C622" s="3" t="inlineStr">
        <is>
          <t>Шкала</t>
        </is>
      </c>
      <c r="D622" s="3" t="inlineStr">
        <is>
          <t>Оборудование</t>
        </is>
      </c>
      <c r="E622" s="3" t="inlineStr">
        <is>
          <t>Оборудование — за полугодие</t>
        </is>
      </c>
      <c r="F622" s="3" t="inlineStr">
        <is>
          <t>ИТОГО</t>
        </is>
      </c>
      <c r="G622" s="4" t="n">
        <v>4</v>
      </c>
      <c r="H622" s="4" t="inlineStr">
        <is>
          <t>да</t>
        </is>
      </c>
      <c r="I622" s="3" t="inlineStr">
        <is>
          <t>115-149</t>
        </is>
      </c>
      <c r="J622" s="4" t="n">
        <v>3</v>
      </c>
      <c r="K622" s="4" t="n"/>
      <c r="L622" s="4" t="n"/>
      <c r="M622" s="8" t="n">
        <v>0.17</v>
      </c>
      <c r="N622" s="4" t="inlineStr">
        <is>
          <t>%</t>
        </is>
      </c>
      <c r="O622" s="3" t="inlineStr">
        <is>
          <t>KNA</t>
        </is>
      </c>
      <c r="P622" s="3" t="inlineStr">
        <is>
          <t>G17</t>
        </is>
      </c>
      <c t="str" r="Q622" s="6">
        <f>A622&amp;"|"&amp;C622&amp;"|"&amp;D622&amp;"|"&amp;G622</f>
        <v>КОМПО North America Inc|Шкала|Оборудование|4</v>
      </c>
      <c t="str" r="R622" s="6">
        <f>A622&amp;"|"&amp;C622&amp;"|"&amp;D622&amp;"|"&amp;J622</f>
        <v>КОМПО North America Inc|Шкала|Оборудование|3</v>
      </c>
      <c t="str" r="S622" s="6">
        <f>A622&amp;"|"&amp;C622&amp;"|"&amp;D622&amp;"|"&amp;G622&amp;"|"&amp;J622</f>
        <v>КОМПО North America Inc|Шкала|Оборудование|4|3</v>
      </c>
      <c t="str" r="T622" s="6">
        <f>A622&amp;"|"&amp;C622&amp;"|"&amp;G622</f>
        <v>КОМПО North America Inc|Шкала|4</v>
      </c>
      <c t="str" r="U622" s="6">
        <f>IF(H622="да",A622&amp;"|"&amp;C622&amp;"|"&amp;D622&amp;"|"&amp;J622,"")</f>
        <v>КОМПО North America Inc|Шкала|Оборудование|3</v>
      </c>
      <c t="str" r="V622" s="6">
        <f>IF(C622="План",A622&amp;"|"&amp;J622,"")</f>
        <v/>
      </c>
    </row>
    <row r="623">
      <c r="A623" s="3" t="inlineStr">
        <is>
          <t>КОМПО North America Inc</t>
        </is>
      </c>
      <c r="B623" s="3" t="inlineStr">
        <is>
          <t>Заруб</t>
        </is>
      </c>
      <c r="C623" s="3" t="inlineStr">
        <is>
          <t>Шкала</t>
        </is>
      </c>
      <c r="D623" s="3" t="inlineStr">
        <is>
          <t>Оборудование</t>
        </is>
      </c>
      <c r="E623" s="3" t="inlineStr">
        <is>
          <t>Оборудование — за полугодие</t>
        </is>
      </c>
      <c r="F623" s="3" t="inlineStr">
        <is>
          <t>ИТОГО</t>
        </is>
      </c>
      <c r="G623" s="4" t="n">
        <v>4</v>
      </c>
      <c r="H623" s="4" t="inlineStr">
        <is>
          <t>да</t>
        </is>
      </c>
      <c r="I623" s="3" t="inlineStr">
        <is>
          <t>150-189</t>
        </is>
      </c>
      <c r="J623" s="4" t="n">
        <v>4</v>
      </c>
      <c r="K623" s="4" t="n"/>
      <c r="L623" s="4" t="n"/>
      <c r="M623" s="8" t="n">
        <v>0.18</v>
      </c>
      <c r="N623" s="4" t="inlineStr">
        <is>
          <t>%</t>
        </is>
      </c>
      <c r="O623" s="3" t="inlineStr">
        <is>
          <t>KNA</t>
        </is>
      </c>
      <c r="P623" s="3" t="inlineStr">
        <is>
          <t>H17</t>
        </is>
      </c>
      <c t="str" r="Q623" s="6">
        <f>A623&amp;"|"&amp;C623&amp;"|"&amp;D623&amp;"|"&amp;G623</f>
        <v>КОМПО North America Inc|Шкала|Оборудование|4</v>
      </c>
      <c t="str" r="R623" s="6">
        <f>A623&amp;"|"&amp;C623&amp;"|"&amp;D623&amp;"|"&amp;J623</f>
        <v>КОМПО North America Inc|Шкала|Оборудование|4</v>
      </c>
      <c t="str" r="S623" s="6">
        <f>A623&amp;"|"&amp;C623&amp;"|"&amp;D623&amp;"|"&amp;G623&amp;"|"&amp;J623</f>
        <v>КОМПО North America Inc|Шкала|Оборудование|4|4</v>
      </c>
      <c t="str" r="T623" s="6">
        <f>A623&amp;"|"&amp;C623&amp;"|"&amp;G623</f>
        <v>КОМПО North America Inc|Шкала|4</v>
      </c>
      <c t="str" r="U623" s="6">
        <f>IF(H623="да",A623&amp;"|"&amp;C623&amp;"|"&amp;D623&amp;"|"&amp;J623,"")</f>
        <v>КОМПО North America Inc|Шкала|Оборудование|4</v>
      </c>
      <c t="str" r="V623" s="6">
        <f>IF(C623="План",A623&amp;"|"&amp;J623,"")</f>
        <v/>
      </c>
    </row>
    <row r="624">
      <c r="A624" s="3" t="inlineStr">
        <is>
          <t>КОМПО North America Inc</t>
        </is>
      </c>
      <c r="B624" s="3" t="inlineStr">
        <is>
          <t>Заруб</t>
        </is>
      </c>
      <c r="C624" s="3" t="inlineStr">
        <is>
          <t>Шкала</t>
        </is>
      </c>
      <c r="D624" s="3" t="inlineStr">
        <is>
          <t>Оборудование</t>
        </is>
      </c>
      <c r="E624" s="3" t="inlineStr">
        <is>
          <t>Оборудование — за полугодие</t>
        </is>
      </c>
      <c r="F624" s="3" t="inlineStr">
        <is>
          <t>ИТОГО</t>
        </is>
      </c>
      <c r="G624" s="4" t="n">
        <v>4</v>
      </c>
      <c r="H624" s="4" t="inlineStr">
        <is>
          <t>да</t>
        </is>
      </c>
      <c r="I624" s="3" t="inlineStr">
        <is>
          <t>190-224</t>
        </is>
      </c>
      <c r="J624" s="4" t="n">
        <v>5</v>
      </c>
      <c r="K624" s="4" t="n"/>
      <c r="L624" s="4" t="n"/>
      <c r="M624" s="8" t="n">
        <v>0.19</v>
      </c>
      <c r="N624" s="4" t="inlineStr">
        <is>
          <t>%</t>
        </is>
      </c>
      <c r="O624" s="3" t="inlineStr">
        <is>
          <t>KNA</t>
        </is>
      </c>
      <c r="P624" s="3" t="inlineStr">
        <is>
          <t>I17</t>
        </is>
      </c>
      <c t="str" r="Q624" s="6">
        <f>A624&amp;"|"&amp;C624&amp;"|"&amp;D624&amp;"|"&amp;G624</f>
        <v>КОМПО North America Inc|Шкала|Оборудование|4</v>
      </c>
      <c t="str" r="R624" s="6">
        <f>A624&amp;"|"&amp;C624&amp;"|"&amp;D624&amp;"|"&amp;J624</f>
        <v>КОМПО North America Inc|Шкала|Оборудование|5</v>
      </c>
      <c t="str" r="S624" s="6">
        <f>A624&amp;"|"&amp;C624&amp;"|"&amp;D624&amp;"|"&amp;G624&amp;"|"&amp;J624</f>
        <v>КОМПО North America Inc|Шкала|Оборудование|4|5</v>
      </c>
      <c t="str" r="T624" s="6">
        <f>A624&amp;"|"&amp;C624&amp;"|"&amp;G624</f>
        <v>КОМПО North America Inc|Шкала|4</v>
      </c>
      <c t="str" r="U624" s="6">
        <f>IF(H624="да",A624&amp;"|"&amp;C624&amp;"|"&amp;D624&amp;"|"&amp;J624,"")</f>
        <v>КОМПО North America Inc|Шкала|Оборудование|5</v>
      </c>
      <c t="str" r="V624" s="6">
        <f>IF(C624="План",A624&amp;"|"&amp;J624,"")</f>
        <v/>
      </c>
    </row>
    <row r="625">
      <c r="A625" s="3" t="inlineStr">
        <is>
          <t>КОМПО North America Inc</t>
        </is>
      </c>
      <c r="B625" s="3" t="inlineStr">
        <is>
          <t>Заруб</t>
        </is>
      </c>
      <c r="C625" s="3" t="inlineStr">
        <is>
          <t>Шкала</t>
        </is>
      </c>
      <c r="D625" s="3" t="inlineStr">
        <is>
          <t>Оборудование</t>
        </is>
      </c>
      <c r="E625" s="3" t="inlineStr">
        <is>
          <t>Оборудование — за полугодие</t>
        </is>
      </c>
      <c r="F625" s="3" t="inlineStr">
        <is>
          <t>ИТОГО</t>
        </is>
      </c>
      <c r="G625" s="4" t="n">
        <v>4</v>
      </c>
      <c r="H625" s="4" t="inlineStr">
        <is>
          <t>да</t>
        </is>
      </c>
      <c r="I625" s="3" t="inlineStr">
        <is>
          <t>225 и более</t>
        </is>
      </c>
      <c r="J625" s="4" t="n">
        <v>6</v>
      </c>
      <c r="K625" s="4" t="n"/>
      <c r="L625" s="4" t="n"/>
      <c r="M625" s="8" t="n">
        <v>0.2</v>
      </c>
      <c r="N625" s="4" t="inlineStr">
        <is>
          <t>%</t>
        </is>
      </c>
      <c r="O625" s="3" t="inlineStr">
        <is>
          <t>KNA</t>
        </is>
      </c>
      <c r="P625" s="3" t="inlineStr">
        <is>
          <t>J17</t>
        </is>
      </c>
      <c t="str" r="Q625" s="6">
        <f>A625&amp;"|"&amp;C625&amp;"|"&amp;D625&amp;"|"&amp;G625</f>
        <v>КОМПО North America Inc|Шкала|Оборудование|4</v>
      </c>
      <c t="str" r="R625" s="6">
        <f>A625&amp;"|"&amp;C625&amp;"|"&amp;D625&amp;"|"&amp;J625</f>
        <v>КОМПО North America Inc|Шкала|Оборудование|6</v>
      </c>
      <c t="str" r="S625" s="6">
        <f>A625&amp;"|"&amp;C625&amp;"|"&amp;D625&amp;"|"&amp;G625&amp;"|"&amp;J625</f>
        <v>КОМПО North America Inc|Шкала|Оборудование|4|6</v>
      </c>
      <c t="str" r="T625" s="6">
        <f>A625&amp;"|"&amp;C625&amp;"|"&amp;G625</f>
        <v>КОМПО North America Inc|Шкала|4</v>
      </c>
      <c t="str" r="U625" s="6">
        <f>IF(H625="да",A625&amp;"|"&amp;C625&amp;"|"&amp;D625&amp;"|"&amp;J625,"")</f>
        <v>КОМПО North America Inc|Шкала|Оборудование|6</v>
      </c>
      <c t="str" r="V625" s="6">
        <f>IF(C625="План",A625&amp;"|"&amp;J625,"")</f>
        <v/>
      </c>
    </row>
    <row r="626">
      <c r="A626" s="3" t="inlineStr">
        <is>
          <t>КОМПО North America Inc</t>
        </is>
      </c>
      <c r="B626" s="3" t="inlineStr">
        <is>
          <t>Заруб</t>
        </is>
      </c>
      <c r="C626" s="3" t="inlineStr">
        <is>
          <t>Шкала</t>
        </is>
      </c>
      <c r="D626" s="3" t="inlineStr">
        <is>
          <t>Расходные материалы</t>
        </is>
      </c>
      <c r="E626" s="3" t="inlineStr">
        <is>
          <t>Расходные материалы — за полугодие</t>
        </is>
      </c>
      <c r="F626" s="3" t="inlineStr">
        <is>
          <t>Объем закупок РМ</t>
        </is>
      </c>
      <c r="G626" s="4" t="n">
        <v>1</v>
      </c>
      <c r="H626" s="4" t="n"/>
      <c r="I626" s="3" t="inlineStr">
        <is>
          <t>до 24</t>
        </is>
      </c>
      <c r="J626" s="4" t="n">
        <v>1</v>
      </c>
      <c r="K626" s="4" t="n"/>
      <c r="L626" s="4" t="n"/>
      <c r="M626" s="8" t="n">
        <v>0</v>
      </c>
      <c r="N626" s="4" t="inlineStr">
        <is>
          <t>%</t>
        </is>
      </c>
      <c r="O626" s="3" t="inlineStr">
        <is>
          <t>KNA</t>
        </is>
      </c>
      <c r="P626" s="3" t="inlineStr">
        <is>
          <t>E20</t>
        </is>
      </c>
      <c t="str" r="Q626" s="6">
        <f>A626&amp;"|"&amp;C626&amp;"|"&amp;D626&amp;"|"&amp;G626</f>
        <v>КОМПО North America Inc|Шкала|Расходные материалы|1</v>
      </c>
      <c t="str" r="R626" s="6">
        <f>A626&amp;"|"&amp;C626&amp;"|"&amp;D626&amp;"|"&amp;J626</f>
        <v>КОМПО North America Inc|Шкала|Расходные материалы|1</v>
      </c>
      <c t="str" r="S626" s="6">
        <f>A626&amp;"|"&amp;C626&amp;"|"&amp;D626&amp;"|"&amp;G626&amp;"|"&amp;J626</f>
        <v>КОМПО North America Inc|Шкала|Расходные материалы|1|1</v>
      </c>
      <c t="str" r="T626" s="6">
        <f>A626&amp;"|"&amp;C626&amp;"|"&amp;G626</f>
        <v>КОМПО North America Inc|Шкала|1</v>
      </c>
      <c t="str" r="U626" s="6">
        <f>IF(H626="да",A626&amp;"|"&amp;C626&amp;"|"&amp;D626&amp;"|"&amp;J626,"")</f>
        <v/>
      </c>
      <c t="str" r="V626" s="6">
        <f>IF(C626="План",A626&amp;"|"&amp;J626,"")</f>
        <v/>
      </c>
    </row>
    <row r="627">
      <c r="A627" s="3" t="inlineStr">
        <is>
          <t>КОМПО North America Inc</t>
        </is>
      </c>
      <c r="B627" s="3" t="inlineStr">
        <is>
          <t>Заруб</t>
        </is>
      </c>
      <c r="C627" s="3" t="inlineStr">
        <is>
          <t>Шкала</t>
        </is>
      </c>
      <c r="D627" s="3" t="inlineStr">
        <is>
          <t>Расходные материалы</t>
        </is>
      </c>
      <c r="E627" s="3" t="inlineStr">
        <is>
          <t>Расходные материалы — за полугодие</t>
        </is>
      </c>
      <c r="F627" s="3" t="inlineStr">
        <is>
          <t>Объем закупок РМ</t>
        </is>
      </c>
      <c r="G627" s="4" t="n">
        <v>1</v>
      </c>
      <c r="H627" s="4" t="n"/>
      <c r="I627" s="3" t="inlineStr">
        <is>
          <t>25-34</t>
        </is>
      </c>
      <c r="J627" s="4" t="n">
        <v>2</v>
      </c>
      <c r="K627" s="4" t="n"/>
      <c r="L627" s="4" t="n"/>
      <c r="M627" s="8" t="n">
        <v>0.01</v>
      </c>
      <c r="N627" s="4" t="inlineStr">
        <is>
          <t>%</t>
        </is>
      </c>
      <c r="O627" s="3" t="inlineStr">
        <is>
          <t>KNA</t>
        </is>
      </c>
      <c r="P627" s="3" t="inlineStr">
        <is>
          <t>F20</t>
        </is>
      </c>
      <c t="str" r="Q627" s="6">
        <f>A627&amp;"|"&amp;C627&amp;"|"&amp;D627&amp;"|"&amp;G627</f>
        <v>КОМПО North America Inc|Шкала|Расходные материалы|1</v>
      </c>
      <c t="str" r="R627" s="6">
        <f>A627&amp;"|"&amp;C627&amp;"|"&amp;D627&amp;"|"&amp;J627</f>
        <v>КОМПО North America Inc|Шкала|Расходные материалы|2</v>
      </c>
      <c t="str" r="S627" s="6">
        <f>A627&amp;"|"&amp;C627&amp;"|"&amp;D627&amp;"|"&amp;G627&amp;"|"&amp;J627</f>
        <v>КОМПО North America Inc|Шкала|Расходные материалы|1|2</v>
      </c>
      <c t="str" r="T627" s="6">
        <f>A627&amp;"|"&amp;C627&amp;"|"&amp;G627</f>
        <v>КОМПО North America Inc|Шкала|1</v>
      </c>
      <c t="str" r="U627" s="6">
        <f>IF(H627="да",A627&amp;"|"&amp;C627&amp;"|"&amp;D627&amp;"|"&amp;J627,"")</f>
        <v/>
      </c>
      <c t="str" r="V627" s="6">
        <f>IF(C627="План",A627&amp;"|"&amp;J627,"")</f>
        <v/>
      </c>
    </row>
    <row r="628">
      <c r="A628" s="3" t="inlineStr">
        <is>
          <t>КОМПО North America Inc</t>
        </is>
      </c>
      <c r="B628" s="3" t="inlineStr">
        <is>
          <t>Заруб</t>
        </is>
      </c>
      <c r="C628" s="3" t="inlineStr">
        <is>
          <t>Шкала</t>
        </is>
      </c>
      <c r="D628" s="3" t="inlineStr">
        <is>
          <t>Расходные материалы</t>
        </is>
      </c>
      <c r="E628" s="3" t="inlineStr">
        <is>
          <t>Расходные материалы — за полугодие</t>
        </is>
      </c>
      <c r="F628" s="3" t="inlineStr">
        <is>
          <t>Объем закупок РМ</t>
        </is>
      </c>
      <c r="G628" s="4" t="n">
        <v>1</v>
      </c>
      <c r="H628" s="4" t="n"/>
      <c r="I628" s="3" t="inlineStr">
        <is>
          <t>35-44</t>
        </is>
      </c>
      <c r="J628" s="4" t="n">
        <v>3</v>
      </c>
      <c r="K628" s="4" t="n"/>
      <c r="L628" s="4" t="n"/>
      <c r="M628" s="8" t="n">
        <v>0.02</v>
      </c>
      <c r="N628" s="4" t="inlineStr">
        <is>
          <t>%</t>
        </is>
      </c>
      <c r="O628" s="3" t="inlineStr">
        <is>
          <t>KNA</t>
        </is>
      </c>
      <c r="P628" s="3" t="inlineStr">
        <is>
          <t>G20</t>
        </is>
      </c>
      <c t="str" r="Q628" s="6">
        <f>A628&amp;"|"&amp;C628&amp;"|"&amp;D628&amp;"|"&amp;G628</f>
        <v>КОМПО North America Inc|Шкала|Расходные материалы|1</v>
      </c>
      <c t="str" r="R628" s="6">
        <f>A628&amp;"|"&amp;C628&amp;"|"&amp;D628&amp;"|"&amp;J628</f>
        <v>КОМПО North America Inc|Шкала|Расходные материалы|3</v>
      </c>
      <c t="str" r="S628" s="6">
        <f>A628&amp;"|"&amp;C628&amp;"|"&amp;D628&amp;"|"&amp;G628&amp;"|"&amp;J628</f>
        <v>КОМПО North America Inc|Шкала|Расходные материалы|1|3</v>
      </c>
      <c t="str" r="T628" s="6">
        <f>A628&amp;"|"&amp;C628&amp;"|"&amp;G628</f>
        <v>КОМПО North America Inc|Шкала|1</v>
      </c>
      <c t="str" r="U628" s="6">
        <f>IF(H628="да",A628&amp;"|"&amp;C628&amp;"|"&amp;D628&amp;"|"&amp;J628,"")</f>
        <v/>
      </c>
      <c t="str" r="V628" s="6">
        <f>IF(C628="План",A628&amp;"|"&amp;J628,"")</f>
        <v/>
      </c>
    </row>
    <row r="629">
      <c r="A629" s="3" t="inlineStr">
        <is>
          <t>КОМПО North America Inc</t>
        </is>
      </c>
      <c r="B629" s="3" t="inlineStr">
        <is>
          <t>Заруб</t>
        </is>
      </c>
      <c r="C629" s="3" t="inlineStr">
        <is>
          <t>Шкала</t>
        </is>
      </c>
      <c r="D629" s="3" t="inlineStr">
        <is>
          <t>Расходные материалы</t>
        </is>
      </c>
      <c r="E629" s="3" t="inlineStr">
        <is>
          <t>Расходные материалы — за полугодие</t>
        </is>
      </c>
      <c r="F629" s="3" t="inlineStr">
        <is>
          <t>Объем закупок РМ</t>
        </is>
      </c>
      <c r="G629" s="4" t="n">
        <v>1</v>
      </c>
      <c r="H629" s="4" t="n"/>
      <c r="I629" s="3" t="inlineStr">
        <is>
          <t>45-54</t>
        </is>
      </c>
      <c r="J629" s="4" t="n">
        <v>4</v>
      </c>
      <c r="K629" s="4" t="n"/>
      <c r="L629" s="4" t="n"/>
      <c r="M629" s="8" t="n">
        <v>0.03</v>
      </c>
      <c r="N629" s="4" t="inlineStr">
        <is>
          <t>%</t>
        </is>
      </c>
      <c r="O629" s="3" t="inlineStr">
        <is>
          <t>KNA</t>
        </is>
      </c>
      <c r="P629" s="3" t="inlineStr">
        <is>
          <t>H20</t>
        </is>
      </c>
      <c t="str" r="Q629" s="6">
        <f>A629&amp;"|"&amp;C629&amp;"|"&amp;D629&amp;"|"&amp;G629</f>
        <v>КОМПО North America Inc|Шкала|Расходные материалы|1</v>
      </c>
      <c t="str" r="R629" s="6">
        <f>A629&amp;"|"&amp;C629&amp;"|"&amp;D629&amp;"|"&amp;J629</f>
        <v>КОМПО North America Inc|Шкала|Расходные материалы|4</v>
      </c>
      <c t="str" r="S629" s="6">
        <f>A629&amp;"|"&amp;C629&amp;"|"&amp;D629&amp;"|"&amp;G629&amp;"|"&amp;J629</f>
        <v>КОМПО North America Inc|Шкала|Расходные материалы|1|4</v>
      </c>
      <c t="str" r="T629" s="6">
        <f>A629&amp;"|"&amp;C629&amp;"|"&amp;G629</f>
        <v>КОМПО North America Inc|Шкала|1</v>
      </c>
      <c t="str" r="U629" s="6">
        <f>IF(H629="да",A629&amp;"|"&amp;C629&amp;"|"&amp;D629&amp;"|"&amp;J629,"")</f>
        <v/>
      </c>
      <c t="str" r="V629" s="6">
        <f>IF(C629="План",A629&amp;"|"&amp;J629,"")</f>
        <v/>
      </c>
    </row>
    <row r="630">
      <c r="A630" s="3" t="inlineStr">
        <is>
          <t>КОМПО North America Inc</t>
        </is>
      </c>
      <c r="B630" s="3" t="inlineStr">
        <is>
          <t>Заруб</t>
        </is>
      </c>
      <c r="C630" s="3" t="inlineStr">
        <is>
          <t>Шкала</t>
        </is>
      </c>
      <c r="D630" s="3" t="inlineStr">
        <is>
          <t>Расходные материалы</t>
        </is>
      </c>
      <c r="E630" s="3" t="inlineStr">
        <is>
          <t>Расходные материалы — за полугодие</t>
        </is>
      </c>
      <c r="F630" s="3" t="inlineStr">
        <is>
          <t>Объем закупок РМ</t>
        </is>
      </c>
      <c r="G630" s="4" t="n">
        <v>1</v>
      </c>
      <c r="H630" s="4" t="n"/>
      <c r="I630" s="3" t="inlineStr">
        <is>
          <t>55-64</t>
        </is>
      </c>
      <c r="J630" s="4" t="n">
        <v>5</v>
      </c>
      <c r="K630" s="4" t="n"/>
      <c r="L630" s="4" t="n"/>
      <c r="M630" s="8" t="n">
        <v>0.04</v>
      </c>
      <c r="N630" s="4" t="inlineStr">
        <is>
          <t>%</t>
        </is>
      </c>
      <c r="O630" s="3" t="inlineStr">
        <is>
          <t>KNA</t>
        </is>
      </c>
      <c r="P630" s="3" t="inlineStr">
        <is>
          <t>I20</t>
        </is>
      </c>
      <c t="str" r="Q630" s="6">
        <f>A630&amp;"|"&amp;C630&amp;"|"&amp;D630&amp;"|"&amp;G630</f>
        <v>КОМПО North America Inc|Шкала|Расходные материалы|1</v>
      </c>
      <c t="str" r="R630" s="6">
        <f>A630&amp;"|"&amp;C630&amp;"|"&amp;D630&amp;"|"&amp;J630</f>
        <v>КОМПО North America Inc|Шкала|Расходные материалы|5</v>
      </c>
      <c t="str" r="S630" s="6">
        <f>A630&amp;"|"&amp;C630&amp;"|"&amp;D630&amp;"|"&amp;G630&amp;"|"&amp;J630</f>
        <v>КОМПО North America Inc|Шкала|Расходные материалы|1|5</v>
      </c>
      <c t="str" r="T630" s="6">
        <f>A630&amp;"|"&amp;C630&amp;"|"&amp;G630</f>
        <v>КОМПО North America Inc|Шкала|1</v>
      </c>
      <c t="str" r="U630" s="6">
        <f>IF(H630="да",A630&amp;"|"&amp;C630&amp;"|"&amp;D630&amp;"|"&amp;J630,"")</f>
        <v/>
      </c>
      <c t="str" r="V630" s="6">
        <f>IF(C630="План",A630&amp;"|"&amp;J630,"")</f>
        <v/>
      </c>
    </row>
    <row r="631">
      <c r="A631" s="3" t="inlineStr">
        <is>
          <t>КОМПО North America Inc</t>
        </is>
      </c>
      <c r="B631" s="3" t="inlineStr">
        <is>
          <t>Заруб</t>
        </is>
      </c>
      <c r="C631" s="3" t="inlineStr">
        <is>
          <t>Шкала</t>
        </is>
      </c>
      <c r="D631" s="3" t="inlineStr">
        <is>
          <t>Расходные материалы</t>
        </is>
      </c>
      <c r="E631" s="3" t="inlineStr">
        <is>
          <t>Расходные материалы — за полугодие</t>
        </is>
      </c>
      <c r="F631" s="3" t="inlineStr">
        <is>
          <t>Объем закупок РМ</t>
        </is>
      </c>
      <c r="G631" s="4" t="n">
        <v>1</v>
      </c>
      <c r="H631" s="4" t="n"/>
      <c r="I631" s="3" t="inlineStr">
        <is>
          <t>65 и более</t>
        </is>
      </c>
      <c r="J631" s="4" t="n">
        <v>6</v>
      </c>
      <c r="K631" s="4" t="n"/>
      <c r="L631" s="4" t="n"/>
      <c r="M631" s="8" t="n">
        <v>0.05</v>
      </c>
      <c r="N631" s="4" t="inlineStr">
        <is>
          <t>%</t>
        </is>
      </c>
      <c r="O631" s="3" t="inlineStr">
        <is>
          <t>KNA</t>
        </is>
      </c>
      <c r="P631" s="3" t="inlineStr">
        <is>
          <t>J20</t>
        </is>
      </c>
      <c t="str" r="Q631" s="6">
        <f>A631&amp;"|"&amp;C631&amp;"|"&amp;D631&amp;"|"&amp;G631</f>
        <v>КОМПО North America Inc|Шкала|Расходные материалы|1</v>
      </c>
      <c t="str" r="R631" s="6">
        <f>A631&amp;"|"&amp;C631&amp;"|"&amp;D631&amp;"|"&amp;J631</f>
        <v>КОМПО North America Inc|Шкала|Расходные материалы|6</v>
      </c>
      <c t="str" r="S631" s="6">
        <f>A631&amp;"|"&amp;C631&amp;"|"&amp;D631&amp;"|"&amp;G631&amp;"|"&amp;J631</f>
        <v>КОМПО North America Inc|Шкала|Расходные материалы|1|6</v>
      </c>
      <c t="str" r="T631" s="6">
        <f>A631&amp;"|"&amp;C631&amp;"|"&amp;G631</f>
        <v>КОМПО North America Inc|Шкала|1</v>
      </c>
      <c t="str" r="U631" s="6">
        <f>IF(H631="да",A631&amp;"|"&amp;C631&amp;"|"&amp;D631&amp;"|"&amp;J631,"")</f>
        <v/>
      </c>
      <c t="str" r="V631" s="6">
        <f>IF(C631="План",A631&amp;"|"&amp;J631,"")</f>
        <v/>
      </c>
    </row>
    <row r="632">
      <c r="A632" s="3" t="inlineStr">
        <is>
          <t>КОМПО North America Inc</t>
        </is>
      </c>
      <c r="B632" s="3" t="inlineStr">
        <is>
          <t>Заруб</t>
        </is>
      </c>
      <c r="C632" s="3" t="inlineStr">
        <is>
          <t>Шкала</t>
        </is>
      </c>
      <c r="D632" s="3" t="inlineStr">
        <is>
          <t>Сервис (ЗЧ)</t>
        </is>
      </c>
      <c r="E632" s="3" t="inlineStr">
        <is>
          <t>Сервис (ЗЧ) — абсолютные отгрузки за 12 месяцев</t>
        </is>
      </c>
      <c r="F632" s="3" t="inlineStr">
        <is>
          <t>Скидка по сервису</t>
        </is>
      </c>
      <c r="G632" s="4" t="n">
        <v>1</v>
      </c>
      <c r="H632" s="4" t="inlineStr">
        <is>
          <t>да</t>
        </is>
      </c>
      <c r="I632" s="3" t="inlineStr">
        <is>
          <t>0–7000</t>
        </is>
      </c>
      <c r="J632" s="4" t="n">
        <v>1</v>
      </c>
      <c r="K632" s="4" t="n">
        <v>0</v>
      </c>
      <c r="L632" s="4" t="n">
        <v>7000</v>
      </c>
      <c r="M632" s="8" t="n">
        <v>0.1</v>
      </c>
      <c r="N632" s="4" t="inlineStr">
        <is>
          <t>%</t>
        </is>
      </c>
      <c r="O632" s="3" t="inlineStr">
        <is>
          <t>KNA</t>
        </is>
      </c>
      <c r="P632" s="3" t="inlineStr">
        <is>
          <t>F23</t>
        </is>
      </c>
      <c t="str" r="Q632" s="6">
        <f>A632&amp;"|"&amp;C632&amp;"|"&amp;D632&amp;"|"&amp;G632</f>
        <v>КОМПО North America Inc|Шкала|Сервис (ЗЧ)|1</v>
      </c>
      <c t="str" r="R632" s="6">
        <f>A632&amp;"|"&amp;C632&amp;"|"&amp;D632&amp;"|"&amp;J632</f>
        <v>КОМПО North America Inc|Шкала|Сервис (ЗЧ)|1</v>
      </c>
      <c t="str" r="S632" s="6">
        <f>A632&amp;"|"&amp;C632&amp;"|"&amp;D632&amp;"|"&amp;G632&amp;"|"&amp;J632</f>
        <v>КОМПО North America Inc|Шкала|Сервис (ЗЧ)|1|1</v>
      </c>
      <c t="str" r="T632" s="6">
        <f>A632&amp;"|"&amp;C632&amp;"|"&amp;G632</f>
        <v>КОМПО North America Inc|Шкала|1</v>
      </c>
      <c t="str" r="U632" s="6">
        <f>IF(H632="да",A632&amp;"|"&amp;C632&amp;"|"&amp;D632&amp;"|"&amp;J632,"")</f>
        <v>КОМПО North America Inc|Шкала|Сервис (ЗЧ)|1</v>
      </c>
      <c t="str" r="V632" s="6">
        <f>IF(C632="План",A632&amp;"|"&amp;J632,"")</f>
        <v/>
      </c>
    </row>
    <row r="633">
      <c r="A633" s="3" t="inlineStr">
        <is>
          <t>КОМПО North America Inc</t>
        </is>
      </c>
      <c r="B633" s="3" t="inlineStr">
        <is>
          <t>Заруб</t>
        </is>
      </c>
      <c r="C633" s="3" t="inlineStr">
        <is>
          <t>Шкала</t>
        </is>
      </c>
      <c r="D633" s="3" t="inlineStr">
        <is>
          <t>Сервис (ЗЧ)</t>
        </is>
      </c>
      <c r="E633" s="3" t="inlineStr">
        <is>
          <t>Сервис (ЗЧ) — абсолютные отгрузки за 12 месяцев</t>
        </is>
      </c>
      <c r="F633" s="3" t="inlineStr">
        <is>
          <t>Скидка по сервису</t>
        </is>
      </c>
      <c r="G633" s="4" t="n">
        <v>1</v>
      </c>
      <c r="H633" s="4" t="inlineStr">
        <is>
          <t>да</t>
        </is>
      </c>
      <c r="I633" s="3" t="inlineStr">
        <is>
          <t>7001–19000</t>
        </is>
      </c>
      <c r="J633" s="4" t="n">
        <v>2</v>
      </c>
      <c r="K633" s="4" t="n">
        <v>7001</v>
      </c>
      <c r="L633" s="4" t="n">
        <v>19000</v>
      </c>
      <c r="M633" s="8" t="n">
        <v>0.11</v>
      </c>
      <c r="N633" s="4" t="inlineStr">
        <is>
          <t>%</t>
        </is>
      </c>
      <c r="O633" s="3" t="inlineStr">
        <is>
          <t>KNA</t>
        </is>
      </c>
      <c r="P633" s="3" t="inlineStr">
        <is>
          <t>F24</t>
        </is>
      </c>
      <c t="str" r="Q633" s="6">
        <f>A633&amp;"|"&amp;C633&amp;"|"&amp;D633&amp;"|"&amp;G633</f>
        <v>КОМПО North America Inc|Шкала|Сервис (ЗЧ)|1</v>
      </c>
      <c t="str" r="R633" s="6">
        <f>A633&amp;"|"&amp;C633&amp;"|"&amp;D633&amp;"|"&amp;J633</f>
        <v>КОМПО North America Inc|Шкала|Сервис (ЗЧ)|2</v>
      </c>
      <c t="str" r="S633" s="6">
        <f>A633&amp;"|"&amp;C633&amp;"|"&amp;D633&amp;"|"&amp;G633&amp;"|"&amp;J633</f>
        <v>КОМПО North America Inc|Шкала|Сервис (ЗЧ)|1|2</v>
      </c>
      <c t="str" r="T633" s="6">
        <f>A633&amp;"|"&amp;C633&amp;"|"&amp;G633</f>
        <v>КОМПО North America Inc|Шкала|1</v>
      </c>
      <c t="str" r="U633" s="6">
        <f>IF(H633="да",A633&amp;"|"&amp;C633&amp;"|"&amp;D633&amp;"|"&amp;J633,"")</f>
        <v>КОМПО North America Inc|Шкала|Сервис (ЗЧ)|2</v>
      </c>
      <c t="str" r="V633" s="6">
        <f>IF(C633="План",A633&amp;"|"&amp;J633,"")</f>
        <v/>
      </c>
    </row>
    <row r="634">
      <c r="A634" s="3" t="inlineStr">
        <is>
          <t>КОМПО North America Inc</t>
        </is>
      </c>
      <c r="B634" s="3" t="inlineStr">
        <is>
          <t>Заруб</t>
        </is>
      </c>
      <c r="C634" s="3" t="inlineStr">
        <is>
          <t>Шкала</t>
        </is>
      </c>
      <c r="D634" s="3" t="inlineStr">
        <is>
          <t>Сервис (ЗЧ)</t>
        </is>
      </c>
      <c r="E634" s="3" t="inlineStr">
        <is>
          <t>Сервис (ЗЧ) — абсолютные отгрузки за 12 месяцев</t>
        </is>
      </c>
      <c r="F634" s="3" t="inlineStr">
        <is>
          <t>Скидка по сервису</t>
        </is>
      </c>
      <c r="G634" s="4" t="n">
        <v>1</v>
      </c>
      <c r="H634" s="4" t="inlineStr">
        <is>
          <t>да</t>
        </is>
      </c>
      <c r="I634" s="3" t="inlineStr">
        <is>
          <t>19001–24000</t>
        </is>
      </c>
      <c r="J634" s="4" t="n">
        <v>3</v>
      </c>
      <c r="K634" s="4" t="n">
        <v>19001</v>
      </c>
      <c r="L634" s="4" t="n">
        <v>24000</v>
      </c>
      <c r="M634" s="8" t="n">
        <v>0.13</v>
      </c>
      <c r="N634" s="4" t="inlineStr">
        <is>
          <t>%</t>
        </is>
      </c>
      <c r="O634" s="3" t="inlineStr">
        <is>
          <t>KNA</t>
        </is>
      </c>
      <c r="P634" s="3" t="inlineStr">
        <is>
          <t>F25</t>
        </is>
      </c>
      <c t="str" r="Q634" s="6">
        <f>A634&amp;"|"&amp;C634&amp;"|"&amp;D634&amp;"|"&amp;G634</f>
        <v>КОМПО North America Inc|Шкала|Сервис (ЗЧ)|1</v>
      </c>
      <c t="str" r="R634" s="6">
        <f>A634&amp;"|"&amp;C634&amp;"|"&amp;D634&amp;"|"&amp;J634</f>
        <v>КОМПО North America Inc|Шкала|Сервис (ЗЧ)|3</v>
      </c>
      <c t="str" r="S634" s="6">
        <f>A634&amp;"|"&amp;C634&amp;"|"&amp;D634&amp;"|"&amp;G634&amp;"|"&amp;J634</f>
        <v>КОМПО North America Inc|Шкала|Сервис (ЗЧ)|1|3</v>
      </c>
      <c t="str" r="T634" s="6">
        <f>A634&amp;"|"&amp;C634&amp;"|"&amp;G634</f>
        <v>КОМПО North America Inc|Шкала|1</v>
      </c>
      <c t="str" r="U634" s="6">
        <f>IF(H634="да",A634&amp;"|"&amp;C634&amp;"|"&amp;D634&amp;"|"&amp;J634,"")</f>
        <v>КОМПО North America Inc|Шкала|Сервис (ЗЧ)|3</v>
      </c>
      <c t="str" r="V634" s="6">
        <f>IF(C634="План",A634&amp;"|"&amp;J634,"")</f>
        <v/>
      </c>
    </row>
    <row r="635">
      <c r="A635" s="3" t="inlineStr">
        <is>
          <t>КОМПО North America Inc</t>
        </is>
      </c>
      <c r="B635" s="3" t="inlineStr">
        <is>
          <t>Заруб</t>
        </is>
      </c>
      <c r="C635" s="3" t="inlineStr">
        <is>
          <t>Шкала</t>
        </is>
      </c>
      <c r="D635" s="3" t="inlineStr">
        <is>
          <t>Сервис (ЗЧ)</t>
        </is>
      </c>
      <c r="E635" s="3" t="inlineStr">
        <is>
          <t>Сервис (ЗЧ) — абсолютные отгрузки за 12 месяцев</t>
        </is>
      </c>
      <c r="F635" s="3" t="inlineStr">
        <is>
          <t>Скидка по сервису</t>
        </is>
      </c>
      <c r="G635" s="4" t="n">
        <v>1</v>
      </c>
      <c r="H635" s="4" t="inlineStr">
        <is>
          <t>да</t>
        </is>
      </c>
      <c r="I635" s="3" t="inlineStr">
        <is>
          <t>24001–28000</t>
        </is>
      </c>
      <c r="J635" s="4" t="n">
        <v>4</v>
      </c>
      <c r="K635" s="4" t="n">
        <v>24001</v>
      </c>
      <c r="L635" s="4" t="n">
        <v>28000</v>
      </c>
      <c r="M635" s="8" t="n">
        <v>0.14</v>
      </c>
      <c r="N635" s="4" t="inlineStr">
        <is>
          <t>%</t>
        </is>
      </c>
      <c r="O635" s="3" t="inlineStr">
        <is>
          <t>KNA</t>
        </is>
      </c>
      <c r="P635" s="3" t="inlineStr">
        <is>
          <t>F26</t>
        </is>
      </c>
      <c t="str" r="Q635" s="6">
        <f>A635&amp;"|"&amp;C635&amp;"|"&amp;D635&amp;"|"&amp;G635</f>
        <v>КОМПО North America Inc|Шкала|Сервис (ЗЧ)|1</v>
      </c>
      <c t="str" r="R635" s="6">
        <f>A635&amp;"|"&amp;C635&amp;"|"&amp;D635&amp;"|"&amp;J635</f>
        <v>КОМПО North America Inc|Шкала|Сервис (ЗЧ)|4</v>
      </c>
      <c t="str" r="S635" s="6">
        <f>A635&amp;"|"&amp;C635&amp;"|"&amp;D635&amp;"|"&amp;G635&amp;"|"&amp;J635</f>
        <v>КОМПО North America Inc|Шкала|Сервис (ЗЧ)|1|4</v>
      </c>
      <c t="str" r="T635" s="6">
        <f>A635&amp;"|"&amp;C635&amp;"|"&amp;G635</f>
        <v>КОМПО North America Inc|Шкала|1</v>
      </c>
      <c t="str" r="U635" s="6">
        <f>IF(H635="да",A635&amp;"|"&amp;C635&amp;"|"&amp;D635&amp;"|"&amp;J635,"")</f>
        <v>КОМПО North America Inc|Шкала|Сервис (ЗЧ)|4</v>
      </c>
      <c t="str" r="V635" s="6">
        <f>IF(C635="План",A635&amp;"|"&amp;J635,"")</f>
        <v/>
      </c>
    </row>
    <row r="636">
      <c r="A636" s="3" t="inlineStr">
        <is>
          <t>КОМПО North America Inc</t>
        </is>
      </c>
      <c r="B636" s="3" t="inlineStr">
        <is>
          <t>Заруб</t>
        </is>
      </c>
      <c r="C636" s="3" t="inlineStr">
        <is>
          <t>Шкала</t>
        </is>
      </c>
      <c r="D636" s="3" t="inlineStr">
        <is>
          <t>Сервис (ЗЧ)</t>
        </is>
      </c>
      <c r="E636" s="3" t="inlineStr">
        <is>
          <t>Сервис (ЗЧ) — абсолютные отгрузки за 12 месяцев</t>
        </is>
      </c>
      <c r="F636" s="3" t="inlineStr">
        <is>
          <t>Скидка по сервису</t>
        </is>
      </c>
      <c r="G636" s="4" t="n">
        <v>1</v>
      </c>
      <c r="H636" s="4" t="inlineStr">
        <is>
          <t>да</t>
        </is>
      </c>
      <c r="I636" s="3" t="inlineStr">
        <is>
          <t>28001–40000</t>
        </is>
      </c>
      <c r="J636" s="4" t="n">
        <v>5</v>
      </c>
      <c r="K636" s="4" t="n">
        <v>28001</v>
      </c>
      <c r="L636" s="4" t="n">
        <v>40000</v>
      </c>
      <c r="M636" s="8" t="n">
        <v>0.15</v>
      </c>
      <c r="N636" s="4" t="inlineStr">
        <is>
          <t>%</t>
        </is>
      </c>
      <c r="O636" s="3" t="inlineStr">
        <is>
          <t>KNA</t>
        </is>
      </c>
      <c r="P636" s="3" t="inlineStr">
        <is>
          <t>F27</t>
        </is>
      </c>
      <c t="str" r="Q636" s="6">
        <f>A636&amp;"|"&amp;C636&amp;"|"&amp;D636&amp;"|"&amp;G636</f>
        <v>КОМПО North America Inc|Шкала|Сервис (ЗЧ)|1</v>
      </c>
      <c t="str" r="R636" s="6">
        <f>A636&amp;"|"&amp;C636&amp;"|"&amp;D636&amp;"|"&amp;J636</f>
        <v>КОМПО North America Inc|Шкала|Сервис (ЗЧ)|5</v>
      </c>
      <c t="str" r="S636" s="6">
        <f>A636&amp;"|"&amp;C636&amp;"|"&amp;D636&amp;"|"&amp;G636&amp;"|"&amp;J636</f>
        <v>КОМПО North America Inc|Шкала|Сервис (ЗЧ)|1|5</v>
      </c>
      <c t="str" r="T636" s="6">
        <f>A636&amp;"|"&amp;C636&amp;"|"&amp;G636</f>
        <v>КОМПО North America Inc|Шкала|1</v>
      </c>
      <c t="str" r="U636" s="6">
        <f>IF(H636="да",A636&amp;"|"&amp;C636&amp;"|"&amp;D636&amp;"|"&amp;J636,"")</f>
        <v>КОМПО North America Inc|Шкала|Сервис (ЗЧ)|5</v>
      </c>
      <c t="str" r="V636" s="6">
        <f>IF(C636="План",A636&amp;"|"&amp;J636,"")</f>
        <v/>
      </c>
    </row>
    <row r="637">
      <c r="A637" s="3" t="inlineStr">
        <is>
          <t>КОМПО North America Inc</t>
        </is>
      </c>
      <c r="B637" s="3" t="inlineStr">
        <is>
          <t>Заруб</t>
        </is>
      </c>
      <c r="C637" s="3" t="inlineStr">
        <is>
          <t>Шкала</t>
        </is>
      </c>
      <c r="D637" s="3" t="inlineStr">
        <is>
          <t>Сервис (ЗЧ)</t>
        </is>
      </c>
      <c r="E637" s="3" t="inlineStr">
        <is>
          <t>Сервис (ЗЧ) — абсолютные отгрузки за 12 месяцев</t>
        </is>
      </c>
      <c r="F637" s="3" t="inlineStr">
        <is>
          <t>Скидка по сервису</t>
        </is>
      </c>
      <c r="G637" s="4" t="n">
        <v>1</v>
      </c>
      <c r="H637" s="4" t="inlineStr">
        <is>
          <t>да</t>
        </is>
      </c>
      <c r="I637" s="3" t="inlineStr">
        <is>
          <t>40001–48000</t>
        </is>
      </c>
      <c r="J637" s="4" t="n">
        <v>6</v>
      </c>
      <c r="K637" s="4" t="n">
        <v>40001</v>
      </c>
      <c r="L637" s="4" t="n">
        <v>48000</v>
      </c>
      <c r="M637" s="8" t="n">
        <v>0.16</v>
      </c>
      <c r="N637" s="4" t="inlineStr">
        <is>
          <t>%</t>
        </is>
      </c>
      <c r="O637" s="3" t="inlineStr">
        <is>
          <t>KNA</t>
        </is>
      </c>
      <c r="P637" s="3" t="inlineStr">
        <is>
          <t>F28</t>
        </is>
      </c>
      <c t="str" r="Q637" s="6">
        <f>A637&amp;"|"&amp;C637&amp;"|"&amp;D637&amp;"|"&amp;G637</f>
        <v>КОМПО North America Inc|Шкала|Сервис (ЗЧ)|1</v>
      </c>
      <c t="str" r="R637" s="6">
        <f>A637&amp;"|"&amp;C637&amp;"|"&amp;D637&amp;"|"&amp;J637</f>
        <v>КОМПО North America Inc|Шкала|Сервис (ЗЧ)|6</v>
      </c>
      <c t="str" r="S637" s="6">
        <f>A637&amp;"|"&amp;C637&amp;"|"&amp;D637&amp;"|"&amp;G637&amp;"|"&amp;J637</f>
        <v>КОМПО North America Inc|Шкала|Сервис (ЗЧ)|1|6</v>
      </c>
      <c t="str" r="T637" s="6">
        <f>A637&amp;"|"&amp;C637&amp;"|"&amp;G637</f>
        <v>КОМПО North America Inc|Шкала|1</v>
      </c>
      <c t="str" r="U637" s="6">
        <f>IF(H637="да",A637&amp;"|"&amp;C637&amp;"|"&amp;D637&amp;"|"&amp;J637,"")</f>
        <v>КОМПО North America Inc|Шкала|Сервис (ЗЧ)|6</v>
      </c>
      <c t="str" r="V637" s="6">
        <f>IF(C637="План",A637&amp;"|"&amp;J637,"")</f>
        <v/>
      </c>
    </row>
    <row r="638">
      <c r="A638" s="3" t="inlineStr">
        <is>
          <t>КОМПО North America Inc</t>
        </is>
      </c>
      <c r="B638" s="3" t="inlineStr">
        <is>
          <t>Заруб</t>
        </is>
      </c>
      <c r="C638" s="3" t="inlineStr">
        <is>
          <t>Шкала</t>
        </is>
      </c>
      <c r="D638" s="3" t="inlineStr">
        <is>
          <t>Сервис (ЗЧ)</t>
        </is>
      </c>
      <c r="E638" s="3" t="inlineStr">
        <is>
          <t>Сервис (ЗЧ) — абсолютные отгрузки за 12 месяцев</t>
        </is>
      </c>
      <c r="F638" s="3" t="inlineStr">
        <is>
          <t>Скидка по сервису</t>
        </is>
      </c>
      <c r="G638" s="4" t="n">
        <v>1</v>
      </c>
      <c r="H638" s="4" t="inlineStr">
        <is>
          <t>да</t>
        </is>
      </c>
      <c r="I638" s="3" t="inlineStr">
        <is>
          <t>48001–60000</t>
        </is>
      </c>
      <c r="J638" s="4" t="n">
        <v>7</v>
      </c>
      <c r="K638" s="4" t="n">
        <v>48001</v>
      </c>
      <c r="L638" s="4" t="n">
        <v>60000</v>
      </c>
      <c r="M638" s="8" t="n">
        <v>0.17</v>
      </c>
      <c r="N638" s="4" t="inlineStr">
        <is>
          <t>%</t>
        </is>
      </c>
      <c r="O638" s="3" t="inlineStr">
        <is>
          <t>KNA</t>
        </is>
      </c>
      <c r="P638" s="3" t="inlineStr">
        <is>
          <t>F29</t>
        </is>
      </c>
      <c t="str" r="Q638" s="6">
        <f>A638&amp;"|"&amp;C638&amp;"|"&amp;D638&amp;"|"&amp;G638</f>
        <v>КОМПО North America Inc|Шкала|Сервис (ЗЧ)|1</v>
      </c>
      <c t="str" r="R638" s="6">
        <f>A638&amp;"|"&amp;C638&amp;"|"&amp;D638&amp;"|"&amp;J638</f>
        <v>КОМПО North America Inc|Шкала|Сервис (ЗЧ)|7</v>
      </c>
      <c t="str" r="S638" s="6">
        <f>A638&amp;"|"&amp;C638&amp;"|"&amp;D638&amp;"|"&amp;G638&amp;"|"&amp;J638</f>
        <v>КОМПО North America Inc|Шкала|Сервис (ЗЧ)|1|7</v>
      </c>
      <c t="str" r="T638" s="6">
        <f>A638&amp;"|"&amp;C638&amp;"|"&amp;G638</f>
        <v>КОМПО North America Inc|Шкала|1</v>
      </c>
      <c t="str" r="U638" s="6">
        <f>IF(H638="да",A638&amp;"|"&amp;C638&amp;"|"&amp;D638&amp;"|"&amp;J638,"")</f>
        <v>КОМПО North America Inc|Шкала|Сервис (ЗЧ)|7</v>
      </c>
      <c t="str" r="V638" s="6">
        <f>IF(C638="План",A638&amp;"|"&amp;J638,"")</f>
        <v/>
      </c>
    </row>
    <row r="639">
      <c r="A639" s="3" t="inlineStr">
        <is>
          <t>КОМПО North America Inc</t>
        </is>
      </c>
      <c r="B639" s="3" t="inlineStr">
        <is>
          <t>Заруб</t>
        </is>
      </c>
      <c r="C639" s="3" t="inlineStr">
        <is>
          <t>Шкала</t>
        </is>
      </c>
      <c r="D639" s="3" t="inlineStr">
        <is>
          <t>Сервис (ЗЧ)</t>
        </is>
      </c>
      <c r="E639" s="3" t="inlineStr">
        <is>
          <t>Сервис (ЗЧ) — абсолютные отгрузки за 12 месяцев</t>
        </is>
      </c>
      <c r="F639" s="3" t="inlineStr">
        <is>
          <t>Скидка по сервису</t>
        </is>
      </c>
      <c r="G639" s="4" t="n">
        <v>1</v>
      </c>
      <c r="H639" s="4" t="inlineStr">
        <is>
          <t>да</t>
        </is>
      </c>
      <c r="I639" s="3" t="inlineStr">
        <is>
          <t>60001–75000</t>
        </is>
      </c>
      <c r="J639" s="4" t="n">
        <v>8</v>
      </c>
      <c r="K639" s="4" t="n">
        <v>60001</v>
      </c>
      <c r="L639" s="4" t="n">
        <v>75000</v>
      </c>
      <c r="M639" s="8" t="n">
        <v>0.18</v>
      </c>
      <c r="N639" s="4" t="inlineStr">
        <is>
          <t>%</t>
        </is>
      </c>
      <c r="O639" s="3" t="inlineStr">
        <is>
          <t>KNA</t>
        </is>
      </c>
      <c r="P639" s="3" t="inlineStr">
        <is>
          <t>F30</t>
        </is>
      </c>
      <c t="str" r="Q639" s="6">
        <f>A639&amp;"|"&amp;C639&amp;"|"&amp;D639&amp;"|"&amp;G639</f>
        <v>КОМПО North America Inc|Шкала|Сервис (ЗЧ)|1</v>
      </c>
      <c t="str" r="R639" s="6">
        <f>A639&amp;"|"&amp;C639&amp;"|"&amp;D639&amp;"|"&amp;J639</f>
        <v>КОМПО North America Inc|Шкала|Сервис (ЗЧ)|8</v>
      </c>
      <c t="str" r="S639" s="6">
        <f>A639&amp;"|"&amp;C639&amp;"|"&amp;D639&amp;"|"&amp;G639&amp;"|"&amp;J639</f>
        <v>КОМПО North America Inc|Шкала|Сервис (ЗЧ)|1|8</v>
      </c>
      <c t="str" r="T639" s="6">
        <f>A639&amp;"|"&amp;C639&amp;"|"&amp;G639</f>
        <v>КОМПО North America Inc|Шкала|1</v>
      </c>
      <c t="str" r="U639" s="6">
        <f>IF(H639="да",A639&amp;"|"&amp;C639&amp;"|"&amp;D639&amp;"|"&amp;J639,"")</f>
        <v>КОМПО North America Inc|Шкала|Сервис (ЗЧ)|8</v>
      </c>
      <c t="str" r="V639" s="6">
        <f>IF(C639="План",A639&amp;"|"&amp;J639,"")</f>
        <v/>
      </c>
    </row>
    <row r="640">
      <c r="A640" s="3" t="inlineStr">
        <is>
          <t>КОМПО North America Inc</t>
        </is>
      </c>
      <c r="B640" s="3" t="inlineStr">
        <is>
          <t>Заруб</t>
        </is>
      </c>
      <c r="C640" s="3" t="inlineStr">
        <is>
          <t>Шкала</t>
        </is>
      </c>
      <c r="D640" s="3" t="inlineStr">
        <is>
          <t>Сервис (ЗЧ)</t>
        </is>
      </c>
      <c r="E640" s="3" t="inlineStr">
        <is>
          <t>Сервис (ЗЧ) — абсолютные отгрузки за 12 месяцев</t>
        </is>
      </c>
      <c r="F640" s="3" t="inlineStr">
        <is>
          <t>Скидка по сервису</t>
        </is>
      </c>
      <c r="G640" s="4" t="n">
        <v>1</v>
      </c>
      <c r="H640" s="4" t="inlineStr">
        <is>
          <t>да</t>
        </is>
      </c>
      <c r="I640" s="3" t="inlineStr">
        <is>
          <t>75001–90000</t>
        </is>
      </c>
      <c r="J640" s="4" t="n">
        <v>9</v>
      </c>
      <c r="K640" s="4" t="n">
        <v>75001</v>
      </c>
      <c r="L640" s="4" t="n">
        <v>90000</v>
      </c>
      <c r="M640" s="8" t="n">
        <v>0.19</v>
      </c>
      <c r="N640" s="4" t="inlineStr">
        <is>
          <t>%</t>
        </is>
      </c>
      <c r="O640" s="3" t="inlineStr">
        <is>
          <t>KNA</t>
        </is>
      </c>
      <c r="P640" s="3" t="inlineStr">
        <is>
          <t>F31</t>
        </is>
      </c>
      <c t="str" r="Q640" s="6">
        <f>A640&amp;"|"&amp;C640&amp;"|"&amp;D640&amp;"|"&amp;G640</f>
        <v>КОМПО North America Inc|Шкала|Сервис (ЗЧ)|1</v>
      </c>
      <c t="str" r="R640" s="6">
        <f>A640&amp;"|"&amp;C640&amp;"|"&amp;D640&amp;"|"&amp;J640</f>
        <v>КОМПО North America Inc|Шкала|Сервис (ЗЧ)|9</v>
      </c>
      <c t="str" r="S640" s="6">
        <f>A640&amp;"|"&amp;C640&amp;"|"&amp;D640&amp;"|"&amp;G640&amp;"|"&amp;J640</f>
        <v>КОМПО North America Inc|Шкала|Сервис (ЗЧ)|1|9</v>
      </c>
      <c t="str" r="T640" s="6">
        <f>A640&amp;"|"&amp;C640&amp;"|"&amp;G640</f>
        <v>КОМПО North America Inc|Шкала|1</v>
      </c>
      <c t="str" r="U640" s="6">
        <f>IF(H640="да",A640&amp;"|"&amp;C640&amp;"|"&amp;D640&amp;"|"&amp;J640,"")</f>
        <v>КОМПО North America Inc|Шкала|Сервис (ЗЧ)|9</v>
      </c>
      <c t="str" r="V640" s="6">
        <f>IF(C640="План",A640&amp;"|"&amp;J640,"")</f>
        <v/>
      </c>
    </row>
    <row r="641">
      <c r="A641" s="3" t="inlineStr">
        <is>
          <t>КОМПО North America Inc</t>
        </is>
      </c>
      <c r="B641" s="3" t="inlineStr">
        <is>
          <t>Заруб</t>
        </is>
      </c>
      <c r="C641" s="3" t="inlineStr">
        <is>
          <t>Шкала</t>
        </is>
      </c>
      <c r="D641" s="3" t="inlineStr">
        <is>
          <t>Сервис (ЗЧ)</t>
        </is>
      </c>
      <c r="E641" s="3" t="inlineStr">
        <is>
          <t>Сервис (ЗЧ) — абсолютные отгрузки за 12 месяцев</t>
        </is>
      </c>
      <c r="F641" s="3" t="inlineStr">
        <is>
          <t>Скидка по сервису</t>
        </is>
      </c>
      <c r="G641" s="4" t="n">
        <v>1</v>
      </c>
      <c r="H641" s="4" t="inlineStr">
        <is>
          <t>да</t>
        </is>
      </c>
      <c r="I641" s="3" t="inlineStr">
        <is>
          <t>90001–105000</t>
        </is>
      </c>
      <c r="J641" s="4" t="n">
        <v>10</v>
      </c>
      <c r="K641" s="4" t="n">
        <v>90001</v>
      </c>
      <c r="L641" s="4" t="n">
        <v>105000</v>
      </c>
      <c r="M641" s="8" t="n">
        <v>0.2</v>
      </c>
      <c r="N641" s="4" t="inlineStr">
        <is>
          <t>%</t>
        </is>
      </c>
      <c r="O641" s="3" t="inlineStr">
        <is>
          <t>KNA</t>
        </is>
      </c>
      <c r="P641" s="3" t="inlineStr">
        <is>
          <t>F32</t>
        </is>
      </c>
      <c t="str" r="Q641" s="6">
        <f>A641&amp;"|"&amp;C641&amp;"|"&amp;D641&amp;"|"&amp;G641</f>
        <v>КОМПО North America Inc|Шкала|Сервис (ЗЧ)|1</v>
      </c>
      <c t="str" r="R641" s="6">
        <f>A641&amp;"|"&amp;C641&amp;"|"&amp;D641&amp;"|"&amp;J641</f>
        <v>КОМПО North America Inc|Шкала|Сервис (ЗЧ)|10</v>
      </c>
      <c t="str" r="S641" s="6">
        <f>A641&amp;"|"&amp;C641&amp;"|"&amp;D641&amp;"|"&amp;G641&amp;"|"&amp;J641</f>
        <v>КОМПО North America Inc|Шкала|Сервис (ЗЧ)|1|10</v>
      </c>
      <c t="str" r="T641" s="6">
        <f>A641&amp;"|"&amp;C641&amp;"|"&amp;G641</f>
        <v>КОМПО North America Inc|Шкала|1</v>
      </c>
      <c t="str" r="U641" s="6">
        <f>IF(H641="да",A641&amp;"|"&amp;C641&amp;"|"&amp;D641&amp;"|"&amp;J641,"")</f>
        <v>КОМПО North America Inc|Шкала|Сервис (ЗЧ)|10</v>
      </c>
      <c t="str" r="V641" s="6">
        <f>IF(C641="План",A641&amp;"|"&amp;J641,"")</f>
        <v/>
      </c>
    </row>
    <row r="642">
      <c r="A642" s="3" t="inlineStr">
        <is>
          <t>КОМПО North America Inc</t>
        </is>
      </c>
      <c r="B642" s="3" t="inlineStr">
        <is>
          <t>Заруб</t>
        </is>
      </c>
      <c r="C642" s="3" t="inlineStr">
        <is>
          <t>Шкала</t>
        </is>
      </c>
      <c r="D642" s="3" t="inlineStr">
        <is>
          <t>Сервис (ЗЧ)</t>
        </is>
      </c>
      <c r="E642" s="3" t="inlineStr">
        <is>
          <t>Сервис (ЗЧ) — абсолютные отгрузки за 12 месяцев</t>
        </is>
      </c>
      <c r="F642" s="3" t="inlineStr">
        <is>
          <t>Скидка по сервису</t>
        </is>
      </c>
      <c r="G642" s="4" t="n">
        <v>1</v>
      </c>
      <c r="H642" s="4" t="inlineStr">
        <is>
          <t>да</t>
        </is>
      </c>
      <c r="I642" s="3" t="inlineStr">
        <is>
          <t>105001–115000</t>
        </is>
      </c>
      <c r="J642" s="4" t="n">
        <v>11</v>
      </c>
      <c r="K642" s="4" t="n">
        <v>105001</v>
      </c>
      <c r="L642" s="4" t="n">
        <v>115000</v>
      </c>
      <c r="M642" s="8" t="n">
        <v>0.21</v>
      </c>
      <c r="N642" s="4" t="inlineStr">
        <is>
          <t>%</t>
        </is>
      </c>
      <c r="O642" s="3" t="inlineStr">
        <is>
          <t>KNA</t>
        </is>
      </c>
      <c r="P642" s="3" t="inlineStr">
        <is>
          <t>F33</t>
        </is>
      </c>
      <c t="str" r="Q642" s="6">
        <f>A642&amp;"|"&amp;C642&amp;"|"&amp;D642&amp;"|"&amp;G642</f>
        <v>КОМПО North America Inc|Шкала|Сервис (ЗЧ)|1</v>
      </c>
      <c t="str" r="R642" s="6">
        <f>A642&amp;"|"&amp;C642&amp;"|"&amp;D642&amp;"|"&amp;J642</f>
        <v>КОМПО North America Inc|Шкала|Сервис (ЗЧ)|11</v>
      </c>
      <c t="str" r="S642" s="6">
        <f>A642&amp;"|"&amp;C642&amp;"|"&amp;D642&amp;"|"&amp;G642&amp;"|"&amp;J642</f>
        <v>КОМПО North America Inc|Шкала|Сервис (ЗЧ)|1|11</v>
      </c>
      <c t="str" r="T642" s="6">
        <f>A642&amp;"|"&amp;C642&amp;"|"&amp;G642</f>
        <v>КОМПО North America Inc|Шкала|1</v>
      </c>
      <c t="str" r="U642" s="6">
        <f>IF(H642="да",A642&amp;"|"&amp;C642&amp;"|"&amp;D642&amp;"|"&amp;J642,"")</f>
        <v>КОМПО North America Inc|Шкала|Сервис (ЗЧ)|11</v>
      </c>
      <c t="str" r="V642" s="6">
        <f>IF(C642="План",A642&amp;"|"&amp;J642,"")</f>
        <v/>
      </c>
    </row>
    <row r="643">
      <c r="A643" s="3" t="inlineStr">
        <is>
          <t>КОМПО North America Inc</t>
        </is>
      </c>
      <c r="B643" s="3" t="inlineStr">
        <is>
          <t>Заруб</t>
        </is>
      </c>
      <c r="C643" s="3" t="inlineStr">
        <is>
          <t>Шкала</t>
        </is>
      </c>
      <c r="D643" s="3" t="inlineStr">
        <is>
          <t>Сервис (ЗЧ)</t>
        </is>
      </c>
      <c r="E643" s="3" t="inlineStr">
        <is>
          <t>Сервис (ЗЧ) — абсолютные отгрузки за 12 месяцев</t>
        </is>
      </c>
      <c r="F643" s="3" t="inlineStr">
        <is>
          <t>Скидка по сервису</t>
        </is>
      </c>
      <c r="G643" s="4" t="n">
        <v>1</v>
      </c>
      <c r="H643" s="4" t="inlineStr">
        <is>
          <t>да</t>
        </is>
      </c>
      <c r="I643" s="3" t="inlineStr">
        <is>
          <t>115001+</t>
        </is>
      </c>
      <c r="J643" s="4" t="n">
        <v>12</v>
      </c>
      <c r="K643" s="4" t="n">
        <v>115001</v>
      </c>
      <c r="L643" s="4" t="n">
        <v>0</v>
      </c>
      <c r="M643" s="8" t="n">
        <v>0.22</v>
      </c>
      <c r="N643" s="4" t="inlineStr">
        <is>
          <t>%</t>
        </is>
      </c>
      <c r="O643" s="3" t="inlineStr">
        <is>
          <t>KNA</t>
        </is>
      </c>
      <c r="P643" s="3" t="inlineStr">
        <is>
          <t>F34</t>
        </is>
      </c>
      <c t="str" r="Q643" s="6">
        <f>A643&amp;"|"&amp;C643&amp;"|"&amp;D643&amp;"|"&amp;G643</f>
        <v>КОМПО North America Inc|Шкала|Сервис (ЗЧ)|1</v>
      </c>
      <c t="str" r="R643" s="6">
        <f>A643&amp;"|"&amp;C643&amp;"|"&amp;D643&amp;"|"&amp;J643</f>
        <v>КОМПО North America Inc|Шкала|Сервис (ЗЧ)|12</v>
      </c>
      <c t="str" r="S643" s="6">
        <f>A643&amp;"|"&amp;C643&amp;"|"&amp;D643&amp;"|"&amp;G643&amp;"|"&amp;J643</f>
        <v>КОМПО North America Inc|Шкала|Сервис (ЗЧ)|1|12</v>
      </c>
      <c t="str" r="T643" s="6">
        <f>A643&amp;"|"&amp;C643&amp;"|"&amp;G643</f>
        <v>КОМПО North America Inc|Шкала|1</v>
      </c>
      <c t="str" r="U643" s="6">
        <f>IF(H643="да",A643&amp;"|"&amp;C643&amp;"|"&amp;D643&amp;"|"&amp;J643,"")</f>
        <v>КОМПО North America Inc|Шкала|Сервис (ЗЧ)|12</v>
      </c>
      <c t="str" r="V643" s="6">
        <f>IF(C643="План",A643&amp;"|"&amp;J643,"")</f>
        <v/>
      </c>
    </row>
    <row r="644">
      <c r="A644" s="3" t="inlineStr">
        <is>
          <t>LUCKY &amp; S CO, Сербия</t>
        </is>
      </c>
      <c r="B644" s="3" t="inlineStr">
        <is>
          <t>Заруб</t>
        </is>
      </c>
      <c r="C644" s="3" t="inlineStr">
        <is>
          <t>План</t>
        </is>
      </c>
      <c r="D644" s="3" t="inlineStr">
        <is>
          <t>Итого по дилеру</t>
        </is>
      </c>
      <c r="E644" s="3" t="inlineStr">
        <is>
          <t>План и бонусы</t>
        </is>
      </c>
      <c r="F644" s="3" t="inlineStr">
        <is>
          <t>Выручка 2024</t>
        </is>
      </c>
      <c r="G644" s="4" t="n">
        <v>1</v>
      </c>
      <c r="H644" s="4" t="n"/>
      <c r="I644" s="3" t="n"/>
      <c r="J644" s="4" t="n">
        <v>1</v>
      </c>
      <c r="K644" s="4" t="n"/>
      <c r="L644" s="4" t="n"/>
      <c r="M644" s="5" t="n">
        <v>238898</v>
      </c>
      <c r="N644" s="4" t="inlineStr">
        <is>
          <t>EUR</t>
        </is>
      </c>
      <c r="O644" s="3" t="inlineStr">
        <is>
          <t>LUCKY &amp; S CO</t>
        </is>
      </c>
      <c r="P644" s="3" t="inlineStr">
        <is>
          <t>D4</t>
        </is>
      </c>
      <c t="str" r="Q644" s="6">
        <f>A644&amp;"|"&amp;C644&amp;"|"&amp;D644&amp;"|"&amp;G644</f>
        <v>LUCKY &amp; S CO, Сербия|План|Итого по дилеру|1</v>
      </c>
      <c t="str" r="R644" s="6">
        <f>A644&amp;"|"&amp;C644&amp;"|"&amp;D644&amp;"|"&amp;J644</f>
        <v>LUCKY &amp; S CO, Сербия|План|Итого по дилеру|1</v>
      </c>
      <c t="str" r="S644" s="6">
        <f>A644&amp;"|"&amp;C644&amp;"|"&amp;D644&amp;"|"&amp;G644&amp;"|"&amp;J644</f>
        <v>LUCKY &amp; S CO, Сербия|План|Итого по дилеру|1|1</v>
      </c>
      <c t="str" r="T644" s="6">
        <f>A644&amp;"|"&amp;C644&amp;"|"&amp;G644</f>
        <v>LUCKY &amp; S CO, Сербия|План|1</v>
      </c>
      <c t="str" r="U644" s="6">
        <f>IF(H644="да",A644&amp;"|"&amp;C644&amp;"|"&amp;D644&amp;"|"&amp;J644,"")</f>
        <v/>
      </c>
      <c t="str" r="V644" s="6">
        <f>IF(C644="План",A644&amp;"|"&amp;J644,"")</f>
        <v>LUCKY &amp; S CO, Сербия|1</v>
      </c>
    </row>
    <row r="645">
      <c r="A645" s="3" t="inlineStr">
        <is>
          <t>LUCKY &amp; S CO, Сербия</t>
        </is>
      </c>
      <c r="B645" s="3" t="inlineStr">
        <is>
          <t>Заруб</t>
        </is>
      </c>
      <c r="C645" s="3" t="inlineStr">
        <is>
          <t>План</t>
        </is>
      </c>
      <c r="D645" s="3" t="inlineStr">
        <is>
          <t>Итого по дилеру</t>
        </is>
      </c>
      <c r="E645" s="3" t="inlineStr">
        <is>
          <t>План и бонусы</t>
        </is>
      </c>
      <c r="F645" s="3" t="inlineStr">
        <is>
          <t>Выручка 2025</t>
        </is>
      </c>
      <c r="G645" s="4" t="n">
        <v>1</v>
      </c>
      <c r="H645" s="4" t="n"/>
      <c r="I645" s="3" t="n"/>
      <c r="J645" s="4" t="n">
        <v>2</v>
      </c>
      <c r="K645" s="4" t="n"/>
      <c r="L645" s="4" t="n"/>
      <c r="M645" s="5" t="n">
        <v>442043</v>
      </c>
      <c r="N645" s="4" t="inlineStr">
        <is>
          <t>EUR</t>
        </is>
      </c>
      <c r="O645" s="3" t="inlineStr">
        <is>
          <t>LUCKY &amp; S CO</t>
        </is>
      </c>
      <c r="P645" s="3" t="inlineStr">
        <is>
          <t>E4</t>
        </is>
      </c>
      <c t="str" r="Q645" s="6">
        <f>A645&amp;"|"&amp;C645&amp;"|"&amp;D645&amp;"|"&amp;G645</f>
        <v>LUCKY &amp; S CO, Сербия|План|Итого по дилеру|1</v>
      </c>
      <c t="str" r="R645" s="6">
        <f>A645&amp;"|"&amp;C645&amp;"|"&amp;D645&amp;"|"&amp;J645</f>
        <v>LUCKY &amp; S CO, Сербия|План|Итого по дилеру|2</v>
      </c>
      <c t="str" r="S645" s="6">
        <f>A645&amp;"|"&amp;C645&amp;"|"&amp;D645&amp;"|"&amp;G645&amp;"|"&amp;J645</f>
        <v>LUCKY &amp; S CO, Сербия|План|Итого по дилеру|1|2</v>
      </c>
      <c t="str" r="T645" s="6">
        <f>A645&amp;"|"&amp;C645&amp;"|"&amp;G645</f>
        <v>LUCKY &amp; S CO, Сербия|План|1</v>
      </c>
      <c t="str" r="U645" s="6">
        <f>IF(H645="да",A645&amp;"|"&amp;C645&amp;"|"&amp;D645&amp;"|"&amp;J645,"")</f>
        <v/>
      </c>
      <c t="str" r="V645" s="6">
        <f>IF(C645="План",A645&amp;"|"&amp;J645,"")</f>
        <v>LUCKY &amp; S CO, Сербия|2</v>
      </c>
    </row>
    <row r="646">
      <c r="A646" s="3" t="inlineStr">
        <is>
          <t>LUCKY &amp; S CO, Сербия</t>
        </is>
      </c>
      <c r="B646" s="3" t="inlineStr">
        <is>
          <t>Заруб</t>
        </is>
      </c>
      <c r="C646" s="3" t="inlineStr">
        <is>
          <t>План</t>
        </is>
      </c>
      <c r="D646" s="3" t="inlineStr">
        <is>
          <t>Итого по дилеру</t>
        </is>
      </c>
      <c r="E646" s="3" t="inlineStr">
        <is>
          <t>План и бонусы</t>
        </is>
      </c>
      <c r="F646" s="3" t="inlineStr">
        <is>
          <t>План 2026</t>
        </is>
      </c>
      <c r="G646" s="4" t="n">
        <v>1</v>
      </c>
      <c r="H646" s="4" t="n"/>
      <c r="I646" s="3" t="n"/>
      <c r="J646" s="4" t="n">
        <v>3</v>
      </c>
      <c r="K646" s="4" t="n"/>
      <c r="L646" s="4" t="n"/>
      <c r="M646" s="5" t="n">
        <v>600000</v>
      </c>
      <c r="N646" s="4" t="inlineStr">
        <is>
          <t>EUR</t>
        </is>
      </c>
      <c r="O646" s="3" t="inlineStr">
        <is>
          <t>LUCKY &amp; S CO</t>
        </is>
      </c>
      <c r="P646" s="3" t="inlineStr">
        <is>
          <t>F4</t>
        </is>
      </c>
      <c t="str" r="Q646" s="6">
        <f>A646&amp;"|"&amp;C646&amp;"|"&amp;D646&amp;"|"&amp;G646</f>
        <v>LUCKY &amp; S CO, Сербия|План|Итого по дилеру|1</v>
      </c>
      <c t="str" r="R646" s="6">
        <f>A646&amp;"|"&amp;C646&amp;"|"&amp;D646&amp;"|"&amp;J646</f>
        <v>LUCKY &amp; S CO, Сербия|План|Итого по дилеру|3</v>
      </c>
      <c t="str" r="S646" s="6">
        <f>A646&amp;"|"&amp;C646&amp;"|"&amp;D646&amp;"|"&amp;G646&amp;"|"&amp;J646</f>
        <v>LUCKY &amp; S CO, Сербия|План|Итого по дилеру|1|3</v>
      </c>
      <c t="str" r="T646" s="6">
        <f>A646&amp;"|"&amp;C646&amp;"|"&amp;G646</f>
        <v>LUCKY &amp; S CO, Сербия|План|1</v>
      </c>
      <c t="str" r="U646" s="6">
        <f>IF(H646="да",A646&amp;"|"&amp;C646&amp;"|"&amp;D646&amp;"|"&amp;J646,"")</f>
        <v/>
      </c>
      <c t="str" r="V646" s="6">
        <f>IF(C646="План",A646&amp;"|"&amp;J646,"")</f>
        <v>LUCKY &amp; S CO, Сербия|3</v>
      </c>
    </row>
    <row r="647">
      <c r="A647" s="3" t="inlineStr">
        <is>
          <t>LUCKY &amp; S CO, Сербия</t>
        </is>
      </c>
      <c r="B647" s="3" t="inlineStr">
        <is>
          <t>Заруб</t>
        </is>
      </c>
      <c r="C647" s="3" t="inlineStr">
        <is>
          <t>План</t>
        </is>
      </c>
      <c r="D647" s="3" t="inlineStr">
        <is>
          <t>Итого по дилеру</t>
        </is>
      </c>
      <c r="E647" s="3" t="inlineStr">
        <is>
          <t>План и бонусы</t>
        </is>
      </c>
      <c r="F647" s="3" t="inlineStr">
        <is>
          <t>Прирост П/Ф</t>
        </is>
      </c>
      <c r="G647" s="4" t="n">
        <v>1</v>
      </c>
      <c r="H647" s="4" t="n"/>
      <c r="I647" s="3" t="n"/>
      <c r="J647" s="4" t="n">
        <v>4</v>
      </c>
      <c r="K647" s="4" t="n"/>
      <c r="L647" s="4" t="n"/>
      <c r="M647" s="7" t="n">
        <v>0.3573340150166386</v>
      </c>
      <c r="N647" s="4" t="inlineStr">
        <is>
          <t>%</t>
        </is>
      </c>
      <c r="O647" s="3" t="inlineStr">
        <is>
          <t>LUCKY &amp; S CO</t>
        </is>
      </c>
      <c r="P647" s="3" t="inlineStr">
        <is>
          <t>G4</t>
        </is>
      </c>
      <c t="str" r="Q647" s="6">
        <f>A647&amp;"|"&amp;C647&amp;"|"&amp;D647&amp;"|"&amp;G647</f>
        <v>LUCKY &amp; S CO, Сербия|План|Итого по дилеру|1</v>
      </c>
      <c t="str" r="R647" s="6">
        <f>A647&amp;"|"&amp;C647&amp;"|"&amp;D647&amp;"|"&amp;J647</f>
        <v>LUCKY &amp; S CO, Сербия|План|Итого по дилеру|4</v>
      </c>
      <c t="str" r="S647" s="6">
        <f>A647&amp;"|"&amp;C647&amp;"|"&amp;D647&amp;"|"&amp;G647&amp;"|"&amp;J647</f>
        <v>LUCKY &amp; S CO, Сербия|План|Итого по дилеру|1|4</v>
      </c>
      <c t="str" r="T647" s="6">
        <f>A647&amp;"|"&amp;C647&amp;"|"&amp;G647</f>
        <v>LUCKY &amp; S CO, Сербия|План|1</v>
      </c>
      <c t="str" r="U647" s="6">
        <f>IF(H647="да",A647&amp;"|"&amp;C647&amp;"|"&amp;D647&amp;"|"&amp;J647,"")</f>
        <v/>
      </c>
      <c t="str" r="V647" s="6">
        <f>IF(C647="План",A647&amp;"|"&amp;J647,"")</f>
        <v>LUCKY &amp; S CO, Сербия|4</v>
      </c>
    </row>
    <row r="648">
      <c r="A648" s="3" t="inlineStr">
        <is>
          <t>LUCKY &amp; S CO, Сербия</t>
        </is>
      </c>
      <c r="B648" s="3" t="inlineStr">
        <is>
          <t>Заруб</t>
        </is>
      </c>
      <c r="C648" s="3" t="inlineStr">
        <is>
          <t>План</t>
        </is>
      </c>
      <c r="D648" s="3" t="inlineStr">
        <is>
          <t>Сервис</t>
        </is>
      </c>
      <c r="E648" s="3" t="inlineStr">
        <is>
          <t>План и бонусы</t>
        </is>
      </c>
      <c r="F648" s="3" t="inlineStr">
        <is>
          <t>Выручка 2024</t>
        </is>
      </c>
      <c r="G648" s="4" t="n">
        <v>2</v>
      </c>
      <c r="H648" s="4" t="n"/>
      <c r="I648" s="3" t="n"/>
      <c r="J648" s="4" t="n">
        <v>1</v>
      </c>
      <c r="K648" s="4" t="n"/>
      <c r="L648" s="4" t="n"/>
      <c r="M648" s="5" t="n">
        <v>16760</v>
      </c>
      <c r="N648" s="4" t="inlineStr">
        <is>
          <t>EUR</t>
        </is>
      </c>
      <c r="O648" s="3" t="inlineStr">
        <is>
          <t>LUCKY &amp; S CO</t>
        </is>
      </c>
      <c r="P648" s="3" t="inlineStr">
        <is>
          <t>D5</t>
        </is>
      </c>
      <c t="str" r="Q648" s="6">
        <f>A648&amp;"|"&amp;C648&amp;"|"&amp;D648&amp;"|"&amp;G648</f>
        <v>LUCKY &amp; S CO, Сербия|План|Сервис|2</v>
      </c>
      <c t="str" r="R648" s="6">
        <f>A648&amp;"|"&amp;C648&amp;"|"&amp;D648&amp;"|"&amp;J648</f>
        <v>LUCKY &amp; S CO, Сербия|План|Сервис|1</v>
      </c>
      <c t="str" r="S648" s="6">
        <f>A648&amp;"|"&amp;C648&amp;"|"&amp;D648&amp;"|"&amp;G648&amp;"|"&amp;J648</f>
        <v>LUCKY &amp; S CO, Сербия|План|Сервис|2|1</v>
      </c>
      <c t="str" r="T648" s="6">
        <f>A648&amp;"|"&amp;C648&amp;"|"&amp;G648</f>
        <v>LUCKY &amp; S CO, Сербия|План|2</v>
      </c>
      <c t="str" r="U648" s="6">
        <f>IF(H648="да",A648&amp;"|"&amp;C648&amp;"|"&amp;D648&amp;"|"&amp;J648,"")</f>
        <v/>
      </c>
      <c t="str" r="V648" s="6">
        <f>IF(C648="План",A648&amp;"|"&amp;J648,"")</f>
        <v>LUCKY &amp; S CO, Сербия|1</v>
      </c>
    </row>
    <row r="649">
      <c r="A649" s="3" t="inlineStr">
        <is>
          <t>LUCKY &amp; S CO, Сербия</t>
        </is>
      </c>
      <c r="B649" s="3" t="inlineStr">
        <is>
          <t>Заруб</t>
        </is>
      </c>
      <c r="C649" s="3" t="inlineStr">
        <is>
          <t>План</t>
        </is>
      </c>
      <c r="D649" s="3" t="inlineStr">
        <is>
          <t>Сервис</t>
        </is>
      </c>
      <c r="E649" s="3" t="inlineStr">
        <is>
          <t>План и бонусы</t>
        </is>
      </c>
      <c r="F649" s="3" t="inlineStr">
        <is>
          <t>Выручка 2025</t>
        </is>
      </c>
      <c r="G649" s="4" t="n">
        <v>2</v>
      </c>
      <c r="H649" s="4" t="n"/>
      <c r="I649" s="3" t="n"/>
      <c r="J649" s="4" t="n">
        <v>2</v>
      </c>
      <c r="K649" s="4" t="n"/>
      <c r="L649" s="4" t="n"/>
      <c r="M649" s="5" t="n">
        <v>23314</v>
      </c>
      <c r="N649" s="4" t="inlineStr">
        <is>
          <t>EUR</t>
        </is>
      </c>
      <c r="O649" s="3" t="inlineStr">
        <is>
          <t>LUCKY &amp; S CO</t>
        </is>
      </c>
      <c r="P649" s="3" t="inlineStr">
        <is>
          <t>E5</t>
        </is>
      </c>
      <c t="str" r="Q649" s="6">
        <f>A649&amp;"|"&amp;C649&amp;"|"&amp;D649&amp;"|"&amp;G649</f>
        <v>LUCKY &amp; S CO, Сербия|План|Сервис|2</v>
      </c>
      <c t="str" r="R649" s="6">
        <f>A649&amp;"|"&amp;C649&amp;"|"&amp;D649&amp;"|"&amp;J649</f>
        <v>LUCKY &amp; S CO, Сербия|План|Сервис|2</v>
      </c>
      <c t="str" r="S649" s="6">
        <f>A649&amp;"|"&amp;C649&amp;"|"&amp;D649&amp;"|"&amp;G649&amp;"|"&amp;J649</f>
        <v>LUCKY &amp; S CO, Сербия|План|Сервис|2|2</v>
      </c>
      <c t="str" r="T649" s="6">
        <f>A649&amp;"|"&amp;C649&amp;"|"&amp;G649</f>
        <v>LUCKY &amp; S CO, Сербия|План|2</v>
      </c>
      <c t="str" r="U649" s="6">
        <f>IF(H649="да",A649&amp;"|"&amp;C649&amp;"|"&amp;D649&amp;"|"&amp;J649,"")</f>
        <v/>
      </c>
      <c t="str" r="V649" s="6">
        <f>IF(C649="План",A649&amp;"|"&amp;J649,"")</f>
        <v>LUCKY &amp; S CO, Сербия|2</v>
      </c>
    </row>
    <row r="650">
      <c r="A650" s="3" t="inlineStr">
        <is>
          <t>LUCKY &amp; S CO, Сербия</t>
        </is>
      </c>
      <c r="B650" s="3" t="inlineStr">
        <is>
          <t>Заруб</t>
        </is>
      </c>
      <c r="C650" s="3" t="inlineStr">
        <is>
          <t>План</t>
        </is>
      </c>
      <c r="D650" s="3" t="inlineStr">
        <is>
          <t>Сервис</t>
        </is>
      </c>
      <c r="E650" s="3" t="inlineStr">
        <is>
          <t>План и бонусы</t>
        </is>
      </c>
      <c r="F650" s="3" t="inlineStr">
        <is>
          <t>План 2026</t>
        </is>
      </c>
      <c r="G650" s="4" t="n">
        <v>2</v>
      </c>
      <c r="H650" s="4" t="n"/>
      <c r="I650" s="3" t="n"/>
      <c r="J650" s="4" t="n">
        <v>3</v>
      </c>
      <c r="K650" s="4" t="n"/>
      <c r="L650" s="4" t="n"/>
      <c r="M650" s="5" t="n">
        <v>50000</v>
      </c>
      <c r="N650" s="4" t="inlineStr">
        <is>
          <t>EUR</t>
        </is>
      </c>
      <c r="O650" s="3" t="inlineStr">
        <is>
          <t>LUCKY &amp; S CO</t>
        </is>
      </c>
      <c r="P650" s="3" t="inlineStr">
        <is>
          <t>F5</t>
        </is>
      </c>
      <c t="str" r="Q650" s="6">
        <f>A650&amp;"|"&amp;C650&amp;"|"&amp;D650&amp;"|"&amp;G650</f>
        <v>LUCKY &amp; S CO, Сербия|План|Сервис|2</v>
      </c>
      <c t="str" r="R650" s="6">
        <f>A650&amp;"|"&amp;C650&amp;"|"&amp;D650&amp;"|"&amp;J650</f>
        <v>LUCKY &amp; S CO, Сербия|План|Сервис|3</v>
      </c>
      <c t="str" r="S650" s="6">
        <f>A650&amp;"|"&amp;C650&amp;"|"&amp;D650&amp;"|"&amp;G650&amp;"|"&amp;J650</f>
        <v>LUCKY &amp; S CO, Сербия|План|Сервис|2|3</v>
      </c>
      <c t="str" r="T650" s="6">
        <f>A650&amp;"|"&amp;C650&amp;"|"&amp;G650</f>
        <v>LUCKY &amp; S CO, Сербия|План|2</v>
      </c>
      <c t="str" r="U650" s="6">
        <f>IF(H650="да",A650&amp;"|"&amp;C650&amp;"|"&amp;D650&amp;"|"&amp;J650,"")</f>
        <v/>
      </c>
      <c t="str" r="V650" s="6">
        <f>IF(C650="План",A650&amp;"|"&amp;J650,"")</f>
        <v>LUCKY &amp; S CO, Сербия|3</v>
      </c>
    </row>
    <row r="651">
      <c r="A651" s="3" t="inlineStr">
        <is>
          <t>LUCKY &amp; S CO, Сербия</t>
        </is>
      </c>
      <c r="B651" s="3" t="inlineStr">
        <is>
          <t>Заруб</t>
        </is>
      </c>
      <c r="C651" s="3" t="inlineStr">
        <is>
          <t>План</t>
        </is>
      </c>
      <c r="D651" s="3" t="inlineStr">
        <is>
          <t>Сервис</t>
        </is>
      </c>
      <c r="E651" s="3" t="inlineStr">
        <is>
          <t>План и бонусы</t>
        </is>
      </c>
      <c r="F651" s="3" t="inlineStr">
        <is>
          <t>Размер бонуса по итогам 2026 г</t>
        </is>
      </c>
      <c r="G651" s="4" t="n">
        <v>2</v>
      </c>
      <c r="H651" s="4" t="n"/>
      <c r="I651" s="3" t="n"/>
      <c r="J651" s="4" t="n">
        <v>5</v>
      </c>
      <c r="K651" s="4" t="n"/>
      <c r="L651" s="4" t="n"/>
      <c r="M651" s="7" t="n">
        <v>0.01</v>
      </c>
      <c r="N651" s="4" t="inlineStr">
        <is>
          <t>%</t>
        </is>
      </c>
      <c r="O651" s="3" t="inlineStr">
        <is>
          <t>LUCKY &amp; S CO</t>
        </is>
      </c>
      <c r="P651" s="3" t="inlineStr">
        <is>
          <t>H5</t>
        </is>
      </c>
      <c t="str" r="Q651" s="6">
        <f>A651&amp;"|"&amp;C651&amp;"|"&amp;D651&amp;"|"&amp;G651</f>
        <v>LUCKY &amp; S CO, Сербия|План|Сервис|2</v>
      </c>
      <c t="str" r="R651" s="6">
        <f>A651&amp;"|"&amp;C651&amp;"|"&amp;D651&amp;"|"&amp;J651</f>
        <v>LUCKY &amp; S CO, Сербия|План|Сервис|5</v>
      </c>
      <c t="str" r="S651" s="6">
        <f>A651&amp;"|"&amp;C651&amp;"|"&amp;D651&amp;"|"&amp;G651&amp;"|"&amp;J651</f>
        <v>LUCKY &amp; S CO, Сербия|План|Сервис|2|5</v>
      </c>
      <c t="str" r="T651" s="6">
        <f>A651&amp;"|"&amp;C651&amp;"|"&amp;G651</f>
        <v>LUCKY &amp; S CO, Сербия|План|2</v>
      </c>
      <c t="str" r="U651" s="6">
        <f>IF(H651="да",A651&amp;"|"&amp;C651&amp;"|"&amp;D651&amp;"|"&amp;J651,"")</f>
        <v/>
      </c>
      <c t="str" r="V651" s="6">
        <f>IF(C651="План",A651&amp;"|"&amp;J651,"")</f>
        <v>LUCKY &amp; S CO, Сербия|5</v>
      </c>
    </row>
    <row r="652">
      <c r="A652" s="3" t="inlineStr">
        <is>
          <t>LUCKY &amp; S CO, Сербия</t>
        </is>
      </c>
      <c r="B652" s="3" t="inlineStr">
        <is>
          <t>Заруб</t>
        </is>
      </c>
      <c r="C652" s="3" t="inlineStr">
        <is>
          <t>План</t>
        </is>
      </c>
      <c r="D652" s="3" t="inlineStr">
        <is>
          <t>Сервис</t>
        </is>
      </c>
      <c r="E652" s="3" t="inlineStr">
        <is>
          <t>План и бонусы</t>
        </is>
      </c>
      <c r="F652" s="3" t="inlineStr">
        <is>
          <t>Скидка в 1 кв. 2026 ф.г.*</t>
        </is>
      </c>
      <c r="G652" s="4" t="n">
        <v>2</v>
      </c>
      <c r="H652" s="4" t="n"/>
      <c r="I652" s="3" t="n"/>
      <c r="J652" s="4" t="n">
        <v>6</v>
      </c>
      <c r="K652" s="4" t="n"/>
      <c r="L652" s="4" t="n"/>
      <c r="M652" s="8" t="n">
        <v>0.13</v>
      </c>
      <c r="N652" s="4" t="inlineStr">
        <is>
          <t>%</t>
        </is>
      </c>
      <c r="O652" s="3" t="inlineStr">
        <is>
          <t>LUCKY &amp; S CO</t>
        </is>
      </c>
      <c r="P652" s="3" t="inlineStr">
        <is>
          <t>I5</t>
        </is>
      </c>
      <c t="str" r="Q652" s="6">
        <f>A652&amp;"|"&amp;C652&amp;"|"&amp;D652&amp;"|"&amp;G652</f>
        <v>LUCKY &amp; S CO, Сербия|План|Сервис|2</v>
      </c>
      <c t="str" r="R652" s="6">
        <f>A652&amp;"|"&amp;C652&amp;"|"&amp;D652&amp;"|"&amp;J652</f>
        <v>LUCKY &amp; S CO, Сербия|План|Сервис|6</v>
      </c>
      <c t="str" r="S652" s="6">
        <f>A652&amp;"|"&amp;C652&amp;"|"&amp;D652&amp;"|"&amp;G652&amp;"|"&amp;J652</f>
        <v>LUCKY &amp; S CO, Сербия|План|Сервис|2|6</v>
      </c>
      <c t="str" r="T652" s="6">
        <f>A652&amp;"|"&amp;C652&amp;"|"&amp;G652</f>
        <v>LUCKY &amp; S CO, Сербия|План|2</v>
      </c>
      <c t="str" r="U652" s="6">
        <f>IF(H652="да",A652&amp;"|"&amp;C652&amp;"|"&amp;D652&amp;"|"&amp;J652,"")</f>
        <v/>
      </c>
      <c t="str" r="V652" s="6">
        <f>IF(C652="План",A652&amp;"|"&amp;J652,"")</f>
        <v>LUCKY &amp; S CO, Сербия|6</v>
      </c>
    </row>
    <row r="653">
      <c r="A653" s="3" t="inlineStr">
        <is>
          <t>LUCKY &amp; S CO, Сербия</t>
        </is>
      </c>
      <c r="B653" s="3" t="inlineStr">
        <is>
          <t>Заруб</t>
        </is>
      </c>
      <c r="C653" s="3" t="inlineStr">
        <is>
          <t>План</t>
        </is>
      </c>
      <c r="D653" s="3" t="inlineStr">
        <is>
          <t>Оборудование</t>
        </is>
      </c>
      <c r="E653" s="3" t="inlineStr">
        <is>
          <t>План и бонусы</t>
        </is>
      </c>
      <c r="F653" s="3" t="inlineStr">
        <is>
          <t>Выручка 2024</t>
        </is>
      </c>
      <c r="G653" s="4" t="n">
        <v>3</v>
      </c>
      <c r="H653" s="4" t="n"/>
      <c r="I653" s="3" t="n"/>
      <c r="J653" s="4" t="n">
        <v>1</v>
      </c>
      <c r="K653" s="4" t="n"/>
      <c r="L653" s="4" t="n"/>
      <c r="M653" s="5" t="n">
        <v>136476</v>
      </c>
      <c r="N653" s="4" t="inlineStr">
        <is>
          <t>EUR</t>
        </is>
      </c>
      <c r="O653" s="3" t="inlineStr">
        <is>
          <t>LUCKY &amp; S CO</t>
        </is>
      </c>
      <c r="P653" s="3" t="inlineStr">
        <is>
          <t>D6</t>
        </is>
      </c>
      <c t="str" r="Q653" s="6">
        <f>A653&amp;"|"&amp;C653&amp;"|"&amp;D653&amp;"|"&amp;G653</f>
        <v>LUCKY &amp; S CO, Сербия|План|Оборудование|3</v>
      </c>
      <c t="str" r="R653" s="6">
        <f>A653&amp;"|"&amp;C653&amp;"|"&amp;D653&amp;"|"&amp;J653</f>
        <v>LUCKY &amp; S CO, Сербия|План|Оборудование|1</v>
      </c>
      <c t="str" r="S653" s="6">
        <f>A653&amp;"|"&amp;C653&amp;"|"&amp;D653&amp;"|"&amp;G653&amp;"|"&amp;J653</f>
        <v>LUCKY &amp; S CO, Сербия|План|Оборудование|3|1</v>
      </c>
      <c t="str" r="T653" s="6">
        <f>A653&amp;"|"&amp;C653&amp;"|"&amp;G653</f>
        <v>LUCKY &amp; S CO, Сербия|План|3</v>
      </c>
      <c t="str" r="U653" s="6">
        <f>IF(H653="да",A653&amp;"|"&amp;C653&amp;"|"&amp;D653&amp;"|"&amp;J653,"")</f>
        <v/>
      </c>
      <c t="str" r="V653" s="6">
        <f>IF(C653="План",A653&amp;"|"&amp;J653,"")</f>
        <v>LUCKY &amp; S CO, Сербия|1</v>
      </c>
    </row>
    <row r="654">
      <c r="A654" s="3" t="inlineStr">
        <is>
          <t>LUCKY &amp; S CO, Сербия</t>
        </is>
      </c>
      <c r="B654" s="3" t="inlineStr">
        <is>
          <t>Заруб</t>
        </is>
      </c>
      <c r="C654" s="3" t="inlineStr">
        <is>
          <t>План</t>
        </is>
      </c>
      <c r="D654" s="3" t="inlineStr">
        <is>
          <t>Оборудование</t>
        </is>
      </c>
      <c r="E654" s="3" t="inlineStr">
        <is>
          <t>План и бонусы</t>
        </is>
      </c>
      <c r="F654" s="3" t="inlineStr">
        <is>
          <t>Выручка 2025</t>
        </is>
      </c>
      <c r="G654" s="4" t="n">
        <v>3</v>
      </c>
      <c r="H654" s="4" t="n"/>
      <c r="I654" s="3" t="n"/>
      <c r="J654" s="4" t="n">
        <v>2</v>
      </c>
      <c r="K654" s="4" t="n"/>
      <c r="L654" s="4" t="n"/>
      <c r="M654" s="5" t="n">
        <v>307394</v>
      </c>
      <c r="N654" s="4" t="inlineStr">
        <is>
          <t>EUR</t>
        </is>
      </c>
      <c r="O654" s="3" t="inlineStr">
        <is>
          <t>LUCKY &amp; S CO</t>
        </is>
      </c>
      <c r="P654" s="3" t="inlineStr">
        <is>
          <t>E6</t>
        </is>
      </c>
      <c t="str" r="Q654" s="6">
        <f>A654&amp;"|"&amp;C654&amp;"|"&amp;D654&amp;"|"&amp;G654</f>
        <v>LUCKY &amp; S CO, Сербия|План|Оборудование|3</v>
      </c>
      <c t="str" r="R654" s="6">
        <f>A654&amp;"|"&amp;C654&amp;"|"&amp;D654&amp;"|"&amp;J654</f>
        <v>LUCKY &amp; S CO, Сербия|План|Оборудование|2</v>
      </c>
      <c t="str" r="S654" s="6">
        <f>A654&amp;"|"&amp;C654&amp;"|"&amp;D654&amp;"|"&amp;G654&amp;"|"&amp;J654</f>
        <v>LUCKY &amp; S CO, Сербия|План|Оборудование|3|2</v>
      </c>
      <c t="str" r="T654" s="6">
        <f>A654&amp;"|"&amp;C654&amp;"|"&amp;G654</f>
        <v>LUCKY &amp; S CO, Сербия|План|3</v>
      </c>
      <c t="str" r="U654" s="6">
        <f>IF(H654="да",A654&amp;"|"&amp;C654&amp;"|"&amp;D654&amp;"|"&amp;J654,"")</f>
        <v/>
      </c>
      <c t="str" r="V654" s="6">
        <f>IF(C654="План",A654&amp;"|"&amp;J654,"")</f>
        <v>LUCKY &amp; S CO, Сербия|2</v>
      </c>
    </row>
    <row r="655">
      <c r="A655" s="3" t="inlineStr">
        <is>
          <t>LUCKY &amp; S CO, Сербия</t>
        </is>
      </c>
      <c r="B655" s="3" t="inlineStr">
        <is>
          <t>Заруб</t>
        </is>
      </c>
      <c r="C655" s="3" t="inlineStr">
        <is>
          <t>План</t>
        </is>
      </c>
      <c r="D655" s="3" t="inlineStr">
        <is>
          <t>Оборудование</t>
        </is>
      </c>
      <c r="E655" s="3" t="inlineStr">
        <is>
          <t>План и бонусы</t>
        </is>
      </c>
      <c r="F655" s="3" t="inlineStr">
        <is>
          <t>План 2026</t>
        </is>
      </c>
      <c r="G655" s="4" t="n">
        <v>3</v>
      </c>
      <c r="H655" s="4" t="n"/>
      <c r="I655" s="3" t="n"/>
      <c r="J655" s="4" t="n">
        <v>3</v>
      </c>
      <c r="K655" s="4" t="n"/>
      <c r="L655" s="4" t="n"/>
      <c r="M655" s="5" t="n">
        <v>400000</v>
      </c>
      <c r="N655" s="4" t="inlineStr">
        <is>
          <t>EUR</t>
        </is>
      </c>
      <c r="O655" s="3" t="inlineStr">
        <is>
          <t>LUCKY &amp; S CO</t>
        </is>
      </c>
      <c r="P655" s="3" t="inlineStr">
        <is>
          <t>F6</t>
        </is>
      </c>
      <c t="str" r="Q655" s="6">
        <f>A655&amp;"|"&amp;C655&amp;"|"&amp;D655&amp;"|"&amp;G655</f>
        <v>LUCKY &amp; S CO, Сербия|План|Оборудование|3</v>
      </c>
      <c t="str" r="R655" s="6">
        <f>A655&amp;"|"&amp;C655&amp;"|"&amp;D655&amp;"|"&amp;J655</f>
        <v>LUCKY &amp; S CO, Сербия|План|Оборудование|3</v>
      </c>
      <c t="str" r="S655" s="6">
        <f>A655&amp;"|"&amp;C655&amp;"|"&amp;D655&amp;"|"&amp;G655&amp;"|"&amp;J655</f>
        <v>LUCKY &amp; S CO, Сербия|План|Оборудование|3|3</v>
      </c>
      <c t="str" r="T655" s="6">
        <f>A655&amp;"|"&amp;C655&amp;"|"&amp;G655</f>
        <v>LUCKY &amp; S CO, Сербия|План|3</v>
      </c>
      <c t="str" r="U655" s="6">
        <f>IF(H655="да",A655&amp;"|"&amp;C655&amp;"|"&amp;D655&amp;"|"&amp;J655,"")</f>
        <v/>
      </c>
      <c t="str" r="V655" s="6">
        <f>IF(C655="План",A655&amp;"|"&amp;J655,"")</f>
        <v>LUCKY &amp; S CO, Сербия|3</v>
      </c>
    </row>
    <row r="656">
      <c r="A656" s="3" t="inlineStr">
        <is>
          <t>LUCKY &amp; S CO, Сербия</t>
        </is>
      </c>
      <c r="B656" s="3" t="inlineStr">
        <is>
          <t>Заруб</t>
        </is>
      </c>
      <c r="C656" s="3" t="inlineStr">
        <is>
          <t>План</t>
        </is>
      </c>
      <c r="D656" s="3" t="inlineStr">
        <is>
          <t>Оборудование</t>
        </is>
      </c>
      <c r="E656" s="3" t="inlineStr">
        <is>
          <t>План и бонусы</t>
        </is>
      </c>
      <c r="F656" s="3" t="inlineStr">
        <is>
          <t>Размер бонуса по итогам 2026 г</t>
        </is>
      </c>
      <c r="G656" s="4" t="n">
        <v>3</v>
      </c>
      <c r="H656" s="4" t="n"/>
      <c r="I656" s="3" t="n"/>
      <c r="J656" s="4" t="n">
        <v>5</v>
      </c>
      <c r="K656" s="4" t="n"/>
      <c r="L656" s="4" t="n"/>
      <c r="M656" s="7" t="n">
        <v>0.015</v>
      </c>
      <c r="N656" s="4" t="inlineStr">
        <is>
          <t>%</t>
        </is>
      </c>
      <c r="O656" s="3" t="inlineStr">
        <is>
          <t>LUCKY &amp; S CO</t>
        </is>
      </c>
      <c r="P656" s="3" t="inlineStr">
        <is>
          <t>H6</t>
        </is>
      </c>
      <c t="str" r="Q656" s="6">
        <f>A656&amp;"|"&amp;C656&amp;"|"&amp;D656&amp;"|"&amp;G656</f>
        <v>LUCKY &amp; S CO, Сербия|План|Оборудование|3</v>
      </c>
      <c t="str" r="R656" s="6">
        <f>A656&amp;"|"&amp;C656&amp;"|"&amp;D656&amp;"|"&amp;J656</f>
        <v>LUCKY &amp; S CO, Сербия|План|Оборудование|5</v>
      </c>
      <c t="str" r="S656" s="6">
        <f>A656&amp;"|"&amp;C656&amp;"|"&amp;D656&amp;"|"&amp;G656&amp;"|"&amp;J656</f>
        <v>LUCKY &amp; S CO, Сербия|План|Оборудование|3|5</v>
      </c>
      <c t="str" r="T656" s="6">
        <f>A656&amp;"|"&amp;C656&amp;"|"&amp;G656</f>
        <v>LUCKY &amp; S CO, Сербия|План|3</v>
      </c>
      <c t="str" r="U656" s="6">
        <f>IF(H656="да",A656&amp;"|"&amp;C656&amp;"|"&amp;D656&amp;"|"&amp;J656,"")</f>
        <v/>
      </c>
      <c t="str" r="V656" s="6">
        <f>IF(C656="План",A656&amp;"|"&amp;J656,"")</f>
        <v>LUCKY &amp; S CO, Сербия|5</v>
      </c>
    </row>
    <row r="657">
      <c r="A657" s="3" t="inlineStr">
        <is>
          <t>LUCKY &amp; S CO, Сербия</t>
        </is>
      </c>
      <c r="B657" s="3" t="inlineStr">
        <is>
          <t>Заруб</t>
        </is>
      </c>
      <c r="C657" s="3" t="inlineStr">
        <is>
          <t>План</t>
        </is>
      </c>
      <c r="D657" s="3" t="inlineStr">
        <is>
          <t>Оборудование</t>
        </is>
      </c>
      <c r="E657" s="3" t="inlineStr">
        <is>
          <t>План и бонусы</t>
        </is>
      </c>
      <c r="F657" s="3" t="inlineStr">
        <is>
          <t>Скидка в 1 кв. 2026 ф.г.*</t>
        </is>
      </c>
      <c r="G657" s="4" t="n">
        <v>3</v>
      </c>
      <c r="H657" s="4" t="n"/>
      <c r="I657" s="3" t="n"/>
      <c r="J657" s="4" t="n">
        <v>6</v>
      </c>
      <c r="K657" s="4" t="n"/>
      <c r="L657" s="4" t="n"/>
      <c r="M657" s="8" t="n">
        <v>0.2</v>
      </c>
      <c r="N657" s="4" t="inlineStr">
        <is>
          <t>%</t>
        </is>
      </c>
      <c r="O657" s="3" t="inlineStr">
        <is>
          <t>LUCKY &amp; S CO</t>
        </is>
      </c>
      <c r="P657" s="3" t="inlineStr">
        <is>
          <t>I6</t>
        </is>
      </c>
      <c t="str" r="Q657" s="6">
        <f>A657&amp;"|"&amp;C657&amp;"|"&amp;D657&amp;"|"&amp;G657</f>
        <v>LUCKY &amp; S CO, Сербия|План|Оборудование|3</v>
      </c>
      <c t="str" r="R657" s="6">
        <f>A657&amp;"|"&amp;C657&amp;"|"&amp;D657&amp;"|"&amp;J657</f>
        <v>LUCKY &amp; S CO, Сербия|План|Оборудование|6</v>
      </c>
      <c t="str" r="S657" s="6">
        <f>A657&amp;"|"&amp;C657&amp;"|"&amp;D657&amp;"|"&amp;G657&amp;"|"&amp;J657</f>
        <v>LUCKY &amp; S CO, Сербия|План|Оборудование|3|6</v>
      </c>
      <c t="str" r="T657" s="6">
        <f>A657&amp;"|"&amp;C657&amp;"|"&amp;G657</f>
        <v>LUCKY &amp; S CO, Сербия|План|3</v>
      </c>
      <c t="str" r="U657" s="6">
        <f>IF(H657="да",A657&amp;"|"&amp;C657&amp;"|"&amp;D657&amp;"|"&amp;J657,"")</f>
        <v/>
      </c>
      <c t="str" r="V657" s="6">
        <f>IF(C657="План",A657&amp;"|"&amp;J657,"")</f>
        <v>LUCKY &amp; S CO, Сербия|6</v>
      </c>
    </row>
    <row r="658">
      <c r="A658" s="3" t="inlineStr">
        <is>
          <t>LUCKY &amp; S CO, Сербия</t>
        </is>
      </c>
      <c r="B658" s="3" t="inlineStr">
        <is>
          <t>Заруб</t>
        </is>
      </c>
      <c r="C658" s="3" t="inlineStr">
        <is>
          <t>План</t>
        </is>
      </c>
      <c r="D658" s="3" t="inlineStr">
        <is>
          <t>Расходные материалы</t>
        </is>
      </c>
      <c r="E658" s="3" t="inlineStr">
        <is>
          <t>План и бонусы</t>
        </is>
      </c>
      <c r="F658" s="3" t="inlineStr">
        <is>
          <t>Выручка 2024</t>
        </is>
      </c>
      <c r="G658" s="4" t="n">
        <v>4</v>
      </c>
      <c r="H658" s="4" t="n"/>
      <c r="I658" s="3" t="n"/>
      <c r="J658" s="4" t="n">
        <v>1</v>
      </c>
      <c r="K658" s="4" t="n"/>
      <c r="L658" s="4" t="n"/>
      <c r="M658" s="5" t="n">
        <v>85662</v>
      </c>
      <c r="N658" s="4" t="inlineStr">
        <is>
          <t>EUR</t>
        </is>
      </c>
      <c r="O658" s="3" t="inlineStr">
        <is>
          <t>LUCKY &amp; S CO</t>
        </is>
      </c>
      <c r="P658" s="3" t="inlineStr">
        <is>
          <t>D7</t>
        </is>
      </c>
      <c t="str" r="Q658" s="6">
        <f>A658&amp;"|"&amp;C658&amp;"|"&amp;D658&amp;"|"&amp;G658</f>
        <v>LUCKY &amp; S CO, Сербия|План|Расходные материалы|4</v>
      </c>
      <c t="str" r="R658" s="6">
        <f>A658&amp;"|"&amp;C658&amp;"|"&amp;D658&amp;"|"&amp;J658</f>
        <v>LUCKY &amp; S CO, Сербия|План|Расходные материалы|1</v>
      </c>
      <c t="str" r="S658" s="6">
        <f>A658&amp;"|"&amp;C658&amp;"|"&amp;D658&amp;"|"&amp;G658&amp;"|"&amp;J658</f>
        <v>LUCKY &amp; S CO, Сербия|План|Расходные материалы|4|1</v>
      </c>
      <c t="str" r="T658" s="6">
        <f>A658&amp;"|"&amp;C658&amp;"|"&amp;G658</f>
        <v>LUCKY &amp; S CO, Сербия|План|4</v>
      </c>
      <c t="str" r="U658" s="6">
        <f>IF(H658="да",A658&amp;"|"&amp;C658&amp;"|"&amp;D658&amp;"|"&amp;J658,"")</f>
        <v/>
      </c>
      <c t="str" r="V658" s="6">
        <f>IF(C658="План",A658&amp;"|"&amp;J658,"")</f>
        <v>LUCKY &amp; S CO, Сербия|1</v>
      </c>
    </row>
    <row r="659">
      <c r="A659" s="3" t="inlineStr">
        <is>
          <t>LUCKY &amp; S CO, Сербия</t>
        </is>
      </c>
      <c r="B659" s="3" t="inlineStr">
        <is>
          <t>Заруб</t>
        </is>
      </c>
      <c r="C659" s="3" t="inlineStr">
        <is>
          <t>План</t>
        </is>
      </c>
      <c r="D659" s="3" t="inlineStr">
        <is>
          <t>Расходные материалы</t>
        </is>
      </c>
      <c r="E659" s="3" t="inlineStr">
        <is>
          <t>План и бонусы</t>
        </is>
      </c>
      <c r="F659" s="3" t="inlineStr">
        <is>
          <t>Выручка 2025</t>
        </is>
      </c>
      <c r="G659" s="4" t="n">
        <v>4</v>
      </c>
      <c r="H659" s="4" t="n"/>
      <c r="I659" s="3" t="n"/>
      <c r="J659" s="4" t="n">
        <v>2</v>
      </c>
      <c r="K659" s="4" t="n"/>
      <c r="L659" s="4" t="n"/>
      <c r="M659" s="5" t="n">
        <v>111828</v>
      </c>
      <c r="N659" s="4" t="inlineStr">
        <is>
          <t>EUR</t>
        </is>
      </c>
      <c r="O659" s="3" t="inlineStr">
        <is>
          <t>LUCKY &amp; S CO</t>
        </is>
      </c>
      <c r="P659" s="3" t="inlineStr">
        <is>
          <t>E7</t>
        </is>
      </c>
      <c t="str" r="Q659" s="6">
        <f>A659&amp;"|"&amp;C659&amp;"|"&amp;D659&amp;"|"&amp;G659</f>
        <v>LUCKY &amp; S CO, Сербия|План|Расходные материалы|4</v>
      </c>
      <c t="str" r="R659" s="6">
        <f>A659&amp;"|"&amp;C659&amp;"|"&amp;D659&amp;"|"&amp;J659</f>
        <v>LUCKY &amp; S CO, Сербия|План|Расходные материалы|2</v>
      </c>
      <c t="str" r="S659" s="6">
        <f>A659&amp;"|"&amp;C659&amp;"|"&amp;D659&amp;"|"&amp;G659&amp;"|"&amp;J659</f>
        <v>LUCKY &amp; S CO, Сербия|План|Расходные материалы|4|2</v>
      </c>
      <c t="str" r="T659" s="6">
        <f>A659&amp;"|"&amp;C659&amp;"|"&amp;G659</f>
        <v>LUCKY &amp; S CO, Сербия|План|4</v>
      </c>
      <c t="str" r="U659" s="6">
        <f>IF(H659="да",A659&amp;"|"&amp;C659&amp;"|"&amp;D659&amp;"|"&amp;J659,"")</f>
        <v/>
      </c>
      <c t="str" r="V659" s="6">
        <f>IF(C659="План",A659&amp;"|"&amp;J659,"")</f>
        <v>LUCKY &amp; S CO, Сербия|2</v>
      </c>
    </row>
    <row r="660">
      <c r="A660" s="3" t="inlineStr">
        <is>
          <t>LUCKY &amp; S CO, Сербия</t>
        </is>
      </c>
      <c r="B660" s="3" t="inlineStr">
        <is>
          <t>Заруб</t>
        </is>
      </c>
      <c r="C660" s="3" t="inlineStr">
        <is>
          <t>План</t>
        </is>
      </c>
      <c r="D660" s="3" t="inlineStr">
        <is>
          <t>Расходные материалы</t>
        </is>
      </c>
      <c r="E660" s="3" t="inlineStr">
        <is>
          <t>План и бонусы</t>
        </is>
      </c>
      <c r="F660" s="3" t="inlineStr">
        <is>
          <t>План 2026</t>
        </is>
      </c>
      <c r="G660" s="4" t="n">
        <v>4</v>
      </c>
      <c r="H660" s="4" t="n"/>
      <c r="I660" s="3" t="n"/>
      <c r="J660" s="4" t="n">
        <v>3</v>
      </c>
      <c r="K660" s="4" t="n"/>
      <c r="L660" s="4" t="n"/>
      <c r="M660" s="5" t="n">
        <v>150000</v>
      </c>
      <c r="N660" s="4" t="inlineStr">
        <is>
          <t>EUR</t>
        </is>
      </c>
      <c r="O660" s="3" t="inlineStr">
        <is>
          <t>LUCKY &amp; S CO</t>
        </is>
      </c>
      <c r="P660" s="3" t="inlineStr">
        <is>
          <t>F7</t>
        </is>
      </c>
      <c t="str" r="Q660" s="6">
        <f>A660&amp;"|"&amp;C660&amp;"|"&amp;D660&amp;"|"&amp;G660</f>
        <v>LUCKY &amp; S CO, Сербия|План|Расходные материалы|4</v>
      </c>
      <c t="str" r="R660" s="6">
        <f>A660&amp;"|"&amp;C660&amp;"|"&amp;D660&amp;"|"&amp;J660</f>
        <v>LUCKY &amp; S CO, Сербия|План|Расходные материалы|3</v>
      </c>
      <c t="str" r="S660" s="6">
        <f>A660&amp;"|"&amp;C660&amp;"|"&amp;D660&amp;"|"&amp;G660&amp;"|"&amp;J660</f>
        <v>LUCKY &amp; S CO, Сербия|План|Расходные материалы|4|3</v>
      </c>
      <c t="str" r="T660" s="6">
        <f>A660&amp;"|"&amp;C660&amp;"|"&amp;G660</f>
        <v>LUCKY &amp; S CO, Сербия|План|4</v>
      </c>
      <c t="str" r="U660" s="6">
        <f>IF(H660="да",A660&amp;"|"&amp;C660&amp;"|"&amp;D660&amp;"|"&amp;J660,"")</f>
        <v/>
      </c>
      <c t="str" r="V660" s="6">
        <f>IF(C660="План",A660&amp;"|"&amp;J660,"")</f>
        <v>LUCKY &amp; S CO, Сербия|3</v>
      </c>
    </row>
    <row r="661">
      <c r="A661" s="3" t="inlineStr">
        <is>
          <t>LUCKY &amp; S CO, Сербия</t>
        </is>
      </c>
      <c r="B661" s="3" t="inlineStr">
        <is>
          <t>Заруб</t>
        </is>
      </c>
      <c r="C661" s="3" t="inlineStr">
        <is>
          <t>План</t>
        </is>
      </c>
      <c r="D661" s="3" t="inlineStr">
        <is>
          <t>Расходные материалы</t>
        </is>
      </c>
      <c r="E661" s="3" t="inlineStr">
        <is>
          <t>План и бонусы</t>
        </is>
      </c>
      <c r="F661" s="3" t="inlineStr">
        <is>
          <t>Размер бонуса по итогам 2026 г</t>
        </is>
      </c>
      <c r="G661" s="4" t="n">
        <v>4</v>
      </c>
      <c r="H661" s="4" t="n"/>
      <c r="I661" s="3" t="n"/>
      <c r="J661" s="4" t="n">
        <v>5</v>
      </c>
      <c r="K661" s="4" t="n"/>
      <c r="L661" s="4" t="n"/>
      <c r="M661" s="7" t="n">
        <v>0.005</v>
      </c>
      <c r="N661" s="4" t="inlineStr">
        <is>
          <t>%</t>
        </is>
      </c>
      <c r="O661" s="3" t="inlineStr">
        <is>
          <t>LUCKY &amp; S CO</t>
        </is>
      </c>
      <c r="P661" s="3" t="inlineStr">
        <is>
          <t>H7</t>
        </is>
      </c>
      <c t="str" r="Q661" s="6">
        <f>A661&amp;"|"&amp;C661&amp;"|"&amp;D661&amp;"|"&amp;G661</f>
        <v>LUCKY &amp; S CO, Сербия|План|Расходные материалы|4</v>
      </c>
      <c t="str" r="R661" s="6">
        <f>A661&amp;"|"&amp;C661&amp;"|"&amp;D661&amp;"|"&amp;J661</f>
        <v>LUCKY &amp; S CO, Сербия|План|Расходные материалы|5</v>
      </c>
      <c t="str" r="S661" s="6">
        <f>A661&amp;"|"&amp;C661&amp;"|"&amp;D661&amp;"|"&amp;G661&amp;"|"&amp;J661</f>
        <v>LUCKY &amp; S CO, Сербия|План|Расходные материалы|4|5</v>
      </c>
      <c t="str" r="T661" s="6">
        <f>A661&amp;"|"&amp;C661&amp;"|"&amp;G661</f>
        <v>LUCKY &amp; S CO, Сербия|План|4</v>
      </c>
      <c t="str" r="U661" s="6">
        <f>IF(H661="да",A661&amp;"|"&amp;C661&amp;"|"&amp;D661&amp;"|"&amp;J661,"")</f>
        <v/>
      </c>
      <c t="str" r="V661" s="6">
        <f>IF(C661="План",A661&amp;"|"&amp;J661,"")</f>
        <v>LUCKY &amp; S CO, Сербия|5</v>
      </c>
    </row>
    <row r="662">
      <c r="A662" s="3" t="inlineStr">
        <is>
          <t>LUCKY &amp; S CO, Сербия</t>
        </is>
      </c>
      <c r="B662" s="3" t="inlineStr">
        <is>
          <t>Заруб</t>
        </is>
      </c>
      <c r="C662" s="3" t="inlineStr">
        <is>
          <t>Шкала</t>
        </is>
      </c>
      <c r="D662" s="3" t="inlineStr">
        <is>
          <t>Оборудование</t>
        </is>
      </c>
      <c r="E662" s="3" t="inlineStr">
        <is>
          <t>Оборудование — за полугодие</t>
        </is>
      </c>
      <c r="F662" s="3" t="inlineStr">
        <is>
          <t>Базовое вознаграждение за Дилерский договор</t>
        </is>
      </c>
      <c r="G662" s="4" t="n">
        <v>1</v>
      </c>
      <c r="H662" s="4" t="n"/>
      <c r="I662" s="3" t="inlineStr">
        <is>
          <t>до 75</t>
        </is>
      </c>
      <c r="J662" s="4" t="n">
        <v>1</v>
      </c>
      <c r="K662" s="4" t="n"/>
      <c r="L662" s="4" t="n"/>
      <c r="M662" s="8" t="n">
        <v>0.06</v>
      </c>
      <c r="N662" s="4" t="inlineStr">
        <is>
          <t>%</t>
        </is>
      </c>
      <c r="O662" s="3" t="inlineStr">
        <is>
          <t>LUCKY &amp; S CO</t>
        </is>
      </c>
      <c r="P662" s="3" t="inlineStr">
        <is>
          <t>E15</t>
        </is>
      </c>
      <c t="str" r="Q662" s="6">
        <f>A662&amp;"|"&amp;C662&amp;"|"&amp;D662&amp;"|"&amp;G662</f>
        <v>LUCKY &amp; S CO, Сербия|Шкала|Оборудование|1</v>
      </c>
      <c t="str" r="R662" s="6">
        <f>A662&amp;"|"&amp;C662&amp;"|"&amp;D662&amp;"|"&amp;J662</f>
        <v>LUCKY &amp; S CO, Сербия|Шкала|Оборудование|1</v>
      </c>
      <c t="str" r="S662" s="6">
        <f>A662&amp;"|"&amp;C662&amp;"|"&amp;D662&amp;"|"&amp;G662&amp;"|"&amp;J662</f>
        <v>LUCKY &amp; S CO, Сербия|Шкала|Оборудование|1|1</v>
      </c>
      <c t="str" r="T662" s="6">
        <f>A662&amp;"|"&amp;C662&amp;"|"&amp;G662</f>
        <v>LUCKY &amp; S CO, Сербия|Шкала|1</v>
      </c>
      <c t="str" r="U662" s="6">
        <f>IF(H662="да",A662&amp;"|"&amp;C662&amp;"|"&amp;D662&amp;"|"&amp;J662,"")</f>
        <v/>
      </c>
      <c t="str" r="V662" s="6">
        <f>IF(C662="План",A662&amp;"|"&amp;J662,"")</f>
        <v/>
      </c>
    </row>
    <row r="663">
      <c r="A663" s="3" t="inlineStr">
        <is>
          <t>LUCKY &amp; S CO, Сербия</t>
        </is>
      </c>
      <c r="B663" s="3" t="inlineStr">
        <is>
          <t>Заруб</t>
        </is>
      </c>
      <c r="C663" s="3" t="inlineStr">
        <is>
          <t>Шкала</t>
        </is>
      </c>
      <c r="D663" s="3" t="inlineStr">
        <is>
          <t>Оборудование</t>
        </is>
      </c>
      <c r="E663" s="3" t="inlineStr">
        <is>
          <t>Оборудование — за полугодие</t>
        </is>
      </c>
      <c r="F663" s="3" t="inlineStr">
        <is>
          <t>Базовое вознаграждение за Дилерский договор</t>
        </is>
      </c>
      <c r="G663" s="4" t="n">
        <v>1</v>
      </c>
      <c r="H663" s="4" t="n"/>
      <c r="I663" s="3" t="inlineStr">
        <is>
          <t>75-114</t>
        </is>
      </c>
      <c r="J663" s="4" t="n">
        <v>2</v>
      </c>
      <c r="K663" s="4" t="n"/>
      <c r="L663" s="4" t="n"/>
      <c r="M663" s="8" t="n">
        <v>0.06</v>
      </c>
      <c r="N663" s="4" t="inlineStr">
        <is>
          <t>%</t>
        </is>
      </c>
      <c r="O663" s="3" t="inlineStr">
        <is>
          <t>LUCKY &amp; S CO</t>
        </is>
      </c>
      <c r="P663" s="3" t="inlineStr">
        <is>
          <t>F15</t>
        </is>
      </c>
      <c t="str" r="Q663" s="6">
        <f>A663&amp;"|"&amp;C663&amp;"|"&amp;D663&amp;"|"&amp;G663</f>
        <v>LUCKY &amp; S CO, Сербия|Шкала|Оборудование|1</v>
      </c>
      <c t="str" r="R663" s="6">
        <f>A663&amp;"|"&amp;C663&amp;"|"&amp;D663&amp;"|"&amp;J663</f>
        <v>LUCKY &amp; S CO, Сербия|Шкала|Оборудование|2</v>
      </c>
      <c t="str" r="S663" s="6">
        <f>A663&amp;"|"&amp;C663&amp;"|"&amp;D663&amp;"|"&amp;G663&amp;"|"&amp;J663</f>
        <v>LUCKY &amp; S CO, Сербия|Шкала|Оборудование|1|2</v>
      </c>
      <c t="str" r="T663" s="6">
        <f>A663&amp;"|"&amp;C663&amp;"|"&amp;G663</f>
        <v>LUCKY &amp; S CO, Сербия|Шкала|1</v>
      </c>
      <c t="str" r="U663" s="6">
        <f>IF(H663="да",A663&amp;"|"&amp;C663&amp;"|"&amp;D663&amp;"|"&amp;J663,"")</f>
        <v/>
      </c>
      <c t="str" r="V663" s="6">
        <f>IF(C663="План",A663&amp;"|"&amp;J663,"")</f>
        <v/>
      </c>
    </row>
    <row r="664">
      <c r="A664" s="3" t="inlineStr">
        <is>
          <t>LUCKY &amp; S CO, Сербия</t>
        </is>
      </c>
      <c r="B664" s="3" t="inlineStr">
        <is>
          <t>Заруб</t>
        </is>
      </c>
      <c r="C664" s="3" t="inlineStr">
        <is>
          <t>Шкала</t>
        </is>
      </c>
      <c r="D664" s="3" t="inlineStr">
        <is>
          <t>Оборудование</t>
        </is>
      </c>
      <c r="E664" s="3" t="inlineStr">
        <is>
          <t>Оборудование — за полугодие</t>
        </is>
      </c>
      <c r="F664" s="3" t="inlineStr">
        <is>
          <t>Базовое вознаграждение за Дилерский договор</t>
        </is>
      </c>
      <c r="G664" s="4" t="n">
        <v>1</v>
      </c>
      <c r="H664" s="4" t="n"/>
      <c r="I664" s="3" t="inlineStr">
        <is>
          <t>115-149</t>
        </is>
      </c>
      <c r="J664" s="4" t="n">
        <v>3</v>
      </c>
      <c r="K664" s="4" t="n"/>
      <c r="L664" s="4" t="n"/>
      <c r="M664" s="8" t="n">
        <v>0.06</v>
      </c>
      <c r="N664" s="4" t="inlineStr">
        <is>
          <t>%</t>
        </is>
      </c>
      <c r="O664" s="3" t="inlineStr">
        <is>
          <t>LUCKY &amp; S CO</t>
        </is>
      </c>
      <c r="P664" s="3" t="inlineStr">
        <is>
          <t>G15</t>
        </is>
      </c>
      <c t="str" r="Q664" s="6">
        <f>A664&amp;"|"&amp;C664&amp;"|"&amp;D664&amp;"|"&amp;G664</f>
        <v>LUCKY &amp; S CO, Сербия|Шкала|Оборудование|1</v>
      </c>
      <c t="str" r="R664" s="6">
        <f>A664&amp;"|"&amp;C664&amp;"|"&amp;D664&amp;"|"&amp;J664</f>
        <v>LUCKY &amp; S CO, Сербия|Шкала|Оборудование|3</v>
      </c>
      <c t="str" r="S664" s="6">
        <f>A664&amp;"|"&amp;C664&amp;"|"&amp;D664&amp;"|"&amp;G664&amp;"|"&amp;J664</f>
        <v>LUCKY &amp; S CO, Сербия|Шкала|Оборудование|1|3</v>
      </c>
      <c t="str" r="T664" s="6">
        <f>A664&amp;"|"&amp;C664&amp;"|"&amp;G664</f>
        <v>LUCKY &amp; S CO, Сербия|Шкала|1</v>
      </c>
      <c t="str" r="U664" s="6">
        <f>IF(H664="да",A664&amp;"|"&amp;C664&amp;"|"&amp;D664&amp;"|"&amp;J664,"")</f>
        <v/>
      </c>
      <c t="str" r="V664" s="6">
        <f>IF(C664="План",A664&amp;"|"&amp;J664,"")</f>
        <v/>
      </c>
    </row>
    <row r="665">
      <c r="A665" s="3" t="inlineStr">
        <is>
          <t>LUCKY &amp; S CO, Сербия</t>
        </is>
      </c>
      <c r="B665" s="3" t="inlineStr">
        <is>
          <t>Заруб</t>
        </is>
      </c>
      <c r="C665" s="3" t="inlineStr">
        <is>
          <t>Шкала</t>
        </is>
      </c>
      <c r="D665" s="3" t="inlineStr">
        <is>
          <t>Оборудование</t>
        </is>
      </c>
      <c r="E665" s="3" t="inlineStr">
        <is>
          <t>Оборудование — за полугодие</t>
        </is>
      </c>
      <c r="F665" s="3" t="inlineStr">
        <is>
          <t>Базовое вознаграждение за Дилерский договор</t>
        </is>
      </c>
      <c r="G665" s="4" t="n">
        <v>1</v>
      </c>
      <c r="H665" s="4" t="n"/>
      <c r="I665" s="3" t="inlineStr">
        <is>
          <t>150-189</t>
        </is>
      </c>
      <c r="J665" s="4" t="n">
        <v>4</v>
      </c>
      <c r="K665" s="4" t="n"/>
      <c r="L665" s="4" t="n"/>
      <c r="M665" s="8" t="n">
        <v>0.06</v>
      </c>
      <c r="N665" s="4" t="inlineStr">
        <is>
          <t>%</t>
        </is>
      </c>
      <c r="O665" s="3" t="inlineStr">
        <is>
          <t>LUCKY &amp; S CO</t>
        </is>
      </c>
      <c r="P665" s="3" t="inlineStr">
        <is>
          <t>H15</t>
        </is>
      </c>
      <c t="str" r="Q665" s="6">
        <f>A665&amp;"|"&amp;C665&amp;"|"&amp;D665&amp;"|"&amp;G665</f>
        <v>LUCKY &amp; S CO, Сербия|Шкала|Оборудование|1</v>
      </c>
      <c t="str" r="R665" s="6">
        <f>A665&amp;"|"&amp;C665&amp;"|"&amp;D665&amp;"|"&amp;J665</f>
        <v>LUCKY &amp; S CO, Сербия|Шкала|Оборудование|4</v>
      </c>
      <c t="str" r="S665" s="6">
        <f>A665&amp;"|"&amp;C665&amp;"|"&amp;D665&amp;"|"&amp;G665&amp;"|"&amp;J665</f>
        <v>LUCKY &amp; S CO, Сербия|Шкала|Оборудование|1|4</v>
      </c>
      <c t="str" r="T665" s="6">
        <f>A665&amp;"|"&amp;C665&amp;"|"&amp;G665</f>
        <v>LUCKY &amp; S CO, Сербия|Шкала|1</v>
      </c>
      <c t="str" r="U665" s="6">
        <f>IF(H665="да",A665&amp;"|"&amp;C665&amp;"|"&amp;D665&amp;"|"&amp;J665,"")</f>
        <v/>
      </c>
      <c t="str" r="V665" s="6">
        <f>IF(C665="План",A665&amp;"|"&amp;J665,"")</f>
        <v/>
      </c>
    </row>
    <row r="666">
      <c r="A666" s="3" t="inlineStr">
        <is>
          <t>LUCKY &amp; S CO, Сербия</t>
        </is>
      </c>
      <c r="B666" s="3" t="inlineStr">
        <is>
          <t>Заруб</t>
        </is>
      </c>
      <c r="C666" s="3" t="inlineStr">
        <is>
          <t>Шкала</t>
        </is>
      </c>
      <c r="D666" s="3" t="inlineStr">
        <is>
          <t>Оборудование</t>
        </is>
      </c>
      <c r="E666" s="3" t="inlineStr">
        <is>
          <t>Оборудование — за полугодие</t>
        </is>
      </c>
      <c r="F666" s="3" t="inlineStr">
        <is>
          <t>Базовое вознаграждение за Дилерский договор</t>
        </is>
      </c>
      <c r="G666" s="4" t="n">
        <v>1</v>
      </c>
      <c r="H666" s="4" t="n"/>
      <c r="I666" s="3" t="inlineStr">
        <is>
          <t>190-224</t>
        </is>
      </c>
      <c r="J666" s="4" t="n">
        <v>5</v>
      </c>
      <c r="K666" s="4" t="n"/>
      <c r="L666" s="4" t="n"/>
      <c r="M666" s="8" t="n">
        <v>0.06</v>
      </c>
      <c r="N666" s="4" t="inlineStr">
        <is>
          <t>%</t>
        </is>
      </c>
      <c r="O666" s="3" t="inlineStr">
        <is>
          <t>LUCKY &amp; S CO</t>
        </is>
      </c>
      <c r="P666" s="3" t="inlineStr">
        <is>
          <t>I15</t>
        </is>
      </c>
      <c t="str" r="Q666" s="6">
        <f>A666&amp;"|"&amp;C666&amp;"|"&amp;D666&amp;"|"&amp;G666</f>
        <v>LUCKY &amp; S CO, Сербия|Шкала|Оборудование|1</v>
      </c>
      <c t="str" r="R666" s="6">
        <f>A666&amp;"|"&amp;C666&amp;"|"&amp;D666&amp;"|"&amp;J666</f>
        <v>LUCKY &amp; S CO, Сербия|Шкала|Оборудование|5</v>
      </c>
      <c t="str" r="S666" s="6">
        <f>A666&amp;"|"&amp;C666&amp;"|"&amp;D666&amp;"|"&amp;G666&amp;"|"&amp;J666</f>
        <v>LUCKY &amp; S CO, Сербия|Шкала|Оборудование|1|5</v>
      </c>
      <c t="str" r="T666" s="6">
        <f>A666&amp;"|"&amp;C666&amp;"|"&amp;G666</f>
        <v>LUCKY &amp; S CO, Сербия|Шкала|1</v>
      </c>
      <c t="str" r="U666" s="6">
        <f>IF(H666="да",A666&amp;"|"&amp;C666&amp;"|"&amp;D666&amp;"|"&amp;J666,"")</f>
        <v/>
      </c>
      <c t="str" r="V666" s="6">
        <f>IF(C666="План",A666&amp;"|"&amp;J666,"")</f>
        <v/>
      </c>
    </row>
    <row r="667">
      <c r="A667" s="3" t="inlineStr">
        <is>
          <t>LUCKY &amp; S CO, Сербия</t>
        </is>
      </c>
      <c r="B667" s="3" t="inlineStr">
        <is>
          <t>Заруб</t>
        </is>
      </c>
      <c r="C667" s="3" t="inlineStr">
        <is>
          <t>Шкала</t>
        </is>
      </c>
      <c r="D667" s="3" t="inlineStr">
        <is>
          <t>Оборудование</t>
        </is>
      </c>
      <c r="E667" s="3" t="inlineStr">
        <is>
          <t>Оборудование — за полугодие</t>
        </is>
      </c>
      <c r="F667" s="3" t="inlineStr">
        <is>
          <t>Базовое вознаграждение за Дилерский договор</t>
        </is>
      </c>
      <c r="G667" s="4" t="n">
        <v>1</v>
      </c>
      <c r="H667" s="4" t="n"/>
      <c r="I667" s="3" t="inlineStr">
        <is>
          <t>225 и более</t>
        </is>
      </c>
      <c r="J667" s="4" t="n">
        <v>6</v>
      </c>
      <c r="K667" s="4" t="n"/>
      <c r="L667" s="4" t="n"/>
      <c r="M667" s="8" t="n">
        <v>0.06</v>
      </c>
      <c r="N667" s="4" t="inlineStr">
        <is>
          <t>%</t>
        </is>
      </c>
      <c r="O667" s="3" t="inlineStr">
        <is>
          <t>LUCKY &amp; S CO</t>
        </is>
      </c>
      <c r="P667" s="3" t="inlineStr">
        <is>
          <t>J15</t>
        </is>
      </c>
      <c t="str" r="Q667" s="6">
        <f>A667&amp;"|"&amp;C667&amp;"|"&amp;D667&amp;"|"&amp;G667</f>
        <v>LUCKY &amp; S CO, Сербия|Шкала|Оборудование|1</v>
      </c>
      <c t="str" r="R667" s="6">
        <f>A667&amp;"|"&amp;C667&amp;"|"&amp;D667&amp;"|"&amp;J667</f>
        <v>LUCKY &amp; S CO, Сербия|Шкала|Оборудование|6</v>
      </c>
      <c t="str" r="S667" s="6">
        <f>A667&amp;"|"&amp;C667&amp;"|"&amp;D667&amp;"|"&amp;G667&amp;"|"&amp;J667</f>
        <v>LUCKY &amp; S CO, Сербия|Шкала|Оборудование|1|6</v>
      </c>
      <c t="str" r="T667" s="6">
        <f>A667&amp;"|"&amp;C667&amp;"|"&amp;G667</f>
        <v>LUCKY &amp; S CO, Сербия|Шкала|1</v>
      </c>
      <c t="str" r="U667" s="6">
        <f>IF(H667="да",A667&amp;"|"&amp;C667&amp;"|"&amp;D667&amp;"|"&amp;J667,"")</f>
        <v/>
      </c>
      <c t="str" r="V667" s="6">
        <f>IF(C667="План",A667&amp;"|"&amp;J667,"")</f>
        <v/>
      </c>
    </row>
    <row r="668">
      <c r="A668" s="3" t="inlineStr">
        <is>
          <t>LUCKY &amp; S CO, Сербия</t>
        </is>
      </c>
      <c r="B668" s="3" t="inlineStr">
        <is>
          <t>Заруб</t>
        </is>
      </c>
      <c r="C668" s="3" t="inlineStr">
        <is>
          <t>Шкала</t>
        </is>
      </c>
      <c r="D668" s="3" t="inlineStr">
        <is>
          <t>Оборудование</t>
        </is>
      </c>
      <c r="E668" s="3" t="inlineStr">
        <is>
          <t>Оборудование — за полугодие</t>
        </is>
      </c>
      <c r="F668" s="3" t="inlineStr">
        <is>
          <t>Наличие сервисного центра и гарантийное обслуживание</t>
        </is>
      </c>
      <c r="G668" s="4" t="n">
        <v>2</v>
      </c>
      <c r="H668" s="4" t="n"/>
      <c r="I668" s="3" t="inlineStr">
        <is>
          <t>до 75</t>
        </is>
      </c>
      <c r="J668" s="4" t="n">
        <v>1</v>
      </c>
      <c r="K668" s="4" t="n"/>
      <c r="L668" s="4" t="n"/>
      <c r="M668" s="8" t="n">
        <v>0.01</v>
      </c>
      <c r="N668" s="4" t="inlineStr">
        <is>
          <t>%</t>
        </is>
      </c>
      <c r="O668" s="3" t="inlineStr">
        <is>
          <t>LUCKY &amp; S CO</t>
        </is>
      </c>
      <c r="P668" s="3" t="inlineStr">
        <is>
          <t>E16</t>
        </is>
      </c>
      <c t="str" r="Q668" s="6">
        <f>A668&amp;"|"&amp;C668&amp;"|"&amp;D668&amp;"|"&amp;G668</f>
        <v>LUCKY &amp; S CO, Сербия|Шкала|Оборудование|2</v>
      </c>
      <c t="str" r="R668" s="6">
        <f>A668&amp;"|"&amp;C668&amp;"|"&amp;D668&amp;"|"&amp;J668</f>
        <v>LUCKY &amp; S CO, Сербия|Шкала|Оборудование|1</v>
      </c>
      <c t="str" r="S668" s="6">
        <f>A668&amp;"|"&amp;C668&amp;"|"&amp;D668&amp;"|"&amp;G668&amp;"|"&amp;J668</f>
        <v>LUCKY &amp; S CO, Сербия|Шкала|Оборудование|2|1</v>
      </c>
      <c t="str" r="T668" s="6">
        <f>A668&amp;"|"&amp;C668&amp;"|"&amp;G668</f>
        <v>LUCKY &amp; S CO, Сербия|Шкала|2</v>
      </c>
      <c t="str" r="U668" s="6">
        <f>IF(H668="да",A668&amp;"|"&amp;C668&amp;"|"&amp;D668&amp;"|"&amp;J668,"")</f>
        <v/>
      </c>
      <c t="str" r="V668" s="6">
        <f>IF(C668="План",A668&amp;"|"&amp;J668,"")</f>
        <v/>
      </c>
    </row>
    <row r="669">
      <c r="A669" s="3" t="inlineStr">
        <is>
          <t>LUCKY &amp; S CO, Сербия</t>
        </is>
      </c>
      <c r="B669" s="3" t="inlineStr">
        <is>
          <t>Заруб</t>
        </is>
      </c>
      <c r="C669" s="3" t="inlineStr">
        <is>
          <t>Шкала</t>
        </is>
      </c>
      <c r="D669" s="3" t="inlineStr">
        <is>
          <t>Оборудование</t>
        </is>
      </c>
      <c r="E669" s="3" t="inlineStr">
        <is>
          <t>Оборудование — за полугодие</t>
        </is>
      </c>
      <c r="F669" s="3" t="inlineStr">
        <is>
          <t>Наличие сервисного центра и гарантийное обслуживание</t>
        </is>
      </c>
      <c r="G669" s="4" t="n">
        <v>2</v>
      </c>
      <c r="H669" s="4" t="n"/>
      <c r="I669" s="3" t="inlineStr">
        <is>
          <t>75-114</t>
        </is>
      </c>
      <c r="J669" s="4" t="n">
        <v>2</v>
      </c>
      <c r="K669" s="4" t="n"/>
      <c r="L669" s="4" t="n"/>
      <c r="M669" s="8" t="n">
        <v>0.01</v>
      </c>
      <c r="N669" s="4" t="inlineStr">
        <is>
          <t>%</t>
        </is>
      </c>
      <c r="O669" s="3" t="inlineStr">
        <is>
          <t>LUCKY &amp; S CO</t>
        </is>
      </c>
      <c r="P669" s="3" t="inlineStr">
        <is>
          <t>F16</t>
        </is>
      </c>
      <c t="str" r="Q669" s="6">
        <f>A669&amp;"|"&amp;C669&amp;"|"&amp;D669&amp;"|"&amp;G669</f>
        <v>LUCKY &amp; S CO, Сербия|Шкала|Оборудование|2</v>
      </c>
      <c t="str" r="R669" s="6">
        <f>A669&amp;"|"&amp;C669&amp;"|"&amp;D669&amp;"|"&amp;J669</f>
        <v>LUCKY &amp; S CO, Сербия|Шкала|Оборудование|2</v>
      </c>
      <c t="str" r="S669" s="6">
        <f>A669&amp;"|"&amp;C669&amp;"|"&amp;D669&amp;"|"&amp;G669&amp;"|"&amp;J669</f>
        <v>LUCKY &amp; S CO, Сербия|Шкала|Оборудование|2|2</v>
      </c>
      <c t="str" r="T669" s="6">
        <f>A669&amp;"|"&amp;C669&amp;"|"&amp;G669</f>
        <v>LUCKY &amp; S CO, Сербия|Шкала|2</v>
      </c>
      <c t="str" r="U669" s="6">
        <f>IF(H669="да",A669&amp;"|"&amp;C669&amp;"|"&amp;D669&amp;"|"&amp;J669,"")</f>
        <v/>
      </c>
      <c t="str" r="V669" s="6">
        <f>IF(C669="План",A669&amp;"|"&amp;J669,"")</f>
        <v/>
      </c>
    </row>
    <row r="670">
      <c r="A670" s="3" t="inlineStr">
        <is>
          <t>LUCKY &amp; S CO, Сербия</t>
        </is>
      </c>
      <c r="B670" s="3" t="inlineStr">
        <is>
          <t>Заруб</t>
        </is>
      </c>
      <c r="C670" s="3" t="inlineStr">
        <is>
          <t>Шкала</t>
        </is>
      </c>
      <c r="D670" s="3" t="inlineStr">
        <is>
          <t>Оборудование</t>
        </is>
      </c>
      <c r="E670" s="3" t="inlineStr">
        <is>
          <t>Оборудование — за полугодие</t>
        </is>
      </c>
      <c r="F670" s="3" t="inlineStr">
        <is>
          <t>Наличие сервисного центра и гарантийное обслуживание</t>
        </is>
      </c>
      <c r="G670" s="4" t="n">
        <v>2</v>
      </c>
      <c r="H670" s="4" t="n"/>
      <c r="I670" s="3" t="inlineStr">
        <is>
          <t>115-149</t>
        </is>
      </c>
      <c r="J670" s="4" t="n">
        <v>3</v>
      </c>
      <c r="K670" s="4" t="n"/>
      <c r="L670" s="4" t="n"/>
      <c r="M670" s="8" t="n">
        <v>0.01</v>
      </c>
      <c r="N670" s="4" t="inlineStr">
        <is>
          <t>%</t>
        </is>
      </c>
      <c r="O670" s="3" t="inlineStr">
        <is>
          <t>LUCKY &amp; S CO</t>
        </is>
      </c>
      <c r="P670" s="3" t="inlineStr">
        <is>
          <t>G16</t>
        </is>
      </c>
      <c t="str" r="Q670" s="6">
        <f>A670&amp;"|"&amp;C670&amp;"|"&amp;D670&amp;"|"&amp;G670</f>
        <v>LUCKY &amp; S CO, Сербия|Шкала|Оборудование|2</v>
      </c>
      <c t="str" r="R670" s="6">
        <f>A670&amp;"|"&amp;C670&amp;"|"&amp;D670&amp;"|"&amp;J670</f>
        <v>LUCKY &amp; S CO, Сербия|Шкала|Оборудование|3</v>
      </c>
      <c t="str" r="S670" s="6">
        <f>A670&amp;"|"&amp;C670&amp;"|"&amp;D670&amp;"|"&amp;G670&amp;"|"&amp;J670</f>
        <v>LUCKY &amp; S CO, Сербия|Шкала|Оборудование|2|3</v>
      </c>
      <c t="str" r="T670" s="6">
        <f>A670&amp;"|"&amp;C670&amp;"|"&amp;G670</f>
        <v>LUCKY &amp; S CO, Сербия|Шкала|2</v>
      </c>
      <c t="str" r="U670" s="6">
        <f>IF(H670="да",A670&amp;"|"&amp;C670&amp;"|"&amp;D670&amp;"|"&amp;J670,"")</f>
        <v/>
      </c>
      <c t="str" r="V670" s="6">
        <f>IF(C670="План",A670&amp;"|"&amp;J670,"")</f>
        <v/>
      </c>
    </row>
    <row r="671">
      <c r="A671" s="3" t="inlineStr">
        <is>
          <t>LUCKY &amp; S CO, Сербия</t>
        </is>
      </c>
      <c r="B671" s="3" t="inlineStr">
        <is>
          <t>Заруб</t>
        </is>
      </c>
      <c r="C671" s="3" t="inlineStr">
        <is>
          <t>Шкала</t>
        </is>
      </c>
      <c r="D671" s="3" t="inlineStr">
        <is>
          <t>Оборудование</t>
        </is>
      </c>
      <c r="E671" s="3" t="inlineStr">
        <is>
          <t>Оборудование — за полугодие</t>
        </is>
      </c>
      <c r="F671" s="3" t="inlineStr">
        <is>
          <t>Наличие сервисного центра и гарантийное обслуживание</t>
        </is>
      </c>
      <c r="G671" s="4" t="n">
        <v>2</v>
      </c>
      <c r="H671" s="4" t="n"/>
      <c r="I671" s="3" t="inlineStr">
        <is>
          <t>150-189</t>
        </is>
      </c>
      <c r="J671" s="4" t="n">
        <v>4</v>
      </c>
      <c r="K671" s="4" t="n"/>
      <c r="L671" s="4" t="n"/>
      <c r="M671" s="8" t="n">
        <v>0.01</v>
      </c>
      <c r="N671" s="4" t="inlineStr">
        <is>
          <t>%</t>
        </is>
      </c>
      <c r="O671" s="3" t="inlineStr">
        <is>
          <t>LUCKY &amp; S CO</t>
        </is>
      </c>
      <c r="P671" s="3" t="inlineStr">
        <is>
          <t>H16</t>
        </is>
      </c>
      <c t="str" r="Q671" s="6">
        <f>A671&amp;"|"&amp;C671&amp;"|"&amp;D671&amp;"|"&amp;G671</f>
        <v>LUCKY &amp; S CO, Сербия|Шкала|Оборудование|2</v>
      </c>
      <c t="str" r="R671" s="6">
        <f>A671&amp;"|"&amp;C671&amp;"|"&amp;D671&amp;"|"&amp;J671</f>
        <v>LUCKY &amp; S CO, Сербия|Шкала|Оборудование|4</v>
      </c>
      <c t="str" r="S671" s="6">
        <f>A671&amp;"|"&amp;C671&amp;"|"&amp;D671&amp;"|"&amp;G671&amp;"|"&amp;J671</f>
        <v>LUCKY &amp; S CO, Сербия|Шкала|Оборудование|2|4</v>
      </c>
      <c t="str" r="T671" s="6">
        <f>A671&amp;"|"&amp;C671&amp;"|"&amp;G671</f>
        <v>LUCKY &amp; S CO, Сербия|Шкала|2</v>
      </c>
      <c t="str" r="U671" s="6">
        <f>IF(H671="да",A671&amp;"|"&amp;C671&amp;"|"&amp;D671&amp;"|"&amp;J671,"")</f>
        <v/>
      </c>
      <c t="str" r="V671" s="6">
        <f>IF(C671="План",A671&amp;"|"&amp;J671,"")</f>
        <v/>
      </c>
    </row>
    <row r="672">
      <c r="A672" s="3" t="inlineStr">
        <is>
          <t>LUCKY &amp; S CO, Сербия</t>
        </is>
      </c>
      <c r="B672" s="3" t="inlineStr">
        <is>
          <t>Заруб</t>
        </is>
      </c>
      <c r="C672" s="3" t="inlineStr">
        <is>
          <t>Шкала</t>
        </is>
      </c>
      <c r="D672" s="3" t="inlineStr">
        <is>
          <t>Оборудование</t>
        </is>
      </c>
      <c r="E672" s="3" t="inlineStr">
        <is>
          <t>Оборудование — за полугодие</t>
        </is>
      </c>
      <c r="F672" s="3" t="inlineStr">
        <is>
          <t>Наличие сервисного центра и гарантийное обслуживание</t>
        </is>
      </c>
      <c r="G672" s="4" t="n">
        <v>2</v>
      </c>
      <c r="H672" s="4" t="n"/>
      <c r="I672" s="3" t="inlineStr">
        <is>
          <t>190-224</t>
        </is>
      </c>
      <c r="J672" s="4" t="n">
        <v>5</v>
      </c>
      <c r="K672" s="4" t="n"/>
      <c r="L672" s="4" t="n"/>
      <c r="M672" s="8" t="n">
        <v>0.01</v>
      </c>
      <c r="N672" s="4" t="inlineStr">
        <is>
          <t>%</t>
        </is>
      </c>
      <c r="O672" s="3" t="inlineStr">
        <is>
          <t>LUCKY &amp; S CO</t>
        </is>
      </c>
      <c r="P672" s="3" t="inlineStr">
        <is>
          <t>I16</t>
        </is>
      </c>
      <c t="str" r="Q672" s="6">
        <f>A672&amp;"|"&amp;C672&amp;"|"&amp;D672&amp;"|"&amp;G672</f>
        <v>LUCKY &amp; S CO, Сербия|Шкала|Оборудование|2</v>
      </c>
      <c t="str" r="R672" s="6">
        <f>A672&amp;"|"&amp;C672&amp;"|"&amp;D672&amp;"|"&amp;J672</f>
        <v>LUCKY &amp; S CO, Сербия|Шкала|Оборудование|5</v>
      </c>
      <c t="str" r="S672" s="6">
        <f>A672&amp;"|"&amp;C672&amp;"|"&amp;D672&amp;"|"&amp;G672&amp;"|"&amp;J672</f>
        <v>LUCKY &amp; S CO, Сербия|Шкала|Оборудование|2|5</v>
      </c>
      <c t="str" r="T672" s="6">
        <f>A672&amp;"|"&amp;C672&amp;"|"&amp;G672</f>
        <v>LUCKY &amp; S CO, Сербия|Шкала|2</v>
      </c>
      <c t="str" r="U672" s="6">
        <f>IF(H672="да",A672&amp;"|"&amp;C672&amp;"|"&amp;D672&amp;"|"&amp;J672,"")</f>
        <v/>
      </c>
      <c t="str" r="V672" s="6">
        <f>IF(C672="План",A672&amp;"|"&amp;J672,"")</f>
        <v/>
      </c>
    </row>
    <row r="673">
      <c r="A673" s="3" t="inlineStr">
        <is>
          <t>LUCKY &amp; S CO, Сербия</t>
        </is>
      </c>
      <c r="B673" s="3" t="inlineStr">
        <is>
          <t>Заруб</t>
        </is>
      </c>
      <c r="C673" s="3" t="inlineStr">
        <is>
          <t>Шкала</t>
        </is>
      </c>
      <c r="D673" s="3" t="inlineStr">
        <is>
          <t>Оборудование</t>
        </is>
      </c>
      <c r="E673" s="3" t="inlineStr">
        <is>
          <t>Оборудование — за полугодие</t>
        </is>
      </c>
      <c r="F673" s="3" t="inlineStr">
        <is>
          <t>Наличие сервисного центра и гарантийное обслуживание</t>
        </is>
      </c>
      <c r="G673" s="4" t="n">
        <v>2</v>
      </c>
      <c r="H673" s="4" t="n"/>
      <c r="I673" s="3" t="inlineStr">
        <is>
          <t>225 и более</t>
        </is>
      </c>
      <c r="J673" s="4" t="n">
        <v>6</v>
      </c>
      <c r="K673" s="4" t="n"/>
      <c r="L673" s="4" t="n"/>
      <c r="M673" s="8" t="n">
        <v>0.01</v>
      </c>
      <c r="N673" s="4" t="inlineStr">
        <is>
          <t>%</t>
        </is>
      </c>
      <c r="O673" s="3" t="inlineStr">
        <is>
          <t>LUCKY &amp; S CO</t>
        </is>
      </c>
      <c r="P673" s="3" t="inlineStr">
        <is>
          <t>J16</t>
        </is>
      </c>
      <c t="str" r="Q673" s="6">
        <f>A673&amp;"|"&amp;C673&amp;"|"&amp;D673&amp;"|"&amp;G673</f>
        <v>LUCKY &amp; S CO, Сербия|Шкала|Оборудование|2</v>
      </c>
      <c t="str" r="R673" s="6">
        <f>A673&amp;"|"&amp;C673&amp;"|"&amp;D673&amp;"|"&amp;J673</f>
        <v>LUCKY &amp; S CO, Сербия|Шкала|Оборудование|6</v>
      </c>
      <c t="str" r="S673" s="6">
        <f>A673&amp;"|"&amp;C673&amp;"|"&amp;D673&amp;"|"&amp;G673&amp;"|"&amp;J673</f>
        <v>LUCKY &amp; S CO, Сербия|Шкала|Оборудование|2|6</v>
      </c>
      <c t="str" r="T673" s="6">
        <f>A673&amp;"|"&amp;C673&amp;"|"&amp;G673</f>
        <v>LUCKY &amp; S CO, Сербия|Шкала|2</v>
      </c>
      <c t="str" r="U673" s="6">
        <f>IF(H673="да",A673&amp;"|"&amp;C673&amp;"|"&amp;D673&amp;"|"&amp;J673,"")</f>
        <v/>
      </c>
      <c t="str" r="V673" s="6">
        <f>IF(C673="План",A673&amp;"|"&amp;J673,"")</f>
        <v/>
      </c>
    </row>
    <row r="674">
      <c r="A674" s="3" t="inlineStr">
        <is>
          <t>LUCKY &amp; S CO, Сербия</t>
        </is>
      </c>
      <c r="B674" s="3" t="inlineStr">
        <is>
          <t>Заруб</t>
        </is>
      </c>
      <c r="C674" s="3" t="inlineStr">
        <is>
          <t>Шкала</t>
        </is>
      </c>
      <c r="D674" s="3" t="inlineStr">
        <is>
          <t>Оборудование</t>
        </is>
      </c>
      <c r="E674" s="3" t="inlineStr">
        <is>
          <t>Оборудование — за полугодие</t>
        </is>
      </c>
      <c r="F674" s="3" t="inlineStr">
        <is>
          <t>Объем закупок МП</t>
        </is>
      </c>
      <c r="G674" s="4" t="n">
        <v>3</v>
      </c>
      <c r="H674" s="4" t="n"/>
      <c r="I674" s="3" t="inlineStr">
        <is>
          <t>до 75</t>
        </is>
      </c>
      <c r="J674" s="4" t="n">
        <v>1</v>
      </c>
      <c r="K674" s="4" t="n"/>
      <c r="L674" s="4" t="n"/>
      <c r="M674" s="8" t="n">
        <v>0.07000000000000001</v>
      </c>
      <c r="N674" s="4" t="inlineStr">
        <is>
          <t>%</t>
        </is>
      </c>
      <c r="O674" s="3" t="inlineStr">
        <is>
          <t>LUCKY &amp; S CO</t>
        </is>
      </c>
      <c r="P674" s="3" t="inlineStr">
        <is>
          <t>E17</t>
        </is>
      </c>
      <c t="str" r="Q674" s="6">
        <f>A674&amp;"|"&amp;C674&amp;"|"&amp;D674&amp;"|"&amp;G674</f>
        <v>LUCKY &amp; S CO, Сербия|Шкала|Оборудование|3</v>
      </c>
      <c t="str" r="R674" s="6">
        <f>A674&amp;"|"&amp;C674&amp;"|"&amp;D674&amp;"|"&amp;J674</f>
        <v>LUCKY &amp; S CO, Сербия|Шкала|Оборудование|1</v>
      </c>
      <c t="str" r="S674" s="6">
        <f>A674&amp;"|"&amp;C674&amp;"|"&amp;D674&amp;"|"&amp;G674&amp;"|"&amp;J674</f>
        <v>LUCKY &amp; S CO, Сербия|Шкала|Оборудование|3|1</v>
      </c>
      <c t="str" r="T674" s="6">
        <f>A674&amp;"|"&amp;C674&amp;"|"&amp;G674</f>
        <v>LUCKY &amp; S CO, Сербия|Шкала|3</v>
      </c>
      <c t="str" r="U674" s="6">
        <f>IF(H674="да",A674&amp;"|"&amp;C674&amp;"|"&amp;D674&amp;"|"&amp;J674,"")</f>
        <v/>
      </c>
      <c t="str" r="V674" s="6">
        <f>IF(C674="План",A674&amp;"|"&amp;J674,"")</f>
        <v/>
      </c>
    </row>
    <row r="675">
      <c r="A675" s="3" t="inlineStr">
        <is>
          <t>LUCKY &amp; S CO, Сербия</t>
        </is>
      </c>
      <c r="B675" s="3" t="inlineStr">
        <is>
          <t>Заруб</t>
        </is>
      </c>
      <c r="C675" s="3" t="inlineStr">
        <is>
          <t>Шкала</t>
        </is>
      </c>
      <c r="D675" s="3" t="inlineStr">
        <is>
          <t>Оборудование</t>
        </is>
      </c>
      <c r="E675" s="3" t="inlineStr">
        <is>
          <t>Оборудование — за полугодие</t>
        </is>
      </c>
      <c r="F675" s="3" t="inlineStr">
        <is>
          <t>Объем закупок МП</t>
        </is>
      </c>
      <c r="G675" s="4" t="n">
        <v>3</v>
      </c>
      <c r="H675" s="4" t="n"/>
      <c r="I675" s="3" t="inlineStr">
        <is>
          <t>75-114</t>
        </is>
      </c>
      <c r="J675" s="4" t="n">
        <v>2</v>
      </c>
      <c r="K675" s="4" t="n"/>
      <c r="L675" s="4" t="n"/>
      <c r="M675" s="8" t="n">
        <v>0.09</v>
      </c>
      <c r="N675" s="4" t="inlineStr">
        <is>
          <t>%</t>
        </is>
      </c>
      <c r="O675" s="3" t="inlineStr">
        <is>
          <t>LUCKY &amp; S CO</t>
        </is>
      </c>
      <c r="P675" s="3" t="inlineStr">
        <is>
          <t>F17</t>
        </is>
      </c>
      <c t="str" r="Q675" s="6">
        <f>A675&amp;"|"&amp;C675&amp;"|"&amp;D675&amp;"|"&amp;G675</f>
        <v>LUCKY &amp; S CO, Сербия|Шкала|Оборудование|3</v>
      </c>
      <c t="str" r="R675" s="6">
        <f>A675&amp;"|"&amp;C675&amp;"|"&amp;D675&amp;"|"&amp;J675</f>
        <v>LUCKY &amp; S CO, Сербия|Шкала|Оборудование|2</v>
      </c>
      <c t="str" r="S675" s="6">
        <f>A675&amp;"|"&amp;C675&amp;"|"&amp;D675&amp;"|"&amp;G675&amp;"|"&amp;J675</f>
        <v>LUCKY &amp; S CO, Сербия|Шкала|Оборудование|3|2</v>
      </c>
      <c t="str" r="T675" s="6">
        <f>A675&amp;"|"&amp;C675&amp;"|"&amp;G675</f>
        <v>LUCKY &amp; S CO, Сербия|Шкала|3</v>
      </c>
      <c t="str" r="U675" s="6">
        <f>IF(H675="да",A675&amp;"|"&amp;C675&amp;"|"&amp;D675&amp;"|"&amp;J675,"")</f>
        <v/>
      </c>
      <c t="str" r="V675" s="6">
        <f>IF(C675="План",A675&amp;"|"&amp;J675,"")</f>
        <v/>
      </c>
    </row>
    <row r="676">
      <c r="A676" s="3" t="inlineStr">
        <is>
          <t>LUCKY &amp; S CO, Сербия</t>
        </is>
      </c>
      <c r="B676" s="3" t="inlineStr">
        <is>
          <t>Заруб</t>
        </is>
      </c>
      <c r="C676" s="3" t="inlineStr">
        <is>
          <t>Шкала</t>
        </is>
      </c>
      <c r="D676" s="3" t="inlineStr">
        <is>
          <t>Оборудование</t>
        </is>
      </c>
      <c r="E676" s="3" t="inlineStr">
        <is>
          <t>Оборудование — за полугодие</t>
        </is>
      </c>
      <c r="F676" s="3" t="inlineStr">
        <is>
          <t>Объем закупок МП</t>
        </is>
      </c>
      <c r="G676" s="4" t="n">
        <v>3</v>
      </c>
      <c r="H676" s="4" t="n"/>
      <c r="I676" s="3" t="inlineStr">
        <is>
          <t>115-149</t>
        </is>
      </c>
      <c r="J676" s="4" t="n">
        <v>3</v>
      </c>
      <c r="K676" s="4" t="n"/>
      <c r="L676" s="4" t="n"/>
      <c r="M676" s="8" t="n">
        <v>0.1</v>
      </c>
      <c r="N676" s="4" t="inlineStr">
        <is>
          <t>%</t>
        </is>
      </c>
      <c r="O676" s="3" t="inlineStr">
        <is>
          <t>LUCKY &amp; S CO</t>
        </is>
      </c>
      <c r="P676" s="3" t="inlineStr">
        <is>
          <t>G17</t>
        </is>
      </c>
      <c t="str" r="Q676" s="6">
        <f>A676&amp;"|"&amp;C676&amp;"|"&amp;D676&amp;"|"&amp;G676</f>
        <v>LUCKY &amp; S CO, Сербия|Шкала|Оборудование|3</v>
      </c>
      <c t="str" r="R676" s="6">
        <f>A676&amp;"|"&amp;C676&amp;"|"&amp;D676&amp;"|"&amp;J676</f>
        <v>LUCKY &amp; S CO, Сербия|Шкала|Оборудование|3</v>
      </c>
      <c t="str" r="S676" s="6">
        <f>A676&amp;"|"&amp;C676&amp;"|"&amp;D676&amp;"|"&amp;G676&amp;"|"&amp;J676</f>
        <v>LUCKY &amp; S CO, Сербия|Шкала|Оборудование|3|3</v>
      </c>
      <c t="str" r="T676" s="6">
        <f>A676&amp;"|"&amp;C676&amp;"|"&amp;G676</f>
        <v>LUCKY &amp; S CO, Сербия|Шкала|3</v>
      </c>
      <c t="str" r="U676" s="6">
        <f>IF(H676="да",A676&amp;"|"&amp;C676&amp;"|"&amp;D676&amp;"|"&amp;J676,"")</f>
        <v/>
      </c>
      <c t="str" r="V676" s="6">
        <f>IF(C676="План",A676&amp;"|"&amp;J676,"")</f>
        <v/>
      </c>
    </row>
    <row r="677">
      <c r="A677" s="3" t="inlineStr">
        <is>
          <t>LUCKY &amp; S CO, Сербия</t>
        </is>
      </c>
      <c r="B677" s="3" t="inlineStr">
        <is>
          <t>Заруб</t>
        </is>
      </c>
      <c r="C677" s="3" t="inlineStr">
        <is>
          <t>Шкала</t>
        </is>
      </c>
      <c r="D677" s="3" t="inlineStr">
        <is>
          <t>Оборудование</t>
        </is>
      </c>
      <c r="E677" s="3" t="inlineStr">
        <is>
          <t>Оборудование — за полугодие</t>
        </is>
      </c>
      <c r="F677" s="3" t="inlineStr">
        <is>
          <t>Объем закупок МП</t>
        </is>
      </c>
      <c r="G677" s="4" t="n">
        <v>3</v>
      </c>
      <c r="H677" s="4" t="n"/>
      <c r="I677" s="3" t="inlineStr">
        <is>
          <t>150-189</t>
        </is>
      </c>
      <c r="J677" s="4" t="n">
        <v>4</v>
      </c>
      <c r="K677" s="4" t="n"/>
      <c r="L677" s="4" t="n"/>
      <c r="M677" s="8" t="n">
        <v>0.11</v>
      </c>
      <c r="N677" s="4" t="inlineStr">
        <is>
          <t>%</t>
        </is>
      </c>
      <c r="O677" s="3" t="inlineStr">
        <is>
          <t>LUCKY &amp; S CO</t>
        </is>
      </c>
      <c r="P677" s="3" t="inlineStr">
        <is>
          <t>H17</t>
        </is>
      </c>
      <c t="str" r="Q677" s="6">
        <f>A677&amp;"|"&amp;C677&amp;"|"&amp;D677&amp;"|"&amp;G677</f>
        <v>LUCKY &amp; S CO, Сербия|Шкала|Оборудование|3</v>
      </c>
      <c t="str" r="R677" s="6">
        <f>A677&amp;"|"&amp;C677&amp;"|"&amp;D677&amp;"|"&amp;J677</f>
        <v>LUCKY &amp; S CO, Сербия|Шкала|Оборудование|4</v>
      </c>
      <c t="str" r="S677" s="6">
        <f>A677&amp;"|"&amp;C677&amp;"|"&amp;D677&amp;"|"&amp;G677&amp;"|"&amp;J677</f>
        <v>LUCKY &amp; S CO, Сербия|Шкала|Оборудование|3|4</v>
      </c>
      <c t="str" r="T677" s="6">
        <f>A677&amp;"|"&amp;C677&amp;"|"&amp;G677</f>
        <v>LUCKY &amp; S CO, Сербия|Шкала|3</v>
      </c>
      <c t="str" r="U677" s="6">
        <f>IF(H677="да",A677&amp;"|"&amp;C677&amp;"|"&amp;D677&amp;"|"&amp;J677,"")</f>
        <v/>
      </c>
      <c t="str" r="V677" s="6">
        <f>IF(C677="План",A677&amp;"|"&amp;J677,"")</f>
        <v/>
      </c>
    </row>
    <row r="678">
      <c r="A678" s="3" t="inlineStr">
        <is>
          <t>LUCKY &amp; S CO, Сербия</t>
        </is>
      </c>
      <c r="B678" s="3" t="inlineStr">
        <is>
          <t>Заруб</t>
        </is>
      </c>
      <c r="C678" s="3" t="inlineStr">
        <is>
          <t>Шкала</t>
        </is>
      </c>
      <c r="D678" s="3" t="inlineStr">
        <is>
          <t>Оборудование</t>
        </is>
      </c>
      <c r="E678" s="3" t="inlineStr">
        <is>
          <t>Оборудование — за полугодие</t>
        </is>
      </c>
      <c r="F678" s="3" t="inlineStr">
        <is>
          <t>Объем закупок МП</t>
        </is>
      </c>
      <c r="G678" s="4" t="n">
        <v>3</v>
      </c>
      <c r="H678" s="4" t="n"/>
      <c r="I678" s="3" t="inlineStr">
        <is>
          <t>190-224</t>
        </is>
      </c>
      <c r="J678" s="4" t="n">
        <v>5</v>
      </c>
      <c r="K678" s="4" t="n"/>
      <c r="L678" s="4" t="n"/>
      <c r="M678" s="8" t="n">
        <v>0.12</v>
      </c>
      <c r="N678" s="4" t="inlineStr">
        <is>
          <t>%</t>
        </is>
      </c>
      <c r="O678" s="3" t="inlineStr">
        <is>
          <t>LUCKY &amp; S CO</t>
        </is>
      </c>
      <c r="P678" s="3" t="inlineStr">
        <is>
          <t>I17</t>
        </is>
      </c>
      <c t="str" r="Q678" s="6">
        <f>A678&amp;"|"&amp;C678&amp;"|"&amp;D678&amp;"|"&amp;G678</f>
        <v>LUCKY &amp; S CO, Сербия|Шкала|Оборудование|3</v>
      </c>
      <c t="str" r="R678" s="6">
        <f>A678&amp;"|"&amp;C678&amp;"|"&amp;D678&amp;"|"&amp;J678</f>
        <v>LUCKY &amp; S CO, Сербия|Шкала|Оборудование|5</v>
      </c>
      <c t="str" r="S678" s="6">
        <f>A678&amp;"|"&amp;C678&amp;"|"&amp;D678&amp;"|"&amp;G678&amp;"|"&amp;J678</f>
        <v>LUCKY &amp; S CO, Сербия|Шкала|Оборудование|3|5</v>
      </c>
      <c t="str" r="T678" s="6">
        <f>A678&amp;"|"&amp;C678&amp;"|"&amp;G678</f>
        <v>LUCKY &amp; S CO, Сербия|Шкала|3</v>
      </c>
      <c t="str" r="U678" s="6">
        <f>IF(H678="да",A678&amp;"|"&amp;C678&amp;"|"&amp;D678&amp;"|"&amp;J678,"")</f>
        <v/>
      </c>
      <c t="str" r="V678" s="6">
        <f>IF(C678="План",A678&amp;"|"&amp;J678,"")</f>
        <v/>
      </c>
    </row>
    <row r="679">
      <c r="A679" s="3" t="inlineStr">
        <is>
          <t>LUCKY &amp; S CO, Сербия</t>
        </is>
      </c>
      <c r="B679" s="3" t="inlineStr">
        <is>
          <t>Заруб</t>
        </is>
      </c>
      <c r="C679" s="3" t="inlineStr">
        <is>
          <t>Шкала</t>
        </is>
      </c>
      <c r="D679" s="3" t="inlineStr">
        <is>
          <t>Оборудование</t>
        </is>
      </c>
      <c r="E679" s="3" t="inlineStr">
        <is>
          <t>Оборудование — за полугодие</t>
        </is>
      </c>
      <c r="F679" s="3" t="inlineStr">
        <is>
          <t>Объем закупок МП</t>
        </is>
      </c>
      <c r="G679" s="4" t="n">
        <v>3</v>
      </c>
      <c r="H679" s="4" t="n"/>
      <c r="I679" s="3" t="inlineStr">
        <is>
          <t>225 и более</t>
        </is>
      </c>
      <c r="J679" s="4" t="n">
        <v>6</v>
      </c>
      <c r="K679" s="4" t="n"/>
      <c r="L679" s="4" t="n"/>
      <c r="M679" s="8" t="n">
        <v>0.13</v>
      </c>
      <c r="N679" s="4" t="inlineStr">
        <is>
          <t>%</t>
        </is>
      </c>
      <c r="O679" s="3" t="inlineStr">
        <is>
          <t>LUCKY &amp; S CO</t>
        </is>
      </c>
      <c r="P679" s="3" t="inlineStr">
        <is>
          <t>J17</t>
        </is>
      </c>
      <c t="str" r="Q679" s="6">
        <f>A679&amp;"|"&amp;C679&amp;"|"&amp;D679&amp;"|"&amp;G679</f>
        <v>LUCKY &amp; S CO, Сербия|Шкала|Оборудование|3</v>
      </c>
      <c t="str" r="R679" s="6">
        <f>A679&amp;"|"&amp;C679&amp;"|"&amp;D679&amp;"|"&amp;J679</f>
        <v>LUCKY &amp; S CO, Сербия|Шкала|Оборудование|6</v>
      </c>
      <c t="str" r="S679" s="6">
        <f>A679&amp;"|"&amp;C679&amp;"|"&amp;D679&amp;"|"&amp;G679&amp;"|"&amp;J679</f>
        <v>LUCKY &amp; S CO, Сербия|Шкала|Оборудование|3|6</v>
      </c>
      <c t="str" r="T679" s="6">
        <f>A679&amp;"|"&amp;C679&amp;"|"&amp;G679</f>
        <v>LUCKY &amp; S CO, Сербия|Шкала|3</v>
      </c>
      <c t="str" r="U679" s="6">
        <f>IF(H679="да",A679&amp;"|"&amp;C679&amp;"|"&amp;D679&amp;"|"&amp;J679,"")</f>
        <v/>
      </c>
      <c t="str" r="V679" s="6">
        <f>IF(C679="План",A679&amp;"|"&amp;J679,"")</f>
        <v/>
      </c>
    </row>
    <row r="680">
      <c r="A680" s="3" t="inlineStr">
        <is>
          <t>LUCKY &amp; S CO, Сербия</t>
        </is>
      </c>
      <c r="B680" s="3" t="inlineStr">
        <is>
          <t>Заруб</t>
        </is>
      </c>
      <c r="C680" s="3" t="inlineStr">
        <is>
          <t>Шкала</t>
        </is>
      </c>
      <c r="D680" s="3" t="inlineStr">
        <is>
          <t>Оборудование</t>
        </is>
      </c>
      <c r="E680" s="3" t="inlineStr">
        <is>
          <t>Оборудование — за полугодие</t>
        </is>
      </c>
      <c r="F680" s="3" t="inlineStr">
        <is>
          <t>ИТОГО</t>
        </is>
      </c>
      <c r="G680" s="4" t="n">
        <v>4</v>
      </c>
      <c r="H680" s="4" t="inlineStr">
        <is>
          <t>да</t>
        </is>
      </c>
      <c r="I680" s="3" t="inlineStr">
        <is>
          <t>до 75</t>
        </is>
      </c>
      <c r="J680" s="4" t="n">
        <v>1</v>
      </c>
      <c r="K680" s="4" t="n"/>
      <c r="L680" s="4" t="n"/>
      <c r="M680" s="8" t="n">
        <v>0.14</v>
      </c>
      <c r="N680" s="4" t="inlineStr">
        <is>
          <t>%</t>
        </is>
      </c>
      <c r="O680" s="3" t="inlineStr">
        <is>
          <t>LUCKY &amp; S CO</t>
        </is>
      </c>
      <c r="P680" s="3" t="inlineStr">
        <is>
          <t>E18</t>
        </is>
      </c>
      <c t="str" r="Q680" s="6">
        <f>A680&amp;"|"&amp;C680&amp;"|"&amp;D680&amp;"|"&amp;G680</f>
        <v>LUCKY &amp; S CO, Сербия|Шкала|Оборудование|4</v>
      </c>
      <c t="str" r="R680" s="6">
        <f>A680&amp;"|"&amp;C680&amp;"|"&amp;D680&amp;"|"&amp;J680</f>
        <v>LUCKY &amp; S CO, Сербия|Шкала|Оборудование|1</v>
      </c>
      <c t="str" r="S680" s="6">
        <f>A680&amp;"|"&amp;C680&amp;"|"&amp;D680&amp;"|"&amp;G680&amp;"|"&amp;J680</f>
        <v>LUCKY &amp; S CO, Сербия|Шкала|Оборудование|4|1</v>
      </c>
      <c t="str" r="T680" s="6">
        <f>A680&amp;"|"&amp;C680&amp;"|"&amp;G680</f>
        <v>LUCKY &amp; S CO, Сербия|Шкала|4</v>
      </c>
      <c t="str" r="U680" s="6">
        <f>IF(H680="да",A680&amp;"|"&amp;C680&amp;"|"&amp;D680&amp;"|"&amp;J680,"")</f>
        <v>LUCKY &amp; S CO, Сербия|Шкала|Оборудование|1</v>
      </c>
      <c t="str" r="V680" s="6">
        <f>IF(C680="План",A680&amp;"|"&amp;J680,"")</f>
        <v/>
      </c>
    </row>
    <row r="681">
      <c r="A681" s="3" t="inlineStr">
        <is>
          <t>LUCKY &amp; S CO, Сербия</t>
        </is>
      </c>
      <c r="B681" s="3" t="inlineStr">
        <is>
          <t>Заруб</t>
        </is>
      </c>
      <c r="C681" s="3" t="inlineStr">
        <is>
          <t>Шкала</t>
        </is>
      </c>
      <c r="D681" s="3" t="inlineStr">
        <is>
          <t>Оборудование</t>
        </is>
      </c>
      <c r="E681" s="3" t="inlineStr">
        <is>
          <t>Оборудование — за полугодие</t>
        </is>
      </c>
      <c r="F681" s="3" t="inlineStr">
        <is>
          <t>ИТОГО</t>
        </is>
      </c>
      <c r="G681" s="4" t="n">
        <v>4</v>
      </c>
      <c r="H681" s="4" t="inlineStr">
        <is>
          <t>да</t>
        </is>
      </c>
      <c r="I681" s="3" t="inlineStr">
        <is>
          <t>75-114</t>
        </is>
      </c>
      <c r="J681" s="4" t="n">
        <v>2</v>
      </c>
      <c r="K681" s="4" t="n"/>
      <c r="L681" s="4" t="n"/>
      <c r="M681" s="8" t="n">
        <v>0.16</v>
      </c>
      <c r="N681" s="4" t="inlineStr">
        <is>
          <t>%</t>
        </is>
      </c>
      <c r="O681" s="3" t="inlineStr">
        <is>
          <t>LUCKY &amp; S CO</t>
        </is>
      </c>
      <c r="P681" s="3" t="inlineStr">
        <is>
          <t>F18</t>
        </is>
      </c>
      <c t="str" r="Q681" s="6">
        <f>A681&amp;"|"&amp;C681&amp;"|"&amp;D681&amp;"|"&amp;G681</f>
        <v>LUCKY &amp; S CO, Сербия|Шкала|Оборудование|4</v>
      </c>
      <c t="str" r="R681" s="6">
        <f>A681&amp;"|"&amp;C681&amp;"|"&amp;D681&amp;"|"&amp;J681</f>
        <v>LUCKY &amp; S CO, Сербия|Шкала|Оборудование|2</v>
      </c>
      <c t="str" r="S681" s="6">
        <f>A681&amp;"|"&amp;C681&amp;"|"&amp;D681&amp;"|"&amp;G681&amp;"|"&amp;J681</f>
        <v>LUCKY &amp; S CO, Сербия|Шкала|Оборудование|4|2</v>
      </c>
      <c t="str" r="T681" s="6">
        <f>A681&amp;"|"&amp;C681&amp;"|"&amp;G681</f>
        <v>LUCKY &amp; S CO, Сербия|Шкала|4</v>
      </c>
      <c t="str" r="U681" s="6">
        <f>IF(H681="да",A681&amp;"|"&amp;C681&amp;"|"&amp;D681&amp;"|"&amp;J681,"")</f>
        <v>LUCKY &amp; S CO, Сербия|Шкала|Оборудование|2</v>
      </c>
      <c t="str" r="V681" s="6">
        <f>IF(C681="План",A681&amp;"|"&amp;J681,"")</f>
        <v/>
      </c>
    </row>
    <row r="682">
      <c r="A682" s="3" t="inlineStr">
        <is>
          <t>LUCKY &amp; S CO, Сербия</t>
        </is>
      </c>
      <c r="B682" s="3" t="inlineStr">
        <is>
          <t>Заруб</t>
        </is>
      </c>
      <c r="C682" s="3" t="inlineStr">
        <is>
          <t>Шкала</t>
        </is>
      </c>
      <c r="D682" s="3" t="inlineStr">
        <is>
          <t>Оборудование</t>
        </is>
      </c>
      <c r="E682" s="3" t="inlineStr">
        <is>
          <t>Оборудование — за полугодие</t>
        </is>
      </c>
      <c r="F682" s="3" t="inlineStr">
        <is>
          <t>ИТОГО</t>
        </is>
      </c>
      <c r="G682" s="4" t="n">
        <v>4</v>
      </c>
      <c r="H682" s="4" t="inlineStr">
        <is>
          <t>да</t>
        </is>
      </c>
      <c r="I682" s="3" t="inlineStr">
        <is>
          <t>115-149</t>
        </is>
      </c>
      <c r="J682" s="4" t="n">
        <v>3</v>
      </c>
      <c r="K682" s="4" t="n"/>
      <c r="L682" s="4" t="n"/>
      <c r="M682" s="8" t="n">
        <v>0.17</v>
      </c>
      <c r="N682" s="4" t="inlineStr">
        <is>
          <t>%</t>
        </is>
      </c>
      <c r="O682" s="3" t="inlineStr">
        <is>
          <t>LUCKY &amp; S CO</t>
        </is>
      </c>
      <c r="P682" s="3" t="inlineStr">
        <is>
          <t>G18</t>
        </is>
      </c>
      <c t="str" r="Q682" s="6">
        <f>A682&amp;"|"&amp;C682&amp;"|"&amp;D682&amp;"|"&amp;G682</f>
        <v>LUCKY &amp; S CO, Сербия|Шкала|Оборудование|4</v>
      </c>
      <c t="str" r="R682" s="6">
        <f>A682&amp;"|"&amp;C682&amp;"|"&amp;D682&amp;"|"&amp;J682</f>
        <v>LUCKY &amp; S CO, Сербия|Шкала|Оборудование|3</v>
      </c>
      <c t="str" r="S682" s="6">
        <f>A682&amp;"|"&amp;C682&amp;"|"&amp;D682&amp;"|"&amp;G682&amp;"|"&amp;J682</f>
        <v>LUCKY &amp; S CO, Сербия|Шкала|Оборудование|4|3</v>
      </c>
      <c t="str" r="T682" s="6">
        <f>A682&amp;"|"&amp;C682&amp;"|"&amp;G682</f>
        <v>LUCKY &amp; S CO, Сербия|Шкала|4</v>
      </c>
      <c t="str" r="U682" s="6">
        <f>IF(H682="да",A682&amp;"|"&amp;C682&amp;"|"&amp;D682&amp;"|"&amp;J682,"")</f>
        <v>LUCKY &amp; S CO, Сербия|Шкала|Оборудование|3</v>
      </c>
      <c t="str" r="V682" s="6">
        <f>IF(C682="План",A682&amp;"|"&amp;J682,"")</f>
        <v/>
      </c>
    </row>
    <row r="683">
      <c r="A683" s="3" t="inlineStr">
        <is>
          <t>LUCKY &amp; S CO, Сербия</t>
        </is>
      </c>
      <c r="B683" s="3" t="inlineStr">
        <is>
          <t>Заруб</t>
        </is>
      </c>
      <c r="C683" s="3" t="inlineStr">
        <is>
          <t>Шкала</t>
        </is>
      </c>
      <c r="D683" s="3" t="inlineStr">
        <is>
          <t>Оборудование</t>
        </is>
      </c>
      <c r="E683" s="3" t="inlineStr">
        <is>
          <t>Оборудование — за полугодие</t>
        </is>
      </c>
      <c r="F683" s="3" t="inlineStr">
        <is>
          <t>ИТОГО</t>
        </is>
      </c>
      <c r="G683" s="4" t="n">
        <v>4</v>
      </c>
      <c r="H683" s="4" t="inlineStr">
        <is>
          <t>да</t>
        </is>
      </c>
      <c r="I683" s="3" t="inlineStr">
        <is>
          <t>150-189</t>
        </is>
      </c>
      <c r="J683" s="4" t="n">
        <v>4</v>
      </c>
      <c r="K683" s="4" t="n"/>
      <c r="L683" s="4" t="n"/>
      <c r="M683" s="8" t="n">
        <v>0.18</v>
      </c>
      <c r="N683" s="4" t="inlineStr">
        <is>
          <t>%</t>
        </is>
      </c>
      <c r="O683" s="3" t="inlineStr">
        <is>
          <t>LUCKY &amp; S CO</t>
        </is>
      </c>
      <c r="P683" s="3" t="inlineStr">
        <is>
          <t>H18</t>
        </is>
      </c>
      <c t="str" r="Q683" s="6">
        <f>A683&amp;"|"&amp;C683&amp;"|"&amp;D683&amp;"|"&amp;G683</f>
        <v>LUCKY &amp; S CO, Сербия|Шкала|Оборудование|4</v>
      </c>
      <c t="str" r="R683" s="6">
        <f>A683&amp;"|"&amp;C683&amp;"|"&amp;D683&amp;"|"&amp;J683</f>
        <v>LUCKY &amp; S CO, Сербия|Шкала|Оборудование|4</v>
      </c>
      <c t="str" r="S683" s="6">
        <f>A683&amp;"|"&amp;C683&amp;"|"&amp;D683&amp;"|"&amp;G683&amp;"|"&amp;J683</f>
        <v>LUCKY &amp; S CO, Сербия|Шкала|Оборудование|4|4</v>
      </c>
      <c t="str" r="T683" s="6">
        <f>A683&amp;"|"&amp;C683&amp;"|"&amp;G683</f>
        <v>LUCKY &amp; S CO, Сербия|Шкала|4</v>
      </c>
      <c t="str" r="U683" s="6">
        <f>IF(H683="да",A683&amp;"|"&amp;C683&amp;"|"&amp;D683&amp;"|"&amp;J683,"")</f>
        <v>LUCKY &amp; S CO, Сербия|Шкала|Оборудование|4</v>
      </c>
      <c t="str" r="V683" s="6">
        <f>IF(C683="План",A683&amp;"|"&amp;J683,"")</f>
        <v/>
      </c>
    </row>
    <row r="684">
      <c r="A684" s="3" t="inlineStr">
        <is>
          <t>LUCKY &amp; S CO, Сербия</t>
        </is>
      </c>
      <c r="B684" s="3" t="inlineStr">
        <is>
          <t>Заруб</t>
        </is>
      </c>
      <c r="C684" s="3" t="inlineStr">
        <is>
          <t>Шкала</t>
        </is>
      </c>
      <c r="D684" s="3" t="inlineStr">
        <is>
          <t>Оборудование</t>
        </is>
      </c>
      <c r="E684" s="3" t="inlineStr">
        <is>
          <t>Оборудование — за полугодие</t>
        </is>
      </c>
      <c r="F684" s="3" t="inlineStr">
        <is>
          <t>ИТОГО</t>
        </is>
      </c>
      <c r="G684" s="4" t="n">
        <v>4</v>
      </c>
      <c r="H684" s="4" t="inlineStr">
        <is>
          <t>да</t>
        </is>
      </c>
      <c r="I684" s="3" t="inlineStr">
        <is>
          <t>190-224</t>
        </is>
      </c>
      <c r="J684" s="4" t="n">
        <v>5</v>
      </c>
      <c r="K684" s="4" t="n"/>
      <c r="L684" s="4" t="n"/>
      <c r="M684" s="8" t="n">
        <v>0.19</v>
      </c>
      <c r="N684" s="4" t="inlineStr">
        <is>
          <t>%</t>
        </is>
      </c>
      <c r="O684" s="3" t="inlineStr">
        <is>
          <t>LUCKY &amp; S CO</t>
        </is>
      </c>
      <c r="P684" s="3" t="inlineStr">
        <is>
          <t>I18</t>
        </is>
      </c>
      <c t="str" r="Q684" s="6">
        <f>A684&amp;"|"&amp;C684&amp;"|"&amp;D684&amp;"|"&amp;G684</f>
        <v>LUCKY &amp; S CO, Сербия|Шкала|Оборудование|4</v>
      </c>
      <c t="str" r="R684" s="6">
        <f>A684&amp;"|"&amp;C684&amp;"|"&amp;D684&amp;"|"&amp;J684</f>
        <v>LUCKY &amp; S CO, Сербия|Шкала|Оборудование|5</v>
      </c>
      <c t="str" r="S684" s="6">
        <f>A684&amp;"|"&amp;C684&amp;"|"&amp;D684&amp;"|"&amp;G684&amp;"|"&amp;J684</f>
        <v>LUCKY &amp; S CO, Сербия|Шкала|Оборудование|4|5</v>
      </c>
      <c t="str" r="T684" s="6">
        <f>A684&amp;"|"&amp;C684&amp;"|"&amp;G684</f>
        <v>LUCKY &amp; S CO, Сербия|Шкала|4</v>
      </c>
      <c t="str" r="U684" s="6">
        <f>IF(H684="да",A684&amp;"|"&amp;C684&amp;"|"&amp;D684&amp;"|"&amp;J684,"")</f>
        <v>LUCKY &amp; S CO, Сербия|Шкала|Оборудование|5</v>
      </c>
      <c t="str" r="V684" s="6">
        <f>IF(C684="План",A684&amp;"|"&amp;J684,"")</f>
        <v/>
      </c>
    </row>
    <row r="685">
      <c r="A685" s="3" t="inlineStr">
        <is>
          <t>LUCKY &amp; S CO, Сербия</t>
        </is>
      </c>
      <c r="B685" s="3" t="inlineStr">
        <is>
          <t>Заруб</t>
        </is>
      </c>
      <c r="C685" s="3" t="inlineStr">
        <is>
          <t>Шкала</t>
        </is>
      </c>
      <c r="D685" s="3" t="inlineStr">
        <is>
          <t>Оборудование</t>
        </is>
      </c>
      <c r="E685" s="3" t="inlineStr">
        <is>
          <t>Оборудование — за полугодие</t>
        </is>
      </c>
      <c r="F685" s="3" t="inlineStr">
        <is>
          <t>ИТОГО</t>
        </is>
      </c>
      <c r="G685" s="4" t="n">
        <v>4</v>
      </c>
      <c r="H685" s="4" t="inlineStr">
        <is>
          <t>да</t>
        </is>
      </c>
      <c r="I685" s="3" t="inlineStr">
        <is>
          <t>225 и более</t>
        </is>
      </c>
      <c r="J685" s="4" t="n">
        <v>6</v>
      </c>
      <c r="K685" s="4" t="n"/>
      <c r="L685" s="4" t="n"/>
      <c r="M685" s="8" t="n">
        <v>0.2</v>
      </c>
      <c r="N685" s="4" t="inlineStr">
        <is>
          <t>%</t>
        </is>
      </c>
      <c r="O685" s="3" t="inlineStr">
        <is>
          <t>LUCKY &amp; S CO</t>
        </is>
      </c>
      <c r="P685" s="3" t="inlineStr">
        <is>
          <t>J18</t>
        </is>
      </c>
      <c t="str" r="Q685" s="6">
        <f>A685&amp;"|"&amp;C685&amp;"|"&amp;D685&amp;"|"&amp;G685</f>
        <v>LUCKY &amp; S CO, Сербия|Шкала|Оборудование|4</v>
      </c>
      <c t="str" r="R685" s="6">
        <f>A685&amp;"|"&amp;C685&amp;"|"&amp;D685&amp;"|"&amp;J685</f>
        <v>LUCKY &amp; S CO, Сербия|Шкала|Оборудование|6</v>
      </c>
      <c t="str" r="S685" s="6">
        <f>A685&amp;"|"&amp;C685&amp;"|"&amp;D685&amp;"|"&amp;G685&amp;"|"&amp;J685</f>
        <v>LUCKY &amp; S CO, Сербия|Шкала|Оборудование|4|6</v>
      </c>
      <c t="str" r="T685" s="6">
        <f>A685&amp;"|"&amp;C685&amp;"|"&amp;G685</f>
        <v>LUCKY &amp; S CO, Сербия|Шкала|4</v>
      </c>
      <c t="str" r="U685" s="6">
        <f>IF(H685="да",A685&amp;"|"&amp;C685&amp;"|"&amp;D685&amp;"|"&amp;J685,"")</f>
        <v>LUCKY &amp; S CO, Сербия|Шкала|Оборудование|6</v>
      </c>
      <c t="str" r="V685" s="6">
        <f>IF(C685="План",A685&amp;"|"&amp;J685,"")</f>
        <v/>
      </c>
    </row>
    <row r="686">
      <c r="A686" s="3" t="inlineStr">
        <is>
          <t>LUCKY &amp; S CO, Сербия</t>
        </is>
      </c>
      <c r="B686" s="3" t="inlineStr">
        <is>
          <t>Заруб</t>
        </is>
      </c>
      <c r="C686" s="3" t="inlineStr">
        <is>
          <t>Шкала</t>
        </is>
      </c>
      <c r="D686" s="3" t="inlineStr">
        <is>
          <t>Расходные материалы</t>
        </is>
      </c>
      <c r="E686" s="3" t="inlineStr">
        <is>
          <t>Расходные материалы — за полугодие</t>
        </is>
      </c>
      <c r="F686" s="3" t="inlineStr">
        <is>
          <t>Объем закупок РМ</t>
        </is>
      </c>
      <c r="G686" s="4" t="n">
        <v>1</v>
      </c>
      <c r="H686" s="4" t="n"/>
      <c r="I686" s="3" t="inlineStr">
        <is>
          <t>до 24</t>
        </is>
      </c>
      <c r="J686" s="4" t="n">
        <v>1</v>
      </c>
      <c r="K686" s="4" t="n"/>
      <c r="L686" s="4" t="n"/>
      <c r="M686" s="8" t="n">
        <v>0</v>
      </c>
      <c r="N686" s="4" t="inlineStr">
        <is>
          <t>%</t>
        </is>
      </c>
      <c r="O686" s="3" t="inlineStr">
        <is>
          <t>LUCKY &amp; S CO</t>
        </is>
      </c>
      <c r="P686" s="3" t="inlineStr">
        <is>
          <t>E21</t>
        </is>
      </c>
      <c t="str" r="Q686" s="6">
        <f>A686&amp;"|"&amp;C686&amp;"|"&amp;D686&amp;"|"&amp;G686</f>
        <v>LUCKY &amp; S CO, Сербия|Шкала|Расходные материалы|1</v>
      </c>
      <c t="str" r="R686" s="6">
        <f>A686&amp;"|"&amp;C686&amp;"|"&amp;D686&amp;"|"&amp;J686</f>
        <v>LUCKY &amp; S CO, Сербия|Шкала|Расходные материалы|1</v>
      </c>
      <c t="str" r="S686" s="6">
        <f>A686&amp;"|"&amp;C686&amp;"|"&amp;D686&amp;"|"&amp;G686&amp;"|"&amp;J686</f>
        <v>LUCKY &amp; S CO, Сербия|Шкала|Расходные материалы|1|1</v>
      </c>
      <c t="str" r="T686" s="6">
        <f>A686&amp;"|"&amp;C686&amp;"|"&amp;G686</f>
        <v>LUCKY &amp; S CO, Сербия|Шкала|1</v>
      </c>
      <c t="str" r="U686" s="6">
        <f>IF(H686="да",A686&amp;"|"&amp;C686&amp;"|"&amp;D686&amp;"|"&amp;J686,"")</f>
        <v/>
      </c>
      <c t="str" r="V686" s="6">
        <f>IF(C686="План",A686&amp;"|"&amp;J686,"")</f>
        <v/>
      </c>
    </row>
    <row r="687">
      <c r="A687" s="3" t="inlineStr">
        <is>
          <t>LUCKY &amp; S CO, Сербия</t>
        </is>
      </c>
      <c r="B687" s="3" t="inlineStr">
        <is>
          <t>Заруб</t>
        </is>
      </c>
      <c r="C687" s="3" t="inlineStr">
        <is>
          <t>Шкала</t>
        </is>
      </c>
      <c r="D687" s="3" t="inlineStr">
        <is>
          <t>Расходные материалы</t>
        </is>
      </c>
      <c r="E687" s="3" t="inlineStr">
        <is>
          <t>Расходные материалы — за полугодие</t>
        </is>
      </c>
      <c r="F687" s="3" t="inlineStr">
        <is>
          <t>Объем закупок РМ</t>
        </is>
      </c>
      <c r="G687" s="4" t="n">
        <v>1</v>
      </c>
      <c r="H687" s="4" t="n"/>
      <c r="I687" s="3" t="inlineStr">
        <is>
          <t>25-34</t>
        </is>
      </c>
      <c r="J687" s="4" t="n">
        <v>2</v>
      </c>
      <c r="K687" s="4" t="n"/>
      <c r="L687" s="4" t="n"/>
      <c r="M687" s="8" t="n">
        <v>0.01</v>
      </c>
      <c r="N687" s="4" t="inlineStr">
        <is>
          <t>%</t>
        </is>
      </c>
      <c r="O687" s="3" t="inlineStr">
        <is>
          <t>LUCKY &amp; S CO</t>
        </is>
      </c>
      <c r="P687" s="3" t="inlineStr">
        <is>
          <t>F21</t>
        </is>
      </c>
      <c t="str" r="Q687" s="6">
        <f>A687&amp;"|"&amp;C687&amp;"|"&amp;D687&amp;"|"&amp;G687</f>
        <v>LUCKY &amp; S CO, Сербия|Шкала|Расходные материалы|1</v>
      </c>
      <c t="str" r="R687" s="6">
        <f>A687&amp;"|"&amp;C687&amp;"|"&amp;D687&amp;"|"&amp;J687</f>
        <v>LUCKY &amp; S CO, Сербия|Шкала|Расходные материалы|2</v>
      </c>
      <c t="str" r="S687" s="6">
        <f>A687&amp;"|"&amp;C687&amp;"|"&amp;D687&amp;"|"&amp;G687&amp;"|"&amp;J687</f>
        <v>LUCKY &amp; S CO, Сербия|Шкала|Расходные материалы|1|2</v>
      </c>
      <c t="str" r="T687" s="6">
        <f>A687&amp;"|"&amp;C687&amp;"|"&amp;G687</f>
        <v>LUCKY &amp; S CO, Сербия|Шкала|1</v>
      </c>
      <c t="str" r="U687" s="6">
        <f>IF(H687="да",A687&amp;"|"&amp;C687&amp;"|"&amp;D687&amp;"|"&amp;J687,"")</f>
        <v/>
      </c>
      <c t="str" r="V687" s="6">
        <f>IF(C687="План",A687&amp;"|"&amp;J687,"")</f>
        <v/>
      </c>
    </row>
    <row r="688">
      <c r="A688" s="3" t="inlineStr">
        <is>
          <t>LUCKY &amp; S CO, Сербия</t>
        </is>
      </c>
      <c r="B688" s="3" t="inlineStr">
        <is>
          <t>Заруб</t>
        </is>
      </c>
      <c r="C688" s="3" t="inlineStr">
        <is>
          <t>Шкала</t>
        </is>
      </c>
      <c r="D688" s="3" t="inlineStr">
        <is>
          <t>Расходные материалы</t>
        </is>
      </c>
      <c r="E688" s="3" t="inlineStr">
        <is>
          <t>Расходные материалы — за полугодие</t>
        </is>
      </c>
      <c r="F688" s="3" t="inlineStr">
        <is>
          <t>Объем закупок РМ</t>
        </is>
      </c>
      <c r="G688" s="4" t="n">
        <v>1</v>
      </c>
      <c r="H688" s="4" t="n"/>
      <c r="I688" s="3" t="inlineStr">
        <is>
          <t>35-44</t>
        </is>
      </c>
      <c r="J688" s="4" t="n">
        <v>3</v>
      </c>
      <c r="K688" s="4" t="n"/>
      <c r="L688" s="4" t="n"/>
      <c r="M688" s="8" t="n">
        <v>0.02</v>
      </c>
      <c r="N688" s="4" t="inlineStr">
        <is>
          <t>%</t>
        </is>
      </c>
      <c r="O688" s="3" t="inlineStr">
        <is>
          <t>LUCKY &amp; S CO</t>
        </is>
      </c>
      <c r="P688" s="3" t="inlineStr">
        <is>
          <t>G21</t>
        </is>
      </c>
      <c t="str" r="Q688" s="6">
        <f>A688&amp;"|"&amp;C688&amp;"|"&amp;D688&amp;"|"&amp;G688</f>
        <v>LUCKY &amp; S CO, Сербия|Шкала|Расходные материалы|1</v>
      </c>
      <c t="str" r="R688" s="6">
        <f>A688&amp;"|"&amp;C688&amp;"|"&amp;D688&amp;"|"&amp;J688</f>
        <v>LUCKY &amp; S CO, Сербия|Шкала|Расходные материалы|3</v>
      </c>
      <c t="str" r="S688" s="6">
        <f>A688&amp;"|"&amp;C688&amp;"|"&amp;D688&amp;"|"&amp;G688&amp;"|"&amp;J688</f>
        <v>LUCKY &amp; S CO, Сербия|Шкала|Расходные материалы|1|3</v>
      </c>
      <c t="str" r="T688" s="6">
        <f>A688&amp;"|"&amp;C688&amp;"|"&amp;G688</f>
        <v>LUCKY &amp; S CO, Сербия|Шкала|1</v>
      </c>
      <c t="str" r="U688" s="6">
        <f>IF(H688="да",A688&amp;"|"&amp;C688&amp;"|"&amp;D688&amp;"|"&amp;J688,"")</f>
        <v/>
      </c>
      <c t="str" r="V688" s="6">
        <f>IF(C688="План",A688&amp;"|"&amp;J688,"")</f>
        <v/>
      </c>
    </row>
    <row r="689">
      <c r="A689" s="3" t="inlineStr">
        <is>
          <t>LUCKY &amp; S CO, Сербия</t>
        </is>
      </c>
      <c r="B689" s="3" t="inlineStr">
        <is>
          <t>Заруб</t>
        </is>
      </c>
      <c r="C689" s="3" t="inlineStr">
        <is>
          <t>Шкала</t>
        </is>
      </c>
      <c r="D689" s="3" t="inlineStr">
        <is>
          <t>Расходные материалы</t>
        </is>
      </c>
      <c r="E689" s="3" t="inlineStr">
        <is>
          <t>Расходные материалы — за полугодие</t>
        </is>
      </c>
      <c r="F689" s="3" t="inlineStr">
        <is>
          <t>Объем закупок РМ</t>
        </is>
      </c>
      <c r="G689" s="4" t="n">
        <v>1</v>
      </c>
      <c r="H689" s="4" t="n"/>
      <c r="I689" s="3" t="inlineStr">
        <is>
          <t>45-54</t>
        </is>
      </c>
      <c r="J689" s="4" t="n">
        <v>4</v>
      </c>
      <c r="K689" s="4" t="n"/>
      <c r="L689" s="4" t="n"/>
      <c r="M689" s="8" t="n">
        <v>0.03</v>
      </c>
      <c r="N689" s="4" t="inlineStr">
        <is>
          <t>%</t>
        </is>
      </c>
      <c r="O689" s="3" t="inlineStr">
        <is>
          <t>LUCKY &amp; S CO</t>
        </is>
      </c>
      <c r="P689" s="3" t="inlineStr">
        <is>
          <t>H21</t>
        </is>
      </c>
      <c t="str" r="Q689" s="6">
        <f>A689&amp;"|"&amp;C689&amp;"|"&amp;D689&amp;"|"&amp;G689</f>
        <v>LUCKY &amp; S CO, Сербия|Шкала|Расходные материалы|1</v>
      </c>
      <c t="str" r="R689" s="6">
        <f>A689&amp;"|"&amp;C689&amp;"|"&amp;D689&amp;"|"&amp;J689</f>
        <v>LUCKY &amp; S CO, Сербия|Шкала|Расходные материалы|4</v>
      </c>
      <c t="str" r="S689" s="6">
        <f>A689&amp;"|"&amp;C689&amp;"|"&amp;D689&amp;"|"&amp;G689&amp;"|"&amp;J689</f>
        <v>LUCKY &amp; S CO, Сербия|Шкала|Расходные материалы|1|4</v>
      </c>
      <c t="str" r="T689" s="6">
        <f>A689&amp;"|"&amp;C689&amp;"|"&amp;G689</f>
        <v>LUCKY &amp; S CO, Сербия|Шкала|1</v>
      </c>
      <c t="str" r="U689" s="6">
        <f>IF(H689="да",A689&amp;"|"&amp;C689&amp;"|"&amp;D689&amp;"|"&amp;J689,"")</f>
        <v/>
      </c>
      <c t="str" r="V689" s="6">
        <f>IF(C689="План",A689&amp;"|"&amp;J689,"")</f>
        <v/>
      </c>
    </row>
    <row r="690">
      <c r="A690" s="3" t="inlineStr">
        <is>
          <t>LUCKY &amp; S CO, Сербия</t>
        </is>
      </c>
      <c r="B690" s="3" t="inlineStr">
        <is>
          <t>Заруб</t>
        </is>
      </c>
      <c r="C690" s="3" t="inlineStr">
        <is>
          <t>Шкала</t>
        </is>
      </c>
      <c r="D690" s="3" t="inlineStr">
        <is>
          <t>Расходные материалы</t>
        </is>
      </c>
      <c r="E690" s="3" t="inlineStr">
        <is>
          <t>Расходные материалы — за полугодие</t>
        </is>
      </c>
      <c r="F690" s="3" t="inlineStr">
        <is>
          <t>Объем закупок РМ</t>
        </is>
      </c>
      <c r="G690" s="4" t="n">
        <v>1</v>
      </c>
      <c r="H690" s="4" t="n"/>
      <c r="I690" s="3" t="inlineStr">
        <is>
          <t>55-64</t>
        </is>
      </c>
      <c r="J690" s="4" t="n">
        <v>5</v>
      </c>
      <c r="K690" s="4" t="n"/>
      <c r="L690" s="4" t="n"/>
      <c r="M690" s="8" t="n">
        <v>0.04</v>
      </c>
      <c r="N690" s="4" t="inlineStr">
        <is>
          <t>%</t>
        </is>
      </c>
      <c r="O690" s="3" t="inlineStr">
        <is>
          <t>LUCKY &amp; S CO</t>
        </is>
      </c>
      <c r="P690" s="3" t="inlineStr">
        <is>
          <t>I21</t>
        </is>
      </c>
      <c t="str" r="Q690" s="6">
        <f>A690&amp;"|"&amp;C690&amp;"|"&amp;D690&amp;"|"&amp;G690</f>
        <v>LUCKY &amp; S CO, Сербия|Шкала|Расходные материалы|1</v>
      </c>
      <c t="str" r="R690" s="6">
        <f>A690&amp;"|"&amp;C690&amp;"|"&amp;D690&amp;"|"&amp;J690</f>
        <v>LUCKY &amp; S CO, Сербия|Шкала|Расходные материалы|5</v>
      </c>
      <c t="str" r="S690" s="6">
        <f>A690&amp;"|"&amp;C690&amp;"|"&amp;D690&amp;"|"&amp;G690&amp;"|"&amp;J690</f>
        <v>LUCKY &amp; S CO, Сербия|Шкала|Расходные материалы|1|5</v>
      </c>
      <c t="str" r="T690" s="6">
        <f>A690&amp;"|"&amp;C690&amp;"|"&amp;G690</f>
        <v>LUCKY &amp; S CO, Сербия|Шкала|1</v>
      </c>
      <c t="str" r="U690" s="6">
        <f>IF(H690="да",A690&amp;"|"&amp;C690&amp;"|"&amp;D690&amp;"|"&amp;J690,"")</f>
        <v/>
      </c>
      <c t="str" r="V690" s="6">
        <f>IF(C690="План",A690&amp;"|"&amp;J690,"")</f>
        <v/>
      </c>
    </row>
    <row r="691">
      <c r="A691" s="3" t="inlineStr">
        <is>
          <t>LUCKY &amp; S CO, Сербия</t>
        </is>
      </c>
      <c r="B691" s="3" t="inlineStr">
        <is>
          <t>Заруб</t>
        </is>
      </c>
      <c r="C691" s="3" t="inlineStr">
        <is>
          <t>Шкала</t>
        </is>
      </c>
      <c r="D691" s="3" t="inlineStr">
        <is>
          <t>Расходные материалы</t>
        </is>
      </c>
      <c r="E691" s="3" t="inlineStr">
        <is>
          <t>Расходные материалы — за полугодие</t>
        </is>
      </c>
      <c r="F691" s="3" t="inlineStr">
        <is>
          <t>Объем закупок РМ</t>
        </is>
      </c>
      <c r="G691" s="4" t="n">
        <v>1</v>
      </c>
      <c r="H691" s="4" t="n"/>
      <c r="I691" s="3" t="inlineStr">
        <is>
          <t>65 и более</t>
        </is>
      </c>
      <c r="J691" s="4" t="n">
        <v>6</v>
      </c>
      <c r="K691" s="4" t="n"/>
      <c r="L691" s="4" t="n"/>
      <c r="M691" s="8" t="n">
        <v>0.05</v>
      </c>
      <c r="N691" s="4" t="inlineStr">
        <is>
          <t>%</t>
        </is>
      </c>
      <c r="O691" s="3" t="inlineStr">
        <is>
          <t>LUCKY &amp; S CO</t>
        </is>
      </c>
      <c r="P691" s="3" t="inlineStr">
        <is>
          <t>J21</t>
        </is>
      </c>
      <c t="str" r="Q691" s="6">
        <f>A691&amp;"|"&amp;C691&amp;"|"&amp;D691&amp;"|"&amp;G691</f>
        <v>LUCKY &amp; S CO, Сербия|Шкала|Расходные материалы|1</v>
      </c>
      <c t="str" r="R691" s="6">
        <f>A691&amp;"|"&amp;C691&amp;"|"&amp;D691&amp;"|"&amp;J691</f>
        <v>LUCKY &amp; S CO, Сербия|Шкала|Расходные материалы|6</v>
      </c>
      <c t="str" r="S691" s="6">
        <f>A691&amp;"|"&amp;C691&amp;"|"&amp;D691&amp;"|"&amp;G691&amp;"|"&amp;J691</f>
        <v>LUCKY &amp; S CO, Сербия|Шкала|Расходные материалы|1|6</v>
      </c>
      <c t="str" r="T691" s="6">
        <f>A691&amp;"|"&amp;C691&amp;"|"&amp;G691</f>
        <v>LUCKY &amp; S CO, Сербия|Шкала|1</v>
      </c>
      <c t="str" r="U691" s="6">
        <f>IF(H691="да",A691&amp;"|"&amp;C691&amp;"|"&amp;D691&amp;"|"&amp;J691,"")</f>
        <v/>
      </c>
      <c t="str" r="V691" s="6">
        <f>IF(C691="План",A691&amp;"|"&amp;J691,"")</f>
        <v/>
      </c>
    </row>
    <row r="692">
      <c r="A692" s="3" t="inlineStr">
        <is>
          <t>LUCKY &amp; S CO, Сербия</t>
        </is>
      </c>
      <c r="B692" s="3" t="inlineStr">
        <is>
          <t>Заруб</t>
        </is>
      </c>
      <c r="C692" s="3" t="inlineStr">
        <is>
          <t>Шкала</t>
        </is>
      </c>
      <c r="D692" s="3" t="inlineStr">
        <is>
          <t>Сервис (ЗЧ)</t>
        </is>
      </c>
      <c r="E692" s="3" t="inlineStr">
        <is>
          <t>Сервис (ЗЧ) — абсолютные отгрузки за 12 месяцев</t>
        </is>
      </c>
      <c r="F692" s="3" t="inlineStr">
        <is>
          <t>Скидка по сервису</t>
        </is>
      </c>
      <c r="G692" s="4" t="n">
        <v>1</v>
      </c>
      <c r="H692" s="4" t="inlineStr">
        <is>
          <t>да</t>
        </is>
      </c>
      <c r="I692" s="3" t="inlineStr">
        <is>
          <t>0–7000</t>
        </is>
      </c>
      <c r="J692" s="4" t="n">
        <v>1</v>
      </c>
      <c r="K692" s="4" t="n">
        <v>0</v>
      </c>
      <c r="L692" s="4" t="n">
        <v>7000</v>
      </c>
      <c r="M692" s="8" t="n">
        <v>0.1</v>
      </c>
      <c r="N692" s="4" t="inlineStr">
        <is>
          <t>%</t>
        </is>
      </c>
      <c r="O692" s="3" t="inlineStr">
        <is>
          <t>LUCKY &amp; S CO</t>
        </is>
      </c>
      <c r="P692" s="3" t="inlineStr">
        <is>
          <t>F24</t>
        </is>
      </c>
      <c t="str" r="Q692" s="6">
        <f>A692&amp;"|"&amp;C692&amp;"|"&amp;D692&amp;"|"&amp;G692</f>
        <v>LUCKY &amp; S CO, Сербия|Шкала|Сервис (ЗЧ)|1</v>
      </c>
      <c t="str" r="R692" s="6">
        <f>A692&amp;"|"&amp;C692&amp;"|"&amp;D692&amp;"|"&amp;J692</f>
        <v>LUCKY &amp; S CO, Сербия|Шкала|Сервис (ЗЧ)|1</v>
      </c>
      <c t="str" r="S692" s="6">
        <f>A692&amp;"|"&amp;C692&amp;"|"&amp;D692&amp;"|"&amp;G692&amp;"|"&amp;J692</f>
        <v>LUCKY &amp; S CO, Сербия|Шкала|Сервис (ЗЧ)|1|1</v>
      </c>
      <c t="str" r="T692" s="6">
        <f>A692&amp;"|"&amp;C692&amp;"|"&amp;G692</f>
        <v>LUCKY &amp; S CO, Сербия|Шкала|1</v>
      </c>
      <c t="str" r="U692" s="6">
        <f>IF(H692="да",A692&amp;"|"&amp;C692&amp;"|"&amp;D692&amp;"|"&amp;J692,"")</f>
        <v>LUCKY &amp; S CO, Сербия|Шкала|Сервис (ЗЧ)|1</v>
      </c>
      <c t="str" r="V692" s="6">
        <f>IF(C692="План",A692&amp;"|"&amp;J692,"")</f>
        <v/>
      </c>
    </row>
    <row r="693">
      <c r="A693" s="3" t="inlineStr">
        <is>
          <t>LUCKY &amp; S CO, Сербия</t>
        </is>
      </c>
      <c r="B693" s="3" t="inlineStr">
        <is>
          <t>Заруб</t>
        </is>
      </c>
      <c r="C693" s="3" t="inlineStr">
        <is>
          <t>Шкала</t>
        </is>
      </c>
      <c r="D693" s="3" t="inlineStr">
        <is>
          <t>Сервис (ЗЧ)</t>
        </is>
      </c>
      <c r="E693" s="3" t="inlineStr">
        <is>
          <t>Сервис (ЗЧ) — абсолютные отгрузки за 12 месяцев</t>
        </is>
      </c>
      <c r="F693" s="3" t="inlineStr">
        <is>
          <t>Скидка по сервису</t>
        </is>
      </c>
      <c r="G693" s="4" t="n">
        <v>1</v>
      </c>
      <c r="H693" s="4" t="inlineStr">
        <is>
          <t>да</t>
        </is>
      </c>
      <c r="I693" s="3" t="inlineStr">
        <is>
          <t>7001–19000</t>
        </is>
      </c>
      <c r="J693" s="4" t="n">
        <v>2</v>
      </c>
      <c r="K693" s="4" t="n">
        <v>7001</v>
      </c>
      <c r="L693" s="4" t="n">
        <v>19000</v>
      </c>
      <c r="M693" s="8" t="n">
        <v>0.11</v>
      </c>
      <c r="N693" s="4" t="inlineStr">
        <is>
          <t>%</t>
        </is>
      </c>
      <c r="O693" s="3" t="inlineStr">
        <is>
          <t>LUCKY &amp; S CO</t>
        </is>
      </c>
      <c r="P693" s="3" t="inlineStr">
        <is>
          <t>F25</t>
        </is>
      </c>
      <c t="str" r="Q693" s="6">
        <f>A693&amp;"|"&amp;C693&amp;"|"&amp;D693&amp;"|"&amp;G693</f>
        <v>LUCKY &amp; S CO, Сербия|Шкала|Сервис (ЗЧ)|1</v>
      </c>
      <c t="str" r="R693" s="6">
        <f>A693&amp;"|"&amp;C693&amp;"|"&amp;D693&amp;"|"&amp;J693</f>
        <v>LUCKY &amp; S CO, Сербия|Шкала|Сервис (ЗЧ)|2</v>
      </c>
      <c t="str" r="S693" s="6">
        <f>A693&amp;"|"&amp;C693&amp;"|"&amp;D693&amp;"|"&amp;G693&amp;"|"&amp;J693</f>
        <v>LUCKY &amp; S CO, Сербия|Шкала|Сервис (ЗЧ)|1|2</v>
      </c>
      <c t="str" r="T693" s="6">
        <f>A693&amp;"|"&amp;C693&amp;"|"&amp;G693</f>
        <v>LUCKY &amp; S CO, Сербия|Шкала|1</v>
      </c>
      <c t="str" r="U693" s="6">
        <f>IF(H693="да",A693&amp;"|"&amp;C693&amp;"|"&amp;D693&amp;"|"&amp;J693,"")</f>
        <v>LUCKY &amp; S CO, Сербия|Шкала|Сервис (ЗЧ)|2</v>
      </c>
      <c t="str" r="V693" s="6">
        <f>IF(C693="План",A693&amp;"|"&amp;J693,"")</f>
        <v/>
      </c>
    </row>
    <row r="694">
      <c r="A694" s="3" t="inlineStr">
        <is>
          <t>LUCKY &amp; S CO, Сербия</t>
        </is>
      </c>
      <c r="B694" s="3" t="inlineStr">
        <is>
          <t>Заруб</t>
        </is>
      </c>
      <c r="C694" s="3" t="inlineStr">
        <is>
          <t>Шкала</t>
        </is>
      </c>
      <c r="D694" s="3" t="inlineStr">
        <is>
          <t>Сервис (ЗЧ)</t>
        </is>
      </c>
      <c r="E694" s="3" t="inlineStr">
        <is>
          <t>Сервис (ЗЧ) — абсолютные отгрузки за 12 месяцев</t>
        </is>
      </c>
      <c r="F694" s="3" t="inlineStr">
        <is>
          <t>Скидка по сервису</t>
        </is>
      </c>
      <c r="G694" s="4" t="n">
        <v>1</v>
      </c>
      <c r="H694" s="4" t="inlineStr">
        <is>
          <t>да</t>
        </is>
      </c>
      <c r="I694" s="3" t="inlineStr">
        <is>
          <t>19001–24000</t>
        </is>
      </c>
      <c r="J694" s="4" t="n">
        <v>3</v>
      </c>
      <c r="K694" s="4" t="n">
        <v>19001</v>
      </c>
      <c r="L694" s="4" t="n">
        <v>24000</v>
      </c>
      <c r="M694" s="8" t="n">
        <v>0.13</v>
      </c>
      <c r="N694" s="4" t="inlineStr">
        <is>
          <t>%</t>
        </is>
      </c>
      <c r="O694" s="3" t="inlineStr">
        <is>
          <t>LUCKY &amp; S CO</t>
        </is>
      </c>
      <c r="P694" s="3" t="inlineStr">
        <is>
          <t>F26</t>
        </is>
      </c>
      <c t="str" r="Q694" s="6">
        <f>A694&amp;"|"&amp;C694&amp;"|"&amp;D694&amp;"|"&amp;G694</f>
        <v>LUCKY &amp; S CO, Сербия|Шкала|Сервис (ЗЧ)|1</v>
      </c>
      <c t="str" r="R694" s="6">
        <f>A694&amp;"|"&amp;C694&amp;"|"&amp;D694&amp;"|"&amp;J694</f>
        <v>LUCKY &amp; S CO, Сербия|Шкала|Сервис (ЗЧ)|3</v>
      </c>
      <c t="str" r="S694" s="6">
        <f>A694&amp;"|"&amp;C694&amp;"|"&amp;D694&amp;"|"&amp;G694&amp;"|"&amp;J694</f>
        <v>LUCKY &amp; S CO, Сербия|Шкала|Сервис (ЗЧ)|1|3</v>
      </c>
      <c t="str" r="T694" s="6">
        <f>A694&amp;"|"&amp;C694&amp;"|"&amp;G694</f>
        <v>LUCKY &amp; S CO, Сербия|Шкала|1</v>
      </c>
      <c t="str" r="U694" s="6">
        <f>IF(H694="да",A694&amp;"|"&amp;C694&amp;"|"&amp;D694&amp;"|"&amp;J694,"")</f>
        <v>LUCKY &amp; S CO, Сербия|Шкала|Сервис (ЗЧ)|3</v>
      </c>
      <c t="str" r="V694" s="6">
        <f>IF(C694="План",A694&amp;"|"&amp;J694,"")</f>
        <v/>
      </c>
    </row>
    <row r="695">
      <c r="A695" s="3" t="inlineStr">
        <is>
          <t>LUCKY &amp; S CO, Сербия</t>
        </is>
      </c>
      <c r="B695" s="3" t="inlineStr">
        <is>
          <t>Заруб</t>
        </is>
      </c>
      <c r="C695" s="3" t="inlineStr">
        <is>
          <t>Шкала</t>
        </is>
      </c>
      <c r="D695" s="3" t="inlineStr">
        <is>
          <t>Сервис (ЗЧ)</t>
        </is>
      </c>
      <c r="E695" s="3" t="inlineStr">
        <is>
          <t>Сервис (ЗЧ) — абсолютные отгрузки за 12 месяцев</t>
        </is>
      </c>
      <c r="F695" s="3" t="inlineStr">
        <is>
          <t>Скидка по сервису</t>
        </is>
      </c>
      <c r="G695" s="4" t="n">
        <v>1</v>
      </c>
      <c r="H695" s="4" t="inlineStr">
        <is>
          <t>да</t>
        </is>
      </c>
      <c r="I695" s="3" t="inlineStr">
        <is>
          <t>24001–28000</t>
        </is>
      </c>
      <c r="J695" s="4" t="n">
        <v>4</v>
      </c>
      <c r="K695" s="4" t="n">
        <v>24001</v>
      </c>
      <c r="L695" s="4" t="n">
        <v>28000</v>
      </c>
      <c r="M695" s="8" t="n">
        <v>0.14</v>
      </c>
      <c r="N695" s="4" t="inlineStr">
        <is>
          <t>%</t>
        </is>
      </c>
      <c r="O695" s="3" t="inlineStr">
        <is>
          <t>LUCKY &amp; S CO</t>
        </is>
      </c>
      <c r="P695" s="3" t="inlineStr">
        <is>
          <t>F27</t>
        </is>
      </c>
      <c t="str" r="Q695" s="6">
        <f>A695&amp;"|"&amp;C695&amp;"|"&amp;D695&amp;"|"&amp;G695</f>
        <v>LUCKY &amp; S CO, Сербия|Шкала|Сервис (ЗЧ)|1</v>
      </c>
      <c t="str" r="R695" s="6">
        <f>A695&amp;"|"&amp;C695&amp;"|"&amp;D695&amp;"|"&amp;J695</f>
        <v>LUCKY &amp; S CO, Сербия|Шкала|Сервис (ЗЧ)|4</v>
      </c>
      <c t="str" r="S695" s="6">
        <f>A695&amp;"|"&amp;C695&amp;"|"&amp;D695&amp;"|"&amp;G695&amp;"|"&amp;J695</f>
        <v>LUCKY &amp; S CO, Сербия|Шкала|Сервис (ЗЧ)|1|4</v>
      </c>
      <c t="str" r="T695" s="6">
        <f>A695&amp;"|"&amp;C695&amp;"|"&amp;G695</f>
        <v>LUCKY &amp; S CO, Сербия|Шкала|1</v>
      </c>
      <c t="str" r="U695" s="6">
        <f>IF(H695="да",A695&amp;"|"&amp;C695&amp;"|"&amp;D695&amp;"|"&amp;J695,"")</f>
        <v>LUCKY &amp; S CO, Сербия|Шкала|Сервис (ЗЧ)|4</v>
      </c>
      <c t="str" r="V695" s="6">
        <f>IF(C695="План",A695&amp;"|"&amp;J695,"")</f>
        <v/>
      </c>
    </row>
    <row r="696">
      <c r="A696" s="3" t="inlineStr">
        <is>
          <t>LUCKY &amp; S CO, Сербия</t>
        </is>
      </c>
      <c r="B696" s="3" t="inlineStr">
        <is>
          <t>Заруб</t>
        </is>
      </c>
      <c r="C696" s="3" t="inlineStr">
        <is>
          <t>Шкала</t>
        </is>
      </c>
      <c r="D696" s="3" t="inlineStr">
        <is>
          <t>Сервис (ЗЧ)</t>
        </is>
      </c>
      <c r="E696" s="3" t="inlineStr">
        <is>
          <t>Сервис (ЗЧ) — абсолютные отгрузки за 12 месяцев</t>
        </is>
      </c>
      <c r="F696" s="3" t="inlineStr">
        <is>
          <t>Скидка по сервису</t>
        </is>
      </c>
      <c r="G696" s="4" t="n">
        <v>1</v>
      </c>
      <c r="H696" s="4" t="inlineStr">
        <is>
          <t>да</t>
        </is>
      </c>
      <c r="I696" s="3" t="inlineStr">
        <is>
          <t>28001–40000</t>
        </is>
      </c>
      <c r="J696" s="4" t="n">
        <v>5</v>
      </c>
      <c r="K696" s="4" t="n">
        <v>28001</v>
      </c>
      <c r="L696" s="4" t="n">
        <v>40000</v>
      </c>
      <c r="M696" s="8" t="n">
        <v>0.15</v>
      </c>
      <c r="N696" s="4" t="inlineStr">
        <is>
          <t>%</t>
        </is>
      </c>
      <c r="O696" s="3" t="inlineStr">
        <is>
          <t>LUCKY &amp; S CO</t>
        </is>
      </c>
      <c r="P696" s="3" t="inlineStr">
        <is>
          <t>F28</t>
        </is>
      </c>
      <c t="str" r="Q696" s="6">
        <f>A696&amp;"|"&amp;C696&amp;"|"&amp;D696&amp;"|"&amp;G696</f>
        <v>LUCKY &amp; S CO, Сербия|Шкала|Сервис (ЗЧ)|1</v>
      </c>
      <c t="str" r="R696" s="6">
        <f>A696&amp;"|"&amp;C696&amp;"|"&amp;D696&amp;"|"&amp;J696</f>
        <v>LUCKY &amp; S CO, Сербия|Шкала|Сервис (ЗЧ)|5</v>
      </c>
      <c t="str" r="S696" s="6">
        <f>A696&amp;"|"&amp;C696&amp;"|"&amp;D696&amp;"|"&amp;G696&amp;"|"&amp;J696</f>
        <v>LUCKY &amp; S CO, Сербия|Шкала|Сервис (ЗЧ)|1|5</v>
      </c>
      <c t="str" r="T696" s="6">
        <f>A696&amp;"|"&amp;C696&amp;"|"&amp;G696</f>
        <v>LUCKY &amp; S CO, Сербия|Шкала|1</v>
      </c>
      <c t="str" r="U696" s="6">
        <f>IF(H696="да",A696&amp;"|"&amp;C696&amp;"|"&amp;D696&amp;"|"&amp;J696,"")</f>
        <v>LUCKY &amp; S CO, Сербия|Шкала|Сервис (ЗЧ)|5</v>
      </c>
      <c t="str" r="V696" s="6">
        <f>IF(C696="План",A696&amp;"|"&amp;J696,"")</f>
        <v/>
      </c>
    </row>
    <row r="697">
      <c r="A697" s="3" t="inlineStr">
        <is>
          <t>LUCKY &amp; S CO, Сербия</t>
        </is>
      </c>
      <c r="B697" s="3" t="inlineStr">
        <is>
          <t>Заруб</t>
        </is>
      </c>
      <c r="C697" s="3" t="inlineStr">
        <is>
          <t>Шкала</t>
        </is>
      </c>
      <c r="D697" s="3" t="inlineStr">
        <is>
          <t>Сервис (ЗЧ)</t>
        </is>
      </c>
      <c r="E697" s="3" t="inlineStr">
        <is>
          <t>Сервис (ЗЧ) — абсолютные отгрузки за 12 месяцев</t>
        </is>
      </c>
      <c r="F697" s="3" t="inlineStr">
        <is>
          <t>Скидка по сервису</t>
        </is>
      </c>
      <c r="G697" s="4" t="n">
        <v>1</v>
      </c>
      <c r="H697" s="4" t="inlineStr">
        <is>
          <t>да</t>
        </is>
      </c>
      <c r="I697" s="3" t="inlineStr">
        <is>
          <t>40001–48000</t>
        </is>
      </c>
      <c r="J697" s="4" t="n">
        <v>6</v>
      </c>
      <c r="K697" s="4" t="n">
        <v>40001</v>
      </c>
      <c r="L697" s="4" t="n">
        <v>48000</v>
      </c>
      <c r="M697" s="8" t="n">
        <v>0.16</v>
      </c>
      <c r="N697" s="4" t="inlineStr">
        <is>
          <t>%</t>
        </is>
      </c>
      <c r="O697" s="3" t="inlineStr">
        <is>
          <t>LUCKY &amp; S CO</t>
        </is>
      </c>
      <c r="P697" s="3" t="inlineStr">
        <is>
          <t>F29</t>
        </is>
      </c>
      <c t="str" r="Q697" s="6">
        <f>A697&amp;"|"&amp;C697&amp;"|"&amp;D697&amp;"|"&amp;G697</f>
        <v>LUCKY &amp; S CO, Сербия|Шкала|Сервис (ЗЧ)|1</v>
      </c>
      <c t="str" r="R697" s="6">
        <f>A697&amp;"|"&amp;C697&amp;"|"&amp;D697&amp;"|"&amp;J697</f>
        <v>LUCKY &amp; S CO, Сербия|Шкала|Сервис (ЗЧ)|6</v>
      </c>
      <c t="str" r="S697" s="6">
        <f>A697&amp;"|"&amp;C697&amp;"|"&amp;D697&amp;"|"&amp;G697&amp;"|"&amp;J697</f>
        <v>LUCKY &amp; S CO, Сербия|Шкала|Сервис (ЗЧ)|1|6</v>
      </c>
      <c t="str" r="T697" s="6">
        <f>A697&amp;"|"&amp;C697&amp;"|"&amp;G697</f>
        <v>LUCKY &amp; S CO, Сербия|Шкала|1</v>
      </c>
      <c t="str" r="U697" s="6">
        <f>IF(H697="да",A697&amp;"|"&amp;C697&amp;"|"&amp;D697&amp;"|"&amp;J697,"")</f>
        <v>LUCKY &amp; S CO, Сербия|Шкала|Сервис (ЗЧ)|6</v>
      </c>
      <c t="str" r="V697" s="6">
        <f>IF(C697="План",A697&amp;"|"&amp;J697,"")</f>
        <v/>
      </c>
    </row>
    <row r="698">
      <c r="A698" s="3" t="inlineStr">
        <is>
          <t>LUCKY &amp; S CO, Сербия</t>
        </is>
      </c>
      <c r="B698" s="3" t="inlineStr">
        <is>
          <t>Заруб</t>
        </is>
      </c>
      <c r="C698" s="3" t="inlineStr">
        <is>
          <t>Шкала</t>
        </is>
      </c>
      <c r="D698" s="3" t="inlineStr">
        <is>
          <t>Сервис (ЗЧ)</t>
        </is>
      </c>
      <c r="E698" s="3" t="inlineStr">
        <is>
          <t>Сервис (ЗЧ) — абсолютные отгрузки за 12 месяцев</t>
        </is>
      </c>
      <c r="F698" s="3" t="inlineStr">
        <is>
          <t>Скидка по сервису</t>
        </is>
      </c>
      <c r="G698" s="4" t="n">
        <v>1</v>
      </c>
      <c r="H698" s="4" t="inlineStr">
        <is>
          <t>да</t>
        </is>
      </c>
      <c r="I698" s="3" t="inlineStr">
        <is>
          <t>48001–60000</t>
        </is>
      </c>
      <c r="J698" s="4" t="n">
        <v>7</v>
      </c>
      <c r="K698" s="4" t="n">
        <v>48001</v>
      </c>
      <c r="L698" s="4" t="n">
        <v>60000</v>
      </c>
      <c r="M698" s="8" t="n">
        <v>0.17</v>
      </c>
      <c r="N698" s="4" t="inlineStr">
        <is>
          <t>%</t>
        </is>
      </c>
      <c r="O698" s="3" t="inlineStr">
        <is>
          <t>LUCKY &amp; S CO</t>
        </is>
      </c>
      <c r="P698" s="3" t="inlineStr">
        <is>
          <t>F30</t>
        </is>
      </c>
      <c t="str" r="Q698" s="6">
        <f>A698&amp;"|"&amp;C698&amp;"|"&amp;D698&amp;"|"&amp;G698</f>
        <v>LUCKY &amp; S CO, Сербия|Шкала|Сервис (ЗЧ)|1</v>
      </c>
      <c t="str" r="R698" s="6">
        <f>A698&amp;"|"&amp;C698&amp;"|"&amp;D698&amp;"|"&amp;J698</f>
        <v>LUCKY &amp; S CO, Сербия|Шкала|Сервис (ЗЧ)|7</v>
      </c>
      <c t="str" r="S698" s="6">
        <f>A698&amp;"|"&amp;C698&amp;"|"&amp;D698&amp;"|"&amp;G698&amp;"|"&amp;J698</f>
        <v>LUCKY &amp; S CO, Сербия|Шкала|Сервис (ЗЧ)|1|7</v>
      </c>
      <c t="str" r="T698" s="6">
        <f>A698&amp;"|"&amp;C698&amp;"|"&amp;G698</f>
        <v>LUCKY &amp; S CO, Сербия|Шкала|1</v>
      </c>
      <c t="str" r="U698" s="6">
        <f>IF(H698="да",A698&amp;"|"&amp;C698&amp;"|"&amp;D698&amp;"|"&amp;J698,"")</f>
        <v>LUCKY &amp; S CO, Сербия|Шкала|Сервис (ЗЧ)|7</v>
      </c>
      <c t="str" r="V698" s="6">
        <f>IF(C698="План",A698&amp;"|"&amp;J698,"")</f>
        <v/>
      </c>
    </row>
    <row r="699">
      <c r="A699" s="3" t="inlineStr">
        <is>
          <t>LUCKY &amp; S CO, Сербия</t>
        </is>
      </c>
      <c r="B699" s="3" t="inlineStr">
        <is>
          <t>Заруб</t>
        </is>
      </c>
      <c r="C699" s="3" t="inlineStr">
        <is>
          <t>Шкала</t>
        </is>
      </c>
      <c r="D699" s="3" t="inlineStr">
        <is>
          <t>Сервис (ЗЧ)</t>
        </is>
      </c>
      <c r="E699" s="3" t="inlineStr">
        <is>
          <t>Сервис (ЗЧ) — абсолютные отгрузки за 12 месяцев</t>
        </is>
      </c>
      <c r="F699" s="3" t="inlineStr">
        <is>
          <t>Скидка по сервису</t>
        </is>
      </c>
      <c r="G699" s="4" t="n">
        <v>1</v>
      </c>
      <c r="H699" s="4" t="inlineStr">
        <is>
          <t>да</t>
        </is>
      </c>
      <c r="I699" s="3" t="inlineStr">
        <is>
          <t>60001–75000</t>
        </is>
      </c>
      <c r="J699" s="4" t="n">
        <v>8</v>
      </c>
      <c r="K699" s="4" t="n">
        <v>60001</v>
      </c>
      <c r="L699" s="4" t="n">
        <v>75000</v>
      </c>
      <c r="M699" s="8" t="n">
        <v>0.18</v>
      </c>
      <c r="N699" s="4" t="inlineStr">
        <is>
          <t>%</t>
        </is>
      </c>
      <c r="O699" s="3" t="inlineStr">
        <is>
          <t>LUCKY &amp; S CO</t>
        </is>
      </c>
      <c r="P699" s="3" t="inlineStr">
        <is>
          <t>F31</t>
        </is>
      </c>
      <c t="str" r="Q699" s="6">
        <f>A699&amp;"|"&amp;C699&amp;"|"&amp;D699&amp;"|"&amp;G699</f>
        <v>LUCKY &amp; S CO, Сербия|Шкала|Сервис (ЗЧ)|1</v>
      </c>
      <c t="str" r="R699" s="6">
        <f>A699&amp;"|"&amp;C699&amp;"|"&amp;D699&amp;"|"&amp;J699</f>
        <v>LUCKY &amp; S CO, Сербия|Шкала|Сервис (ЗЧ)|8</v>
      </c>
      <c t="str" r="S699" s="6">
        <f>A699&amp;"|"&amp;C699&amp;"|"&amp;D699&amp;"|"&amp;G699&amp;"|"&amp;J699</f>
        <v>LUCKY &amp; S CO, Сербия|Шкала|Сервис (ЗЧ)|1|8</v>
      </c>
      <c t="str" r="T699" s="6">
        <f>A699&amp;"|"&amp;C699&amp;"|"&amp;G699</f>
        <v>LUCKY &amp; S CO, Сербия|Шкала|1</v>
      </c>
      <c t="str" r="U699" s="6">
        <f>IF(H699="да",A699&amp;"|"&amp;C699&amp;"|"&amp;D699&amp;"|"&amp;J699,"")</f>
        <v>LUCKY &amp; S CO, Сербия|Шкала|Сервис (ЗЧ)|8</v>
      </c>
      <c t="str" r="V699" s="6">
        <f>IF(C699="План",A699&amp;"|"&amp;J699,"")</f>
        <v/>
      </c>
    </row>
    <row r="700">
      <c r="A700" s="3" t="inlineStr">
        <is>
          <t>LUCKY &amp; S CO, Сербия</t>
        </is>
      </c>
      <c r="B700" s="3" t="inlineStr">
        <is>
          <t>Заруб</t>
        </is>
      </c>
      <c r="C700" s="3" t="inlineStr">
        <is>
          <t>Шкала</t>
        </is>
      </c>
      <c r="D700" s="3" t="inlineStr">
        <is>
          <t>Сервис (ЗЧ)</t>
        </is>
      </c>
      <c r="E700" s="3" t="inlineStr">
        <is>
          <t>Сервис (ЗЧ) — абсолютные отгрузки за 12 месяцев</t>
        </is>
      </c>
      <c r="F700" s="3" t="inlineStr">
        <is>
          <t>Скидка по сервису</t>
        </is>
      </c>
      <c r="G700" s="4" t="n">
        <v>1</v>
      </c>
      <c r="H700" s="4" t="inlineStr">
        <is>
          <t>да</t>
        </is>
      </c>
      <c r="I700" s="3" t="inlineStr">
        <is>
          <t>75001–90000</t>
        </is>
      </c>
      <c r="J700" s="4" t="n">
        <v>9</v>
      </c>
      <c r="K700" s="4" t="n">
        <v>75001</v>
      </c>
      <c r="L700" s="4" t="n">
        <v>90000</v>
      </c>
      <c r="M700" s="8" t="n">
        <v>0.19</v>
      </c>
      <c r="N700" s="4" t="inlineStr">
        <is>
          <t>%</t>
        </is>
      </c>
      <c r="O700" s="3" t="inlineStr">
        <is>
          <t>LUCKY &amp; S CO</t>
        </is>
      </c>
      <c r="P700" s="3" t="inlineStr">
        <is>
          <t>F32</t>
        </is>
      </c>
      <c t="str" r="Q700" s="6">
        <f>A700&amp;"|"&amp;C700&amp;"|"&amp;D700&amp;"|"&amp;G700</f>
        <v>LUCKY &amp; S CO, Сербия|Шкала|Сервис (ЗЧ)|1</v>
      </c>
      <c t="str" r="R700" s="6">
        <f>A700&amp;"|"&amp;C700&amp;"|"&amp;D700&amp;"|"&amp;J700</f>
        <v>LUCKY &amp; S CO, Сербия|Шкала|Сервис (ЗЧ)|9</v>
      </c>
      <c t="str" r="S700" s="6">
        <f>A700&amp;"|"&amp;C700&amp;"|"&amp;D700&amp;"|"&amp;G700&amp;"|"&amp;J700</f>
        <v>LUCKY &amp; S CO, Сербия|Шкала|Сервис (ЗЧ)|1|9</v>
      </c>
      <c t="str" r="T700" s="6">
        <f>A700&amp;"|"&amp;C700&amp;"|"&amp;G700</f>
        <v>LUCKY &amp; S CO, Сербия|Шкала|1</v>
      </c>
      <c t="str" r="U700" s="6">
        <f>IF(H700="да",A700&amp;"|"&amp;C700&amp;"|"&amp;D700&amp;"|"&amp;J700,"")</f>
        <v>LUCKY &amp; S CO, Сербия|Шкала|Сервис (ЗЧ)|9</v>
      </c>
      <c t="str" r="V700" s="6">
        <f>IF(C700="План",A700&amp;"|"&amp;J700,"")</f>
        <v/>
      </c>
    </row>
    <row r="701">
      <c r="A701" s="3" t="inlineStr">
        <is>
          <t>LUCKY &amp; S CO, Сербия</t>
        </is>
      </c>
      <c r="B701" s="3" t="inlineStr">
        <is>
          <t>Заруб</t>
        </is>
      </c>
      <c r="C701" s="3" t="inlineStr">
        <is>
          <t>Шкала</t>
        </is>
      </c>
      <c r="D701" s="3" t="inlineStr">
        <is>
          <t>Сервис (ЗЧ)</t>
        </is>
      </c>
      <c r="E701" s="3" t="inlineStr">
        <is>
          <t>Сервис (ЗЧ) — абсолютные отгрузки за 12 месяцев</t>
        </is>
      </c>
      <c r="F701" s="3" t="inlineStr">
        <is>
          <t>Скидка по сервису</t>
        </is>
      </c>
      <c r="G701" s="4" t="n">
        <v>1</v>
      </c>
      <c r="H701" s="4" t="inlineStr">
        <is>
          <t>да</t>
        </is>
      </c>
      <c r="I701" s="3" t="inlineStr">
        <is>
          <t>90001–105000</t>
        </is>
      </c>
      <c r="J701" s="4" t="n">
        <v>10</v>
      </c>
      <c r="K701" s="4" t="n">
        <v>90001</v>
      </c>
      <c r="L701" s="4" t="n">
        <v>105000</v>
      </c>
      <c r="M701" s="8" t="n">
        <v>0.2</v>
      </c>
      <c r="N701" s="4" t="inlineStr">
        <is>
          <t>%</t>
        </is>
      </c>
      <c r="O701" s="3" t="inlineStr">
        <is>
          <t>LUCKY &amp; S CO</t>
        </is>
      </c>
      <c r="P701" s="3" t="inlineStr">
        <is>
          <t>F33</t>
        </is>
      </c>
      <c t="str" r="Q701" s="6">
        <f>A701&amp;"|"&amp;C701&amp;"|"&amp;D701&amp;"|"&amp;G701</f>
        <v>LUCKY &amp; S CO, Сербия|Шкала|Сервис (ЗЧ)|1</v>
      </c>
      <c t="str" r="R701" s="6">
        <f>A701&amp;"|"&amp;C701&amp;"|"&amp;D701&amp;"|"&amp;J701</f>
        <v>LUCKY &amp; S CO, Сербия|Шкала|Сервис (ЗЧ)|10</v>
      </c>
      <c t="str" r="S701" s="6">
        <f>A701&amp;"|"&amp;C701&amp;"|"&amp;D701&amp;"|"&amp;G701&amp;"|"&amp;J701</f>
        <v>LUCKY &amp; S CO, Сербия|Шкала|Сервис (ЗЧ)|1|10</v>
      </c>
      <c t="str" r="T701" s="6">
        <f>A701&amp;"|"&amp;C701&amp;"|"&amp;G701</f>
        <v>LUCKY &amp; S CO, Сербия|Шкала|1</v>
      </c>
      <c t="str" r="U701" s="6">
        <f>IF(H701="да",A701&amp;"|"&amp;C701&amp;"|"&amp;D701&amp;"|"&amp;J701,"")</f>
        <v>LUCKY &amp; S CO, Сербия|Шкала|Сервис (ЗЧ)|10</v>
      </c>
      <c t="str" r="V701" s="6">
        <f>IF(C701="План",A701&amp;"|"&amp;J701,"")</f>
        <v/>
      </c>
    </row>
    <row r="702">
      <c r="A702" s="3" t="inlineStr">
        <is>
          <t>LUCKY &amp; S CO, Сербия</t>
        </is>
      </c>
      <c r="B702" s="3" t="inlineStr">
        <is>
          <t>Заруб</t>
        </is>
      </c>
      <c r="C702" s="3" t="inlineStr">
        <is>
          <t>Шкала</t>
        </is>
      </c>
      <c r="D702" s="3" t="inlineStr">
        <is>
          <t>Сервис (ЗЧ)</t>
        </is>
      </c>
      <c r="E702" s="3" t="inlineStr">
        <is>
          <t>Сервис (ЗЧ) — абсолютные отгрузки за 12 месяцев</t>
        </is>
      </c>
      <c r="F702" s="3" t="inlineStr">
        <is>
          <t>Скидка по сервису</t>
        </is>
      </c>
      <c r="G702" s="4" t="n">
        <v>1</v>
      </c>
      <c r="H702" s="4" t="inlineStr">
        <is>
          <t>да</t>
        </is>
      </c>
      <c r="I702" s="3" t="inlineStr">
        <is>
          <t>105001–115000</t>
        </is>
      </c>
      <c r="J702" s="4" t="n">
        <v>11</v>
      </c>
      <c r="K702" s="4" t="n">
        <v>105001</v>
      </c>
      <c r="L702" s="4" t="n">
        <v>115000</v>
      </c>
      <c r="M702" s="8" t="n">
        <v>0.21</v>
      </c>
      <c r="N702" s="4" t="inlineStr">
        <is>
          <t>%</t>
        </is>
      </c>
      <c r="O702" s="3" t="inlineStr">
        <is>
          <t>LUCKY &amp; S CO</t>
        </is>
      </c>
      <c r="P702" s="3" t="inlineStr">
        <is>
          <t>F34</t>
        </is>
      </c>
      <c t="str" r="Q702" s="6">
        <f>A702&amp;"|"&amp;C702&amp;"|"&amp;D702&amp;"|"&amp;G702</f>
        <v>LUCKY &amp; S CO, Сербия|Шкала|Сервис (ЗЧ)|1</v>
      </c>
      <c t="str" r="R702" s="6">
        <f>A702&amp;"|"&amp;C702&amp;"|"&amp;D702&amp;"|"&amp;J702</f>
        <v>LUCKY &amp; S CO, Сербия|Шкала|Сервис (ЗЧ)|11</v>
      </c>
      <c t="str" r="S702" s="6">
        <f>A702&amp;"|"&amp;C702&amp;"|"&amp;D702&amp;"|"&amp;G702&amp;"|"&amp;J702</f>
        <v>LUCKY &amp; S CO, Сербия|Шкала|Сервис (ЗЧ)|1|11</v>
      </c>
      <c t="str" r="T702" s="6">
        <f>A702&amp;"|"&amp;C702&amp;"|"&amp;G702</f>
        <v>LUCKY &amp; S CO, Сербия|Шкала|1</v>
      </c>
      <c t="str" r="U702" s="6">
        <f>IF(H702="да",A702&amp;"|"&amp;C702&amp;"|"&amp;D702&amp;"|"&amp;J702,"")</f>
        <v>LUCKY &amp; S CO, Сербия|Шкала|Сервис (ЗЧ)|11</v>
      </c>
      <c t="str" r="V702" s="6">
        <f>IF(C702="План",A702&amp;"|"&amp;J702,"")</f>
        <v/>
      </c>
    </row>
    <row r="703">
      <c r="A703" s="3" t="inlineStr">
        <is>
          <t>LUCKY &amp; S CO, Сербия</t>
        </is>
      </c>
      <c r="B703" s="3" t="inlineStr">
        <is>
          <t>Заруб</t>
        </is>
      </c>
      <c r="C703" s="3" t="inlineStr">
        <is>
          <t>Шкала</t>
        </is>
      </c>
      <c r="D703" s="3" t="inlineStr">
        <is>
          <t>Сервис (ЗЧ)</t>
        </is>
      </c>
      <c r="E703" s="3" t="inlineStr">
        <is>
          <t>Сервис (ЗЧ) — абсолютные отгрузки за 12 месяцев</t>
        </is>
      </c>
      <c r="F703" s="3" t="inlineStr">
        <is>
          <t>Скидка по сервису</t>
        </is>
      </c>
      <c r="G703" s="4" t="n">
        <v>1</v>
      </c>
      <c r="H703" s="4" t="inlineStr">
        <is>
          <t>да</t>
        </is>
      </c>
      <c r="I703" s="3" t="inlineStr">
        <is>
          <t>115001+</t>
        </is>
      </c>
      <c r="J703" s="4" t="n">
        <v>12</v>
      </c>
      <c r="K703" s="4" t="n">
        <v>115001</v>
      </c>
      <c r="L703" s="4" t="n">
        <v>0</v>
      </c>
      <c r="M703" s="8" t="n">
        <v>0.22</v>
      </c>
      <c r="N703" s="4" t="inlineStr">
        <is>
          <t>%</t>
        </is>
      </c>
      <c r="O703" s="3" t="inlineStr">
        <is>
          <t>LUCKY &amp; S CO</t>
        </is>
      </c>
      <c r="P703" s="3" t="inlineStr">
        <is>
          <t>F35</t>
        </is>
      </c>
      <c t="str" r="Q703" s="6">
        <f>A703&amp;"|"&amp;C703&amp;"|"&amp;D703&amp;"|"&amp;G703</f>
        <v>LUCKY &amp; S CO, Сербия|Шкала|Сервис (ЗЧ)|1</v>
      </c>
      <c t="str" r="R703" s="6">
        <f>A703&amp;"|"&amp;C703&amp;"|"&amp;D703&amp;"|"&amp;J703</f>
        <v>LUCKY &amp; S CO, Сербия|Шкала|Сервис (ЗЧ)|12</v>
      </c>
      <c t="str" r="S703" s="6">
        <f>A703&amp;"|"&amp;C703&amp;"|"&amp;D703&amp;"|"&amp;G703&amp;"|"&amp;J703</f>
        <v>LUCKY &amp; S CO, Сербия|Шкала|Сервис (ЗЧ)|1|12</v>
      </c>
      <c t="str" r="T703" s="6">
        <f>A703&amp;"|"&amp;C703&amp;"|"&amp;G703</f>
        <v>LUCKY &amp; S CO, Сербия|Шкала|1</v>
      </c>
      <c t="str" r="U703" s="6">
        <f>IF(H703="да",A703&amp;"|"&amp;C703&amp;"|"&amp;D703&amp;"|"&amp;J703,"")</f>
        <v>LUCKY &amp; S CO, Сербия|Шкала|Сервис (ЗЧ)|12</v>
      </c>
      <c t="str" r="V703" s="6">
        <f>IF(C703="План",A703&amp;"|"&amp;J703,"")</f>
        <v/>
      </c>
    </row>
    <row r="704">
      <c r="A704" s="3" t="inlineStr">
        <is>
          <t>Сейитлиев Мердан Иламанович, Туркменистан</t>
        </is>
      </c>
      <c r="B704" s="3" t="inlineStr">
        <is>
          <t>Заруб</t>
        </is>
      </c>
      <c r="C704" s="3" t="inlineStr">
        <is>
          <t>План</t>
        </is>
      </c>
      <c r="D704" s="3" t="inlineStr">
        <is>
          <t>Итого по дилеру</t>
        </is>
      </c>
      <c r="E704" s="3" t="inlineStr">
        <is>
          <t>План и бонусы</t>
        </is>
      </c>
      <c r="F704" s="3" t="inlineStr">
        <is>
          <t>Выручка 2024</t>
        </is>
      </c>
      <c r="G704" s="4" t="n">
        <v>1</v>
      </c>
      <c r="H704" s="4" t="n"/>
      <c r="I704" s="3" t="n"/>
      <c r="J704" s="4" t="n">
        <v>1</v>
      </c>
      <c r="K704" s="4" t="n"/>
      <c r="L704" s="4" t="n"/>
      <c r="M704" s="5" t="n">
        <v>358495</v>
      </c>
      <c r="N704" s="4" t="inlineStr">
        <is>
          <t>EUR</t>
        </is>
      </c>
      <c r="O704" s="3" t="inlineStr">
        <is>
          <t>Сейитлиев</t>
        </is>
      </c>
      <c r="P704" s="3" t="inlineStr">
        <is>
          <t>D4</t>
        </is>
      </c>
      <c t="str" r="Q704" s="6">
        <f>A704&amp;"|"&amp;C704&amp;"|"&amp;D704&amp;"|"&amp;G704</f>
        <v>Сейитлиев Мердан Иламанович, Туркменистан|План|Итого по дилеру|1</v>
      </c>
      <c t="str" r="R704" s="6">
        <f>A704&amp;"|"&amp;C704&amp;"|"&amp;D704&amp;"|"&amp;J704</f>
        <v>Сейитлиев Мердан Иламанович, Туркменистан|План|Итого по дилеру|1</v>
      </c>
      <c t="str" r="S704" s="6">
        <f>A704&amp;"|"&amp;C704&amp;"|"&amp;D704&amp;"|"&amp;G704&amp;"|"&amp;J704</f>
        <v>Сейитлиев Мердан Иламанович, Туркменистан|План|Итого по дилеру|1|1</v>
      </c>
      <c t="str" r="T704" s="6">
        <f>A704&amp;"|"&amp;C704&amp;"|"&amp;G704</f>
        <v>Сейитлиев Мердан Иламанович, Туркменистан|План|1</v>
      </c>
      <c t="str" r="U704" s="6">
        <f>IF(H704="да",A704&amp;"|"&amp;C704&amp;"|"&amp;D704&amp;"|"&amp;J704,"")</f>
        <v/>
      </c>
      <c t="str" r="V704" s="6">
        <f>IF(C704="План",A704&amp;"|"&amp;J704,"")</f>
        <v>Сейитлиев Мердан Иламанович, Туркменистан|1</v>
      </c>
    </row>
    <row r="705">
      <c r="A705" s="3" t="inlineStr">
        <is>
          <t>Сейитлиев Мердан Иламанович, Туркменистан</t>
        </is>
      </c>
      <c r="B705" s="3" t="inlineStr">
        <is>
          <t>Заруб</t>
        </is>
      </c>
      <c r="C705" s="3" t="inlineStr">
        <is>
          <t>План</t>
        </is>
      </c>
      <c r="D705" s="3" t="inlineStr">
        <is>
          <t>Итого по дилеру</t>
        </is>
      </c>
      <c r="E705" s="3" t="inlineStr">
        <is>
          <t>План и бонусы</t>
        </is>
      </c>
      <c r="F705" s="3" t="inlineStr">
        <is>
          <t>Выручка 2025</t>
        </is>
      </c>
      <c r="G705" s="4" t="n">
        <v>1</v>
      </c>
      <c r="H705" s="4" t="n"/>
      <c r="I705" s="3" t="n"/>
      <c r="J705" s="4" t="n">
        <v>2</v>
      </c>
      <c r="K705" s="4" t="n"/>
      <c r="L705" s="4" t="n"/>
      <c r="M705" s="5" t="n">
        <v>516525</v>
      </c>
      <c r="N705" s="4" t="inlineStr">
        <is>
          <t>EUR</t>
        </is>
      </c>
      <c r="O705" s="3" t="inlineStr">
        <is>
          <t>Сейитлиев</t>
        </is>
      </c>
      <c r="P705" s="3" t="inlineStr">
        <is>
          <t>E4</t>
        </is>
      </c>
      <c t="str" r="Q705" s="6">
        <f>A705&amp;"|"&amp;C705&amp;"|"&amp;D705&amp;"|"&amp;G705</f>
        <v>Сейитлиев Мердан Иламанович, Туркменистан|План|Итого по дилеру|1</v>
      </c>
      <c t="str" r="R705" s="6">
        <f>A705&amp;"|"&amp;C705&amp;"|"&amp;D705&amp;"|"&amp;J705</f>
        <v>Сейитлиев Мердан Иламанович, Туркменистан|План|Итого по дилеру|2</v>
      </c>
      <c t="str" r="S705" s="6">
        <f>A705&amp;"|"&amp;C705&amp;"|"&amp;D705&amp;"|"&amp;G705&amp;"|"&amp;J705</f>
        <v>Сейитлиев Мердан Иламанович, Туркменистан|План|Итого по дилеру|1|2</v>
      </c>
      <c t="str" r="T705" s="6">
        <f>A705&amp;"|"&amp;C705&amp;"|"&amp;G705</f>
        <v>Сейитлиев Мердан Иламанович, Туркменистан|План|1</v>
      </c>
      <c t="str" r="U705" s="6">
        <f>IF(H705="да",A705&amp;"|"&amp;C705&amp;"|"&amp;D705&amp;"|"&amp;J705,"")</f>
        <v/>
      </c>
      <c t="str" r="V705" s="6">
        <f>IF(C705="План",A705&amp;"|"&amp;J705,"")</f>
        <v>Сейитлиев Мердан Иламанович, Туркменистан|2</v>
      </c>
    </row>
    <row r="706">
      <c r="A706" s="3" t="inlineStr">
        <is>
          <t>Сейитлиев Мердан Иламанович, Туркменистан</t>
        </is>
      </c>
      <c r="B706" s="3" t="inlineStr">
        <is>
          <t>Заруб</t>
        </is>
      </c>
      <c r="C706" s="3" t="inlineStr">
        <is>
          <t>План</t>
        </is>
      </c>
      <c r="D706" s="3" t="inlineStr">
        <is>
          <t>Итого по дилеру</t>
        </is>
      </c>
      <c r="E706" s="3" t="inlineStr">
        <is>
          <t>План и бонусы</t>
        </is>
      </c>
      <c r="F706" s="3" t="inlineStr">
        <is>
          <t>План 2026</t>
        </is>
      </c>
      <c r="G706" s="4" t="n">
        <v>1</v>
      </c>
      <c r="H706" s="4" t="n"/>
      <c r="I706" s="3" t="n"/>
      <c r="J706" s="4" t="n">
        <v>3</v>
      </c>
      <c r="K706" s="4" t="n"/>
      <c r="L706" s="4" t="n"/>
      <c r="M706" s="5" t="n">
        <v>685000</v>
      </c>
      <c r="N706" s="4" t="inlineStr">
        <is>
          <t>EUR</t>
        </is>
      </c>
      <c r="O706" s="3" t="inlineStr">
        <is>
          <t>Сейитлиев</t>
        </is>
      </c>
      <c r="P706" s="3" t="inlineStr">
        <is>
          <t>F4</t>
        </is>
      </c>
      <c t="str" r="Q706" s="6">
        <f>A706&amp;"|"&amp;C706&amp;"|"&amp;D706&amp;"|"&amp;G706</f>
        <v>Сейитлиев Мердан Иламанович, Туркменистан|План|Итого по дилеру|1</v>
      </c>
      <c t="str" r="R706" s="6">
        <f>A706&amp;"|"&amp;C706&amp;"|"&amp;D706&amp;"|"&amp;J706</f>
        <v>Сейитлиев Мердан Иламанович, Туркменистан|План|Итого по дилеру|3</v>
      </c>
      <c t="str" r="S706" s="6">
        <f>A706&amp;"|"&amp;C706&amp;"|"&amp;D706&amp;"|"&amp;G706&amp;"|"&amp;J706</f>
        <v>Сейитлиев Мердан Иламанович, Туркменистан|План|Итого по дилеру|1|3</v>
      </c>
      <c t="str" r="T706" s="6">
        <f>A706&amp;"|"&amp;C706&amp;"|"&amp;G706</f>
        <v>Сейитлиев Мердан Иламанович, Туркменистан|План|1</v>
      </c>
      <c t="str" r="U706" s="6">
        <f>IF(H706="да",A706&amp;"|"&amp;C706&amp;"|"&amp;D706&amp;"|"&amp;J706,"")</f>
        <v/>
      </c>
      <c t="str" r="V706" s="6">
        <f>IF(C706="План",A706&amp;"|"&amp;J706,"")</f>
        <v>Сейитлиев Мердан Иламанович, Туркменистан|3</v>
      </c>
    </row>
    <row r="707">
      <c r="A707" s="3" t="inlineStr">
        <is>
          <t>Сейитлиев Мердан Иламанович, Туркменистан</t>
        </is>
      </c>
      <c r="B707" s="3" t="inlineStr">
        <is>
          <t>Заруб</t>
        </is>
      </c>
      <c r="C707" s="3" t="inlineStr">
        <is>
          <t>План</t>
        </is>
      </c>
      <c r="D707" s="3" t="inlineStr">
        <is>
          <t>Итого по дилеру</t>
        </is>
      </c>
      <c r="E707" s="3" t="inlineStr">
        <is>
          <t>План и бонусы</t>
        </is>
      </c>
      <c r="F707" s="3" t="inlineStr">
        <is>
          <t>Прирост П/Ф</t>
        </is>
      </c>
      <c r="G707" s="4" t="n">
        <v>1</v>
      </c>
      <c r="H707" s="4" t="n"/>
      <c r="I707" s="3" t="n"/>
      <c r="J707" s="4" t="n">
        <v>4</v>
      </c>
      <c r="K707" s="4" t="n"/>
      <c r="L707" s="4" t="n"/>
      <c r="M707" s="7" t="n">
        <v>0.3261700788925996</v>
      </c>
      <c r="N707" s="4" t="inlineStr">
        <is>
          <t>%</t>
        </is>
      </c>
      <c r="O707" s="3" t="inlineStr">
        <is>
          <t>Сейитлиев</t>
        </is>
      </c>
      <c r="P707" s="3" t="inlineStr">
        <is>
          <t>G4</t>
        </is>
      </c>
      <c t="str" r="Q707" s="6">
        <f>A707&amp;"|"&amp;C707&amp;"|"&amp;D707&amp;"|"&amp;G707</f>
        <v>Сейитлиев Мердан Иламанович, Туркменистан|План|Итого по дилеру|1</v>
      </c>
      <c t="str" r="R707" s="6">
        <f>A707&amp;"|"&amp;C707&amp;"|"&amp;D707&amp;"|"&amp;J707</f>
        <v>Сейитлиев Мердан Иламанович, Туркменистан|План|Итого по дилеру|4</v>
      </c>
      <c t="str" r="S707" s="6">
        <f>A707&amp;"|"&amp;C707&amp;"|"&amp;D707&amp;"|"&amp;G707&amp;"|"&amp;J707</f>
        <v>Сейитлиев Мердан Иламанович, Туркменистан|План|Итого по дилеру|1|4</v>
      </c>
      <c t="str" r="T707" s="6">
        <f>A707&amp;"|"&amp;C707&amp;"|"&amp;G707</f>
        <v>Сейитлиев Мердан Иламанович, Туркменистан|План|1</v>
      </c>
      <c t="str" r="U707" s="6">
        <f>IF(H707="да",A707&amp;"|"&amp;C707&amp;"|"&amp;D707&amp;"|"&amp;J707,"")</f>
        <v/>
      </c>
      <c t="str" r="V707" s="6">
        <f>IF(C707="План",A707&amp;"|"&amp;J707,"")</f>
        <v>Сейитлиев Мердан Иламанович, Туркменистан|4</v>
      </c>
    </row>
    <row r="708">
      <c r="A708" s="3" t="inlineStr">
        <is>
          <t>Сейитлиев Мердан Иламанович, Туркменистан</t>
        </is>
      </c>
      <c r="B708" s="3" t="inlineStr">
        <is>
          <t>Заруб</t>
        </is>
      </c>
      <c r="C708" s="3" t="inlineStr">
        <is>
          <t>План</t>
        </is>
      </c>
      <c r="D708" s="3" t="inlineStr">
        <is>
          <t>Сервис</t>
        </is>
      </c>
      <c r="E708" s="3" t="inlineStr">
        <is>
          <t>План и бонусы</t>
        </is>
      </c>
      <c r="F708" s="3" t="inlineStr">
        <is>
          <t>Выручка 2024</t>
        </is>
      </c>
      <c r="G708" s="4" t="n">
        <v>2</v>
      </c>
      <c r="H708" s="4" t="n"/>
      <c r="I708" s="3" t="n"/>
      <c r="J708" s="4" t="n">
        <v>1</v>
      </c>
      <c r="K708" s="4" t="n"/>
      <c r="L708" s="4" t="n"/>
      <c r="M708" s="5" t="n">
        <v>25898</v>
      </c>
      <c r="N708" s="4" t="inlineStr">
        <is>
          <t>EUR</t>
        </is>
      </c>
      <c r="O708" s="3" t="inlineStr">
        <is>
          <t>Сейитлиев</t>
        </is>
      </c>
      <c r="P708" s="3" t="inlineStr">
        <is>
          <t>D5</t>
        </is>
      </c>
      <c t="str" r="Q708" s="6">
        <f>A708&amp;"|"&amp;C708&amp;"|"&amp;D708&amp;"|"&amp;G708</f>
        <v>Сейитлиев Мердан Иламанович, Туркменистан|План|Сервис|2</v>
      </c>
      <c t="str" r="R708" s="6">
        <f>A708&amp;"|"&amp;C708&amp;"|"&amp;D708&amp;"|"&amp;J708</f>
        <v>Сейитлиев Мердан Иламанович, Туркменистан|План|Сервис|1</v>
      </c>
      <c t="str" r="S708" s="6">
        <f>A708&amp;"|"&amp;C708&amp;"|"&amp;D708&amp;"|"&amp;G708&amp;"|"&amp;J708</f>
        <v>Сейитлиев Мердан Иламанович, Туркменистан|План|Сервис|2|1</v>
      </c>
      <c t="str" r="T708" s="6">
        <f>A708&amp;"|"&amp;C708&amp;"|"&amp;G708</f>
        <v>Сейитлиев Мердан Иламанович, Туркменистан|План|2</v>
      </c>
      <c t="str" r="U708" s="6">
        <f>IF(H708="да",A708&amp;"|"&amp;C708&amp;"|"&amp;D708&amp;"|"&amp;J708,"")</f>
        <v/>
      </c>
      <c t="str" r="V708" s="6">
        <f>IF(C708="План",A708&amp;"|"&amp;J708,"")</f>
        <v>Сейитлиев Мердан Иламанович, Туркменистан|1</v>
      </c>
    </row>
    <row r="709">
      <c r="A709" s="3" t="inlineStr">
        <is>
          <t>Сейитлиев Мердан Иламанович, Туркменистан</t>
        </is>
      </c>
      <c r="B709" s="3" t="inlineStr">
        <is>
          <t>Заруб</t>
        </is>
      </c>
      <c r="C709" s="3" t="inlineStr">
        <is>
          <t>План</t>
        </is>
      </c>
      <c r="D709" s="3" t="inlineStr">
        <is>
          <t>Сервис</t>
        </is>
      </c>
      <c r="E709" s="3" t="inlineStr">
        <is>
          <t>План и бонусы</t>
        </is>
      </c>
      <c r="F709" s="3" t="inlineStr">
        <is>
          <t>Выручка 2025</t>
        </is>
      </c>
      <c r="G709" s="4" t="n">
        <v>2</v>
      </c>
      <c r="H709" s="4" t="n"/>
      <c r="I709" s="3" t="n"/>
      <c r="J709" s="4" t="n">
        <v>2</v>
      </c>
      <c r="K709" s="4" t="n"/>
      <c r="L709" s="4" t="n"/>
      <c r="M709" s="5" t="n">
        <v>33608</v>
      </c>
      <c r="N709" s="4" t="inlineStr">
        <is>
          <t>EUR</t>
        </is>
      </c>
      <c r="O709" s="3" t="inlineStr">
        <is>
          <t>Сейитлиев</t>
        </is>
      </c>
      <c r="P709" s="3" t="inlineStr">
        <is>
          <t>E5</t>
        </is>
      </c>
      <c t="str" r="Q709" s="6">
        <f>A709&amp;"|"&amp;C709&amp;"|"&amp;D709&amp;"|"&amp;G709</f>
        <v>Сейитлиев Мердан Иламанович, Туркменистан|План|Сервис|2</v>
      </c>
      <c t="str" r="R709" s="6">
        <f>A709&amp;"|"&amp;C709&amp;"|"&amp;D709&amp;"|"&amp;J709</f>
        <v>Сейитлиев Мердан Иламанович, Туркменистан|План|Сервис|2</v>
      </c>
      <c t="str" r="S709" s="6">
        <f>A709&amp;"|"&amp;C709&amp;"|"&amp;D709&amp;"|"&amp;G709&amp;"|"&amp;J709</f>
        <v>Сейитлиев Мердан Иламанович, Туркменистан|План|Сервис|2|2</v>
      </c>
      <c t="str" r="T709" s="6">
        <f>A709&amp;"|"&amp;C709&amp;"|"&amp;G709</f>
        <v>Сейитлиев Мердан Иламанович, Туркменистан|План|2</v>
      </c>
      <c t="str" r="U709" s="6">
        <f>IF(H709="да",A709&amp;"|"&amp;C709&amp;"|"&amp;D709&amp;"|"&amp;J709,"")</f>
        <v/>
      </c>
      <c t="str" r="V709" s="6">
        <f>IF(C709="План",A709&amp;"|"&amp;J709,"")</f>
        <v>Сейитлиев Мердан Иламанович, Туркменистан|2</v>
      </c>
    </row>
    <row r="710">
      <c r="A710" s="3" t="inlineStr">
        <is>
          <t>Сейитлиев Мердан Иламанович, Туркменистан</t>
        </is>
      </c>
      <c r="B710" s="3" t="inlineStr">
        <is>
          <t>Заруб</t>
        </is>
      </c>
      <c r="C710" s="3" t="inlineStr">
        <is>
          <t>План</t>
        </is>
      </c>
      <c r="D710" s="3" t="inlineStr">
        <is>
          <t>Сервис</t>
        </is>
      </c>
      <c r="E710" s="3" t="inlineStr">
        <is>
          <t>План и бонусы</t>
        </is>
      </c>
      <c r="F710" s="3" t="inlineStr">
        <is>
          <t>План 2026</t>
        </is>
      </c>
      <c r="G710" s="4" t="n">
        <v>2</v>
      </c>
      <c r="H710" s="4" t="n"/>
      <c r="I710" s="3" t="n"/>
      <c r="J710" s="4" t="n">
        <v>3</v>
      </c>
      <c r="K710" s="4" t="n"/>
      <c r="L710" s="4" t="n"/>
      <c r="M710" s="5" t="n">
        <v>50000</v>
      </c>
      <c r="N710" s="4" t="inlineStr">
        <is>
          <t>EUR</t>
        </is>
      </c>
      <c r="O710" s="3" t="inlineStr">
        <is>
          <t>Сейитлиев</t>
        </is>
      </c>
      <c r="P710" s="3" t="inlineStr">
        <is>
          <t>F5</t>
        </is>
      </c>
      <c t="str" r="Q710" s="6">
        <f>A710&amp;"|"&amp;C710&amp;"|"&amp;D710&amp;"|"&amp;G710</f>
        <v>Сейитлиев Мердан Иламанович, Туркменистан|План|Сервис|2</v>
      </c>
      <c t="str" r="R710" s="6">
        <f>A710&amp;"|"&amp;C710&amp;"|"&amp;D710&amp;"|"&amp;J710</f>
        <v>Сейитлиев Мердан Иламанович, Туркменистан|План|Сервис|3</v>
      </c>
      <c t="str" r="S710" s="6">
        <f>A710&amp;"|"&amp;C710&amp;"|"&amp;D710&amp;"|"&amp;G710&amp;"|"&amp;J710</f>
        <v>Сейитлиев Мердан Иламанович, Туркменистан|План|Сервис|2|3</v>
      </c>
      <c t="str" r="T710" s="6">
        <f>A710&amp;"|"&amp;C710&amp;"|"&amp;G710</f>
        <v>Сейитлиев Мердан Иламанович, Туркменистан|План|2</v>
      </c>
      <c t="str" r="U710" s="6">
        <f>IF(H710="да",A710&amp;"|"&amp;C710&amp;"|"&amp;D710&amp;"|"&amp;J710,"")</f>
        <v/>
      </c>
      <c t="str" r="V710" s="6">
        <f>IF(C710="План",A710&amp;"|"&amp;J710,"")</f>
        <v>Сейитлиев Мердан Иламанович, Туркменистан|3</v>
      </c>
    </row>
    <row r="711">
      <c r="A711" s="3" t="inlineStr">
        <is>
          <t>Сейитлиев Мердан Иламанович, Туркменистан</t>
        </is>
      </c>
      <c r="B711" s="3" t="inlineStr">
        <is>
          <t>Заруб</t>
        </is>
      </c>
      <c r="C711" s="3" t="inlineStr">
        <is>
          <t>План</t>
        </is>
      </c>
      <c r="D711" s="3" t="inlineStr">
        <is>
          <t>Сервис</t>
        </is>
      </c>
      <c r="E711" s="3" t="inlineStr">
        <is>
          <t>План и бонусы</t>
        </is>
      </c>
      <c r="F711" s="3" t="inlineStr">
        <is>
          <t>Размер бонуса по итогам 2026 г</t>
        </is>
      </c>
      <c r="G711" s="4" t="n">
        <v>2</v>
      </c>
      <c r="H711" s="4" t="n"/>
      <c r="I711" s="3" t="n"/>
      <c r="J711" s="4" t="n">
        <v>5</v>
      </c>
      <c r="K711" s="4" t="n"/>
      <c r="L711" s="4" t="n"/>
      <c r="M711" s="7" t="n">
        <v>0.01</v>
      </c>
      <c r="N711" s="4" t="inlineStr">
        <is>
          <t>%</t>
        </is>
      </c>
      <c r="O711" s="3" t="inlineStr">
        <is>
          <t>Сейитлиев</t>
        </is>
      </c>
      <c r="P711" s="3" t="inlineStr">
        <is>
          <t>H5</t>
        </is>
      </c>
      <c t="str" r="Q711" s="6">
        <f>A711&amp;"|"&amp;C711&amp;"|"&amp;D711&amp;"|"&amp;G711</f>
        <v>Сейитлиев Мердан Иламанович, Туркменистан|План|Сервис|2</v>
      </c>
      <c t="str" r="R711" s="6">
        <f>A711&amp;"|"&amp;C711&amp;"|"&amp;D711&amp;"|"&amp;J711</f>
        <v>Сейитлиев Мердан Иламанович, Туркменистан|План|Сервис|5</v>
      </c>
      <c t="str" r="S711" s="6">
        <f>A711&amp;"|"&amp;C711&amp;"|"&amp;D711&amp;"|"&amp;G711&amp;"|"&amp;J711</f>
        <v>Сейитлиев Мердан Иламанович, Туркменистан|План|Сервис|2|5</v>
      </c>
      <c t="str" r="T711" s="6">
        <f>A711&amp;"|"&amp;C711&amp;"|"&amp;G711</f>
        <v>Сейитлиев Мердан Иламанович, Туркменистан|План|2</v>
      </c>
      <c t="str" r="U711" s="6">
        <f>IF(H711="да",A711&amp;"|"&amp;C711&amp;"|"&amp;D711&amp;"|"&amp;J711,"")</f>
        <v/>
      </c>
      <c t="str" r="V711" s="6">
        <f>IF(C711="План",A711&amp;"|"&amp;J711,"")</f>
        <v>Сейитлиев Мердан Иламанович, Туркменистан|5</v>
      </c>
    </row>
    <row r="712">
      <c r="A712" s="3" t="inlineStr">
        <is>
          <t>Сейитлиев Мердан Иламанович, Туркменистан</t>
        </is>
      </c>
      <c r="B712" s="3" t="inlineStr">
        <is>
          <t>Заруб</t>
        </is>
      </c>
      <c r="C712" s="3" t="inlineStr">
        <is>
          <t>План</t>
        </is>
      </c>
      <c r="D712" s="3" t="inlineStr">
        <is>
          <t>Сервис</t>
        </is>
      </c>
      <c r="E712" s="3" t="inlineStr">
        <is>
          <t>План и бонусы</t>
        </is>
      </c>
      <c r="F712" s="3" t="inlineStr">
        <is>
          <t>Скидка в 1 кв. 2026 ф.г.*</t>
        </is>
      </c>
      <c r="G712" s="4" t="n">
        <v>2</v>
      </c>
      <c r="H712" s="4" t="n"/>
      <c r="I712" s="3" t="n"/>
      <c r="J712" s="4" t="n">
        <v>6</v>
      </c>
      <c r="K712" s="4" t="n"/>
      <c r="L712" s="4" t="n"/>
      <c r="M712" s="8" t="n">
        <v>0.15</v>
      </c>
      <c r="N712" s="4" t="inlineStr">
        <is>
          <t>%</t>
        </is>
      </c>
      <c r="O712" s="3" t="inlineStr">
        <is>
          <t>Сейитлиев</t>
        </is>
      </c>
      <c r="P712" s="3" t="inlineStr">
        <is>
          <t>I5</t>
        </is>
      </c>
      <c t="str" r="Q712" s="6">
        <f>A712&amp;"|"&amp;C712&amp;"|"&amp;D712&amp;"|"&amp;G712</f>
        <v>Сейитлиев Мердан Иламанович, Туркменистан|План|Сервис|2</v>
      </c>
      <c t="str" r="R712" s="6">
        <f>A712&amp;"|"&amp;C712&amp;"|"&amp;D712&amp;"|"&amp;J712</f>
        <v>Сейитлиев Мердан Иламанович, Туркменистан|План|Сервис|6</v>
      </c>
      <c t="str" r="S712" s="6">
        <f>A712&amp;"|"&amp;C712&amp;"|"&amp;D712&amp;"|"&amp;G712&amp;"|"&amp;J712</f>
        <v>Сейитлиев Мердан Иламанович, Туркменистан|План|Сервис|2|6</v>
      </c>
      <c t="str" r="T712" s="6">
        <f>A712&amp;"|"&amp;C712&amp;"|"&amp;G712</f>
        <v>Сейитлиев Мердан Иламанович, Туркменистан|План|2</v>
      </c>
      <c t="str" r="U712" s="6">
        <f>IF(H712="да",A712&amp;"|"&amp;C712&amp;"|"&amp;D712&amp;"|"&amp;J712,"")</f>
        <v/>
      </c>
      <c t="str" r="V712" s="6">
        <f>IF(C712="План",A712&amp;"|"&amp;J712,"")</f>
        <v>Сейитлиев Мердан Иламанович, Туркменистан|6</v>
      </c>
    </row>
    <row r="713">
      <c r="A713" s="3" t="inlineStr">
        <is>
          <t>Сейитлиев Мердан Иламанович, Туркменистан</t>
        </is>
      </c>
      <c r="B713" s="3" t="inlineStr">
        <is>
          <t>Заруб</t>
        </is>
      </c>
      <c r="C713" s="3" t="inlineStr">
        <is>
          <t>План</t>
        </is>
      </c>
      <c r="D713" s="3" t="inlineStr">
        <is>
          <t>Оборудование</t>
        </is>
      </c>
      <c r="E713" s="3" t="inlineStr">
        <is>
          <t>План и бонусы</t>
        </is>
      </c>
      <c r="F713" s="3" t="inlineStr">
        <is>
          <t>Выручка 2024</t>
        </is>
      </c>
      <c r="G713" s="4" t="n">
        <v>3</v>
      </c>
      <c r="H713" s="4" t="n"/>
      <c r="I713" s="3" t="n"/>
      <c r="J713" s="4" t="n">
        <v>1</v>
      </c>
      <c r="K713" s="4" t="n"/>
      <c r="L713" s="4" t="n"/>
      <c r="M713" s="5" t="n">
        <v>26255</v>
      </c>
      <c r="N713" s="4" t="inlineStr">
        <is>
          <t>EUR</t>
        </is>
      </c>
      <c r="O713" s="3" t="inlineStr">
        <is>
          <t>Сейитлиев</t>
        </is>
      </c>
      <c r="P713" s="3" t="inlineStr">
        <is>
          <t>D6</t>
        </is>
      </c>
      <c t="str" r="Q713" s="6">
        <f>A713&amp;"|"&amp;C713&amp;"|"&amp;D713&amp;"|"&amp;G713</f>
        <v>Сейитлиев Мердан Иламанович, Туркменистан|План|Оборудование|3</v>
      </c>
      <c t="str" r="R713" s="6">
        <f>A713&amp;"|"&amp;C713&amp;"|"&amp;D713&amp;"|"&amp;J713</f>
        <v>Сейитлиев Мердан Иламанович, Туркменистан|План|Оборудование|1</v>
      </c>
      <c t="str" r="S713" s="6">
        <f>A713&amp;"|"&amp;C713&amp;"|"&amp;D713&amp;"|"&amp;G713&amp;"|"&amp;J713</f>
        <v>Сейитлиев Мердан Иламанович, Туркменистан|План|Оборудование|3|1</v>
      </c>
      <c t="str" r="T713" s="6">
        <f>A713&amp;"|"&amp;C713&amp;"|"&amp;G713</f>
        <v>Сейитлиев Мердан Иламанович, Туркменистан|План|3</v>
      </c>
      <c t="str" r="U713" s="6">
        <f>IF(H713="да",A713&amp;"|"&amp;C713&amp;"|"&amp;D713&amp;"|"&amp;J713,"")</f>
        <v/>
      </c>
      <c t="str" r="V713" s="6">
        <f>IF(C713="План",A713&amp;"|"&amp;J713,"")</f>
        <v>Сейитлиев Мердан Иламанович, Туркменистан|1</v>
      </c>
    </row>
    <row r="714">
      <c r="A714" s="3" t="inlineStr">
        <is>
          <t>Сейитлиев Мердан Иламанович, Туркменистан</t>
        </is>
      </c>
      <c r="B714" s="3" t="inlineStr">
        <is>
          <t>Заруб</t>
        </is>
      </c>
      <c r="C714" s="3" t="inlineStr">
        <is>
          <t>План</t>
        </is>
      </c>
      <c r="D714" s="3" t="inlineStr">
        <is>
          <t>Оборудование</t>
        </is>
      </c>
      <c r="E714" s="3" t="inlineStr">
        <is>
          <t>План и бонусы</t>
        </is>
      </c>
      <c r="F714" s="3" t="inlineStr">
        <is>
          <t>Выручка 2025</t>
        </is>
      </c>
      <c r="G714" s="4" t="n">
        <v>3</v>
      </c>
      <c r="H714" s="4" t="n"/>
      <c r="I714" s="3" t="n"/>
      <c r="J714" s="4" t="n">
        <v>2</v>
      </c>
      <c r="K714" s="4" t="n"/>
      <c r="L714" s="4" t="n"/>
      <c r="M714" s="5" t="n">
        <v>53960</v>
      </c>
      <c r="N714" s="4" t="inlineStr">
        <is>
          <t>EUR</t>
        </is>
      </c>
      <c r="O714" s="3" t="inlineStr">
        <is>
          <t>Сейитлиев</t>
        </is>
      </c>
      <c r="P714" s="3" t="inlineStr">
        <is>
          <t>E6</t>
        </is>
      </c>
      <c t="str" r="Q714" s="6">
        <f>A714&amp;"|"&amp;C714&amp;"|"&amp;D714&amp;"|"&amp;G714</f>
        <v>Сейитлиев Мердан Иламанович, Туркменистан|План|Оборудование|3</v>
      </c>
      <c t="str" r="R714" s="6">
        <f>A714&amp;"|"&amp;C714&amp;"|"&amp;D714&amp;"|"&amp;J714</f>
        <v>Сейитлиев Мердан Иламанович, Туркменистан|План|Оборудование|2</v>
      </c>
      <c t="str" r="S714" s="6">
        <f>A714&amp;"|"&amp;C714&amp;"|"&amp;D714&amp;"|"&amp;G714&amp;"|"&amp;J714</f>
        <v>Сейитлиев Мердан Иламанович, Туркменистан|План|Оборудование|3|2</v>
      </c>
      <c t="str" r="T714" s="6">
        <f>A714&amp;"|"&amp;C714&amp;"|"&amp;G714</f>
        <v>Сейитлиев Мердан Иламанович, Туркменистан|План|3</v>
      </c>
      <c t="str" r="U714" s="6">
        <f>IF(H714="да",A714&amp;"|"&amp;C714&amp;"|"&amp;D714&amp;"|"&amp;J714,"")</f>
        <v/>
      </c>
      <c t="str" r="V714" s="6">
        <f>IF(C714="План",A714&amp;"|"&amp;J714,"")</f>
        <v>Сейитлиев Мердан Иламанович, Туркменистан|2</v>
      </c>
    </row>
    <row r="715">
      <c r="A715" s="3" t="inlineStr">
        <is>
          <t>Сейитлиев Мердан Иламанович, Туркменистан</t>
        </is>
      </c>
      <c r="B715" s="3" t="inlineStr">
        <is>
          <t>Заруб</t>
        </is>
      </c>
      <c r="C715" s="3" t="inlineStr">
        <is>
          <t>План</t>
        </is>
      </c>
      <c r="D715" s="3" t="inlineStr">
        <is>
          <t>Оборудование</t>
        </is>
      </c>
      <c r="E715" s="3" t="inlineStr">
        <is>
          <t>План и бонусы</t>
        </is>
      </c>
      <c r="F715" s="3" t="inlineStr">
        <is>
          <t>План 2026</t>
        </is>
      </c>
      <c r="G715" s="4" t="n">
        <v>3</v>
      </c>
      <c r="H715" s="4" t="n"/>
      <c r="I715" s="3" t="n"/>
      <c r="J715" s="4" t="n">
        <v>3</v>
      </c>
      <c r="K715" s="4" t="n"/>
      <c r="L715" s="4" t="n"/>
      <c r="M715" s="5" t="n">
        <v>75000</v>
      </c>
      <c r="N715" s="4" t="inlineStr">
        <is>
          <t>EUR</t>
        </is>
      </c>
      <c r="O715" s="3" t="inlineStr">
        <is>
          <t>Сейитлиев</t>
        </is>
      </c>
      <c r="P715" s="3" t="inlineStr">
        <is>
          <t>F6</t>
        </is>
      </c>
      <c t="str" r="Q715" s="6">
        <f>A715&amp;"|"&amp;C715&amp;"|"&amp;D715&amp;"|"&amp;G715</f>
        <v>Сейитлиев Мердан Иламанович, Туркменистан|План|Оборудование|3</v>
      </c>
      <c t="str" r="R715" s="6">
        <f>A715&amp;"|"&amp;C715&amp;"|"&amp;D715&amp;"|"&amp;J715</f>
        <v>Сейитлиев Мердан Иламанович, Туркменистан|План|Оборудование|3</v>
      </c>
      <c t="str" r="S715" s="6">
        <f>A715&amp;"|"&amp;C715&amp;"|"&amp;D715&amp;"|"&amp;G715&amp;"|"&amp;J715</f>
        <v>Сейитлиев Мердан Иламанович, Туркменистан|План|Оборудование|3|3</v>
      </c>
      <c t="str" r="T715" s="6">
        <f>A715&amp;"|"&amp;C715&amp;"|"&amp;G715</f>
        <v>Сейитлиев Мердан Иламанович, Туркменистан|План|3</v>
      </c>
      <c t="str" r="U715" s="6">
        <f>IF(H715="да",A715&amp;"|"&amp;C715&amp;"|"&amp;D715&amp;"|"&amp;J715,"")</f>
        <v/>
      </c>
      <c t="str" r="V715" s="6">
        <f>IF(C715="План",A715&amp;"|"&amp;J715,"")</f>
        <v>Сейитлиев Мердан Иламанович, Туркменистан|3</v>
      </c>
    </row>
    <row r="716">
      <c r="A716" s="3" t="inlineStr">
        <is>
          <t>Сейитлиев Мердан Иламанович, Туркменистан</t>
        </is>
      </c>
      <c r="B716" s="3" t="inlineStr">
        <is>
          <t>Заруб</t>
        </is>
      </c>
      <c r="C716" s="3" t="inlineStr">
        <is>
          <t>План</t>
        </is>
      </c>
      <c r="D716" s="3" t="inlineStr">
        <is>
          <t>Оборудование</t>
        </is>
      </c>
      <c r="E716" s="3" t="inlineStr">
        <is>
          <t>План и бонусы</t>
        </is>
      </c>
      <c r="F716" s="3" t="inlineStr">
        <is>
          <t>Размер бонуса по итогам 2026 г</t>
        </is>
      </c>
      <c r="G716" s="4" t="n">
        <v>3</v>
      </c>
      <c r="H716" s="4" t="n"/>
      <c r="I716" s="3" t="n"/>
      <c r="J716" s="4" t="n">
        <v>5</v>
      </c>
      <c r="K716" s="4" t="n"/>
      <c r="L716" s="4" t="n"/>
      <c r="M716" s="7" t="n">
        <v>0.015</v>
      </c>
      <c r="N716" s="4" t="inlineStr">
        <is>
          <t>%</t>
        </is>
      </c>
      <c r="O716" s="3" t="inlineStr">
        <is>
          <t>Сейитлиев</t>
        </is>
      </c>
      <c r="P716" s="3" t="inlineStr">
        <is>
          <t>H6</t>
        </is>
      </c>
      <c t="str" r="Q716" s="6">
        <f>A716&amp;"|"&amp;C716&amp;"|"&amp;D716&amp;"|"&amp;G716</f>
        <v>Сейитлиев Мердан Иламанович, Туркменистан|План|Оборудование|3</v>
      </c>
      <c t="str" r="R716" s="6">
        <f>A716&amp;"|"&amp;C716&amp;"|"&amp;D716&amp;"|"&amp;J716</f>
        <v>Сейитлиев Мердан Иламанович, Туркменистан|План|Оборудование|5</v>
      </c>
      <c t="str" r="S716" s="6">
        <f>A716&amp;"|"&amp;C716&amp;"|"&amp;D716&amp;"|"&amp;G716&amp;"|"&amp;J716</f>
        <v>Сейитлиев Мердан Иламанович, Туркменистан|План|Оборудование|3|5</v>
      </c>
      <c t="str" r="T716" s="6">
        <f>A716&amp;"|"&amp;C716&amp;"|"&amp;G716</f>
        <v>Сейитлиев Мердан Иламанович, Туркменистан|План|3</v>
      </c>
      <c t="str" r="U716" s="6">
        <f>IF(H716="да",A716&amp;"|"&amp;C716&amp;"|"&amp;D716&amp;"|"&amp;J716,"")</f>
        <v/>
      </c>
      <c t="str" r="V716" s="6">
        <f>IF(C716="План",A716&amp;"|"&amp;J716,"")</f>
        <v>Сейитлиев Мердан Иламанович, Туркменистан|5</v>
      </c>
    </row>
    <row r="717">
      <c r="A717" s="3" t="inlineStr">
        <is>
          <t>Сейитлиев Мердан Иламанович, Туркменистан</t>
        </is>
      </c>
      <c r="B717" s="3" t="inlineStr">
        <is>
          <t>Заруб</t>
        </is>
      </c>
      <c r="C717" s="3" t="inlineStr">
        <is>
          <t>План</t>
        </is>
      </c>
      <c r="D717" s="3" t="inlineStr">
        <is>
          <t>Оборудование</t>
        </is>
      </c>
      <c r="E717" s="3" t="inlineStr">
        <is>
          <t>План и бонусы</t>
        </is>
      </c>
      <c r="F717" s="3" t="inlineStr">
        <is>
          <t>Скидка в 1 кв. 2026 ф.г.*</t>
        </is>
      </c>
      <c r="G717" s="4" t="n">
        <v>3</v>
      </c>
      <c r="H717" s="4" t="n"/>
      <c r="I717" s="3" t="n"/>
      <c r="J717" s="4" t="n">
        <v>6</v>
      </c>
      <c r="K717" s="4" t="n"/>
      <c r="L717" s="4" t="n"/>
      <c r="M717" s="8" t="n">
        <v>0.16</v>
      </c>
      <c r="N717" s="4" t="inlineStr">
        <is>
          <t>%</t>
        </is>
      </c>
      <c r="O717" s="3" t="inlineStr">
        <is>
          <t>Сейитлиев</t>
        </is>
      </c>
      <c r="P717" s="3" t="inlineStr">
        <is>
          <t>I6</t>
        </is>
      </c>
      <c t="str" r="Q717" s="6">
        <f>A717&amp;"|"&amp;C717&amp;"|"&amp;D717&amp;"|"&amp;G717</f>
        <v>Сейитлиев Мердан Иламанович, Туркменистан|План|Оборудование|3</v>
      </c>
      <c t="str" r="R717" s="6">
        <f>A717&amp;"|"&amp;C717&amp;"|"&amp;D717&amp;"|"&amp;J717</f>
        <v>Сейитлиев Мердан Иламанович, Туркменистан|План|Оборудование|6</v>
      </c>
      <c t="str" r="S717" s="6">
        <f>A717&amp;"|"&amp;C717&amp;"|"&amp;D717&amp;"|"&amp;G717&amp;"|"&amp;J717</f>
        <v>Сейитлиев Мердан Иламанович, Туркменистан|План|Оборудование|3|6</v>
      </c>
      <c t="str" r="T717" s="6">
        <f>A717&amp;"|"&amp;C717&amp;"|"&amp;G717</f>
        <v>Сейитлиев Мердан Иламанович, Туркменистан|План|3</v>
      </c>
      <c t="str" r="U717" s="6">
        <f>IF(H717="да",A717&amp;"|"&amp;C717&amp;"|"&amp;D717&amp;"|"&amp;J717,"")</f>
        <v/>
      </c>
      <c t="str" r="V717" s="6">
        <f>IF(C717="План",A717&amp;"|"&amp;J717,"")</f>
        <v>Сейитлиев Мердан Иламанович, Туркменистан|6</v>
      </c>
    </row>
    <row r="718">
      <c r="A718" s="3" t="inlineStr">
        <is>
          <t>Сейитлиев Мердан Иламанович, Туркменистан</t>
        </is>
      </c>
      <c r="B718" s="3" t="inlineStr">
        <is>
          <t>Заруб</t>
        </is>
      </c>
      <c r="C718" s="3" t="inlineStr">
        <is>
          <t>План</t>
        </is>
      </c>
      <c r="D718" s="3" t="inlineStr">
        <is>
          <t>Расходные материалы</t>
        </is>
      </c>
      <c r="E718" s="3" t="inlineStr">
        <is>
          <t>План и бонусы</t>
        </is>
      </c>
      <c r="F718" s="3" t="inlineStr">
        <is>
          <t>Выручка 2024</t>
        </is>
      </c>
      <c r="G718" s="4" t="n">
        <v>4</v>
      </c>
      <c r="H718" s="4" t="n"/>
      <c r="I718" s="3" t="n"/>
      <c r="J718" s="4" t="n">
        <v>1</v>
      </c>
      <c r="K718" s="4" t="n"/>
      <c r="L718" s="4" t="n"/>
      <c r="M718" s="5" t="n">
        <v>306342</v>
      </c>
      <c r="N718" s="4" t="inlineStr">
        <is>
          <t>EUR</t>
        </is>
      </c>
      <c r="O718" s="3" t="inlineStr">
        <is>
          <t>Сейитлиев</t>
        </is>
      </c>
      <c r="P718" s="3" t="inlineStr">
        <is>
          <t>D7</t>
        </is>
      </c>
      <c t="str" r="Q718" s="6">
        <f>A718&amp;"|"&amp;C718&amp;"|"&amp;D718&amp;"|"&amp;G718</f>
        <v>Сейитлиев Мердан Иламанович, Туркменистан|План|Расходные материалы|4</v>
      </c>
      <c t="str" r="R718" s="6">
        <f>A718&amp;"|"&amp;C718&amp;"|"&amp;D718&amp;"|"&amp;J718</f>
        <v>Сейитлиев Мердан Иламанович, Туркменистан|План|Расходные материалы|1</v>
      </c>
      <c t="str" r="S718" s="6">
        <f>A718&amp;"|"&amp;C718&amp;"|"&amp;D718&amp;"|"&amp;G718&amp;"|"&amp;J718</f>
        <v>Сейитлиев Мердан Иламанович, Туркменистан|План|Расходные материалы|4|1</v>
      </c>
      <c t="str" r="T718" s="6">
        <f>A718&amp;"|"&amp;C718&amp;"|"&amp;G718</f>
        <v>Сейитлиев Мердан Иламанович, Туркменистан|План|4</v>
      </c>
      <c t="str" r="U718" s="6">
        <f>IF(H718="да",A718&amp;"|"&amp;C718&amp;"|"&amp;D718&amp;"|"&amp;J718,"")</f>
        <v/>
      </c>
      <c t="str" r="V718" s="6">
        <f>IF(C718="План",A718&amp;"|"&amp;J718,"")</f>
        <v>Сейитлиев Мердан Иламанович, Туркменистан|1</v>
      </c>
    </row>
    <row r="719">
      <c r="A719" s="3" t="inlineStr">
        <is>
          <t>Сейитлиев Мердан Иламанович, Туркменистан</t>
        </is>
      </c>
      <c r="B719" s="3" t="inlineStr">
        <is>
          <t>Заруб</t>
        </is>
      </c>
      <c r="C719" s="3" t="inlineStr">
        <is>
          <t>План</t>
        </is>
      </c>
      <c r="D719" s="3" t="inlineStr">
        <is>
          <t>Расходные материалы</t>
        </is>
      </c>
      <c r="E719" s="3" t="inlineStr">
        <is>
          <t>План и бонусы</t>
        </is>
      </c>
      <c r="F719" s="3" t="inlineStr">
        <is>
          <t>Выручка 2025</t>
        </is>
      </c>
      <c r="G719" s="4" t="n">
        <v>4</v>
      </c>
      <c r="H719" s="4" t="n"/>
      <c r="I719" s="3" t="n"/>
      <c r="J719" s="4" t="n">
        <v>2</v>
      </c>
      <c r="K719" s="4" t="n"/>
      <c r="L719" s="4" t="n"/>
      <c r="M719" s="5" t="n">
        <v>436021</v>
      </c>
      <c r="N719" s="4" t="inlineStr">
        <is>
          <t>EUR</t>
        </is>
      </c>
      <c r="O719" s="3" t="inlineStr">
        <is>
          <t>Сейитлиев</t>
        </is>
      </c>
      <c r="P719" s="3" t="inlineStr">
        <is>
          <t>E7</t>
        </is>
      </c>
      <c t="str" r="Q719" s="6">
        <f>A719&amp;"|"&amp;C719&amp;"|"&amp;D719&amp;"|"&amp;G719</f>
        <v>Сейитлиев Мердан Иламанович, Туркменистан|План|Расходные материалы|4</v>
      </c>
      <c t="str" r="R719" s="6">
        <f>A719&amp;"|"&amp;C719&amp;"|"&amp;D719&amp;"|"&amp;J719</f>
        <v>Сейитлиев Мердан Иламанович, Туркменистан|План|Расходные материалы|2</v>
      </c>
      <c t="str" r="S719" s="6">
        <f>A719&amp;"|"&amp;C719&amp;"|"&amp;D719&amp;"|"&amp;G719&amp;"|"&amp;J719</f>
        <v>Сейитлиев Мердан Иламанович, Туркменистан|План|Расходные материалы|4|2</v>
      </c>
      <c t="str" r="T719" s="6">
        <f>A719&amp;"|"&amp;C719&amp;"|"&amp;G719</f>
        <v>Сейитлиев Мердан Иламанович, Туркменистан|План|4</v>
      </c>
      <c t="str" r="U719" s="6">
        <f>IF(H719="да",A719&amp;"|"&amp;C719&amp;"|"&amp;D719&amp;"|"&amp;J719,"")</f>
        <v/>
      </c>
      <c t="str" r="V719" s="6">
        <f>IF(C719="План",A719&amp;"|"&amp;J719,"")</f>
        <v>Сейитлиев Мердан Иламанович, Туркменистан|2</v>
      </c>
    </row>
    <row r="720">
      <c r="A720" s="3" t="inlineStr">
        <is>
          <t>Сейитлиев Мердан Иламанович, Туркменистан</t>
        </is>
      </c>
      <c r="B720" s="3" t="inlineStr">
        <is>
          <t>Заруб</t>
        </is>
      </c>
      <c r="C720" s="3" t="inlineStr">
        <is>
          <t>План</t>
        </is>
      </c>
      <c r="D720" s="3" t="inlineStr">
        <is>
          <t>Расходные материалы</t>
        </is>
      </c>
      <c r="E720" s="3" t="inlineStr">
        <is>
          <t>План и бонусы</t>
        </is>
      </c>
      <c r="F720" s="3" t="inlineStr">
        <is>
          <t>План 2026</t>
        </is>
      </c>
      <c r="G720" s="4" t="n">
        <v>4</v>
      </c>
      <c r="H720" s="4" t="n"/>
      <c r="I720" s="3" t="n"/>
      <c r="J720" s="4" t="n">
        <v>3</v>
      </c>
      <c r="K720" s="4" t="n"/>
      <c r="L720" s="4" t="n"/>
      <c r="M720" s="5" t="n">
        <v>560000</v>
      </c>
      <c r="N720" s="4" t="inlineStr">
        <is>
          <t>EUR</t>
        </is>
      </c>
      <c r="O720" s="3" t="inlineStr">
        <is>
          <t>Сейитлиев</t>
        </is>
      </c>
      <c r="P720" s="3" t="inlineStr">
        <is>
          <t>F7</t>
        </is>
      </c>
      <c t="str" r="Q720" s="6">
        <f>A720&amp;"|"&amp;C720&amp;"|"&amp;D720&amp;"|"&amp;G720</f>
        <v>Сейитлиев Мердан Иламанович, Туркменистан|План|Расходные материалы|4</v>
      </c>
      <c t="str" r="R720" s="6">
        <f>A720&amp;"|"&amp;C720&amp;"|"&amp;D720&amp;"|"&amp;J720</f>
        <v>Сейитлиев Мердан Иламанович, Туркменистан|План|Расходные материалы|3</v>
      </c>
      <c t="str" r="S720" s="6">
        <f>A720&amp;"|"&amp;C720&amp;"|"&amp;D720&amp;"|"&amp;G720&amp;"|"&amp;J720</f>
        <v>Сейитлиев Мердан Иламанович, Туркменистан|План|Расходные материалы|4|3</v>
      </c>
      <c t="str" r="T720" s="6">
        <f>A720&amp;"|"&amp;C720&amp;"|"&amp;G720</f>
        <v>Сейитлиев Мердан Иламанович, Туркменистан|План|4</v>
      </c>
      <c t="str" r="U720" s="6">
        <f>IF(H720="да",A720&amp;"|"&amp;C720&amp;"|"&amp;D720&amp;"|"&amp;J720,"")</f>
        <v/>
      </c>
      <c t="str" r="V720" s="6">
        <f>IF(C720="План",A720&amp;"|"&amp;J720,"")</f>
        <v>Сейитлиев Мердан Иламанович, Туркменистан|3</v>
      </c>
    </row>
    <row r="721">
      <c r="A721" s="3" t="inlineStr">
        <is>
          <t>Сейитлиев Мердан Иламанович, Туркменистан</t>
        </is>
      </c>
      <c r="B721" s="3" t="inlineStr">
        <is>
          <t>Заруб</t>
        </is>
      </c>
      <c r="C721" s="3" t="inlineStr">
        <is>
          <t>План</t>
        </is>
      </c>
      <c r="D721" s="3" t="inlineStr">
        <is>
          <t>Расходные материалы</t>
        </is>
      </c>
      <c r="E721" s="3" t="inlineStr">
        <is>
          <t>План и бонусы</t>
        </is>
      </c>
      <c r="F721" s="3" t="inlineStr">
        <is>
          <t>Размер бонуса по итогам 2026 г</t>
        </is>
      </c>
      <c r="G721" s="4" t="n">
        <v>4</v>
      </c>
      <c r="H721" s="4" t="n"/>
      <c r="I721" s="3" t="n"/>
      <c r="J721" s="4" t="n">
        <v>5</v>
      </c>
      <c r="K721" s="4" t="n"/>
      <c r="L721" s="4" t="n"/>
      <c r="M721" s="7" t="n">
        <v>0.005</v>
      </c>
      <c r="N721" s="4" t="inlineStr">
        <is>
          <t>%</t>
        </is>
      </c>
      <c r="O721" s="3" t="inlineStr">
        <is>
          <t>Сейитлиев</t>
        </is>
      </c>
      <c r="P721" s="3" t="inlineStr">
        <is>
          <t>H7</t>
        </is>
      </c>
      <c t="str" r="Q721" s="6">
        <f>A721&amp;"|"&amp;C721&amp;"|"&amp;D721&amp;"|"&amp;G721</f>
        <v>Сейитлиев Мердан Иламанович, Туркменистан|План|Расходные материалы|4</v>
      </c>
      <c t="str" r="R721" s="6">
        <f>A721&amp;"|"&amp;C721&amp;"|"&amp;D721&amp;"|"&amp;J721</f>
        <v>Сейитлиев Мердан Иламанович, Туркменистан|План|Расходные материалы|5</v>
      </c>
      <c t="str" r="S721" s="6">
        <f>A721&amp;"|"&amp;C721&amp;"|"&amp;D721&amp;"|"&amp;G721&amp;"|"&amp;J721</f>
        <v>Сейитлиев Мердан Иламанович, Туркменистан|План|Расходные материалы|4|5</v>
      </c>
      <c t="str" r="T721" s="6">
        <f>A721&amp;"|"&amp;C721&amp;"|"&amp;G721</f>
        <v>Сейитлиев Мердан Иламанович, Туркменистан|План|4</v>
      </c>
      <c t="str" r="U721" s="6">
        <f>IF(H721="да",A721&amp;"|"&amp;C721&amp;"|"&amp;D721&amp;"|"&amp;J721,"")</f>
        <v/>
      </c>
      <c t="str" r="V721" s="6">
        <f>IF(C721="План",A721&amp;"|"&amp;J721,"")</f>
        <v>Сейитлиев Мердан Иламанович, Туркменистан|5</v>
      </c>
    </row>
    <row r="722">
      <c r="A722" s="3" t="inlineStr">
        <is>
          <t>Сейитлиев Мердан Иламанович, Туркменистан</t>
        </is>
      </c>
      <c r="B722" s="3" t="inlineStr">
        <is>
          <t>Заруб</t>
        </is>
      </c>
      <c r="C722" s="3" t="inlineStr">
        <is>
          <t>План</t>
        </is>
      </c>
      <c r="D722" s="3" t="inlineStr">
        <is>
          <t>Расходные материалы</t>
        </is>
      </c>
      <c r="E722" s="3" t="inlineStr">
        <is>
          <t>План и бонусы</t>
        </is>
      </c>
      <c r="F722" s="3" t="inlineStr">
        <is>
          <t>Скидка в 1 кв. 2026 ф.г.*</t>
        </is>
      </c>
      <c r="G722" s="4" t="n">
        <v>4</v>
      </c>
      <c r="H722" s="4" t="n"/>
      <c r="I722" s="3" t="n"/>
      <c r="J722" s="4" t="n">
        <v>6</v>
      </c>
      <c r="K722" s="4" t="n"/>
      <c r="L722" s="4" t="n"/>
      <c r="M722" s="8" t="n">
        <v>0.05</v>
      </c>
      <c r="N722" s="4" t="inlineStr">
        <is>
          <t>%</t>
        </is>
      </c>
      <c r="O722" s="3" t="inlineStr">
        <is>
          <t>Сейитлиев</t>
        </is>
      </c>
      <c r="P722" s="3" t="inlineStr">
        <is>
          <t>I7</t>
        </is>
      </c>
      <c t="str" r="Q722" s="6">
        <f>A722&amp;"|"&amp;C722&amp;"|"&amp;D722&amp;"|"&amp;G722</f>
        <v>Сейитлиев Мердан Иламанович, Туркменистан|План|Расходные материалы|4</v>
      </c>
      <c t="str" r="R722" s="6">
        <f>A722&amp;"|"&amp;C722&amp;"|"&amp;D722&amp;"|"&amp;J722</f>
        <v>Сейитлиев Мердан Иламанович, Туркменистан|План|Расходные материалы|6</v>
      </c>
      <c t="str" r="S722" s="6">
        <f>A722&amp;"|"&amp;C722&amp;"|"&amp;D722&amp;"|"&amp;G722&amp;"|"&amp;J722</f>
        <v>Сейитлиев Мердан Иламанович, Туркменистан|План|Расходные материалы|4|6</v>
      </c>
      <c t="str" r="T722" s="6">
        <f>A722&amp;"|"&amp;C722&amp;"|"&amp;G722</f>
        <v>Сейитлиев Мердан Иламанович, Туркменистан|План|4</v>
      </c>
      <c t="str" r="U722" s="6">
        <f>IF(H722="да",A722&amp;"|"&amp;C722&amp;"|"&amp;D722&amp;"|"&amp;J722,"")</f>
        <v/>
      </c>
      <c t="str" r="V722" s="6">
        <f>IF(C722="План",A722&amp;"|"&amp;J722,"")</f>
        <v>Сейитлиев Мердан Иламанович, Туркменистан|6</v>
      </c>
    </row>
    <row r="723">
      <c r="A723" s="3" t="inlineStr">
        <is>
          <t>Сейитлиев Мердан Иламанович, Туркменистан</t>
        </is>
      </c>
      <c r="B723" s="3" t="inlineStr">
        <is>
          <t>Заруб</t>
        </is>
      </c>
      <c r="C723" s="3" t="inlineStr">
        <is>
          <t>Шкала</t>
        </is>
      </c>
      <c r="D723" s="3" t="inlineStr">
        <is>
          <t>Оборудование</t>
        </is>
      </c>
      <c r="E723" s="3" t="inlineStr">
        <is>
          <t>Оборудование — за полугодие</t>
        </is>
      </c>
      <c r="F723" s="3" t="inlineStr">
        <is>
          <t>Базовое вознаграждение за Дилерский договор</t>
        </is>
      </c>
      <c r="G723" s="4" t="n">
        <v>1</v>
      </c>
      <c r="H723" s="4" t="n"/>
      <c r="I723" s="3" t="inlineStr">
        <is>
          <t>до 75</t>
        </is>
      </c>
      <c r="J723" s="4" t="n">
        <v>1</v>
      </c>
      <c r="K723" s="4" t="n"/>
      <c r="L723" s="4" t="n"/>
      <c r="M723" s="8" t="n">
        <v>0.06</v>
      </c>
      <c r="N723" s="4" t="inlineStr">
        <is>
          <t>%</t>
        </is>
      </c>
      <c r="O723" s="3" t="inlineStr">
        <is>
          <t>Сейитлиев</t>
        </is>
      </c>
      <c r="P723" s="3" t="inlineStr">
        <is>
          <t>E15</t>
        </is>
      </c>
      <c t="str" r="Q723" s="6">
        <f>A723&amp;"|"&amp;C723&amp;"|"&amp;D723&amp;"|"&amp;G723</f>
        <v>Сейитлиев Мердан Иламанович, Туркменистан|Шкала|Оборудование|1</v>
      </c>
      <c t="str" r="R723" s="6">
        <f>A723&amp;"|"&amp;C723&amp;"|"&amp;D723&amp;"|"&amp;J723</f>
        <v>Сейитлиев Мердан Иламанович, Туркменистан|Шкала|Оборудование|1</v>
      </c>
      <c t="str" r="S723" s="6">
        <f>A723&amp;"|"&amp;C723&amp;"|"&amp;D723&amp;"|"&amp;G723&amp;"|"&amp;J723</f>
        <v>Сейитлиев Мердан Иламанович, Туркменистан|Шкала|Оборудование|1|1</v>
      </c>
      <c t="str" r="T723" s="6">
        <f>A723&amp;"|"&amp;C723&amp;"|"&amp;G723</f>
        <v>Сейитлиев Мердан Иламанович, Туркменистан|Шкала|1</v>
      </c>
      <c t="str" r="U723" s="6">
        <f>IF(H723="да",A723&amp;"|"&amp;C723&amp;"|"&amp;D723&amp;"|"&amp;J723,"")</f>
        <v/>
      </c>
      <c t="str" r="V723" s="6">
        <f>IF(C723="План",A723&amp;"|"&amp;J723,"")</f>
        <v/>
      </c>
    </row>
    <row r="724">
      <c r="A724" s="3" t="inlineStr">
        <is>
          <t>Сейитлиев Мердан Иламанович, Туркменистан</t>
        </is>
      </c>
      <c r="B724" s="3" t="inlineStr">
        <is>
          <t>Заруб</t>
        </is>
      </c>
      <c r="C724" s="3" t="inlineStr">
        <is>
          <t>Шкала</t>
        </is>
      </c>
      <c r="D724" s="3" t="inlineStr">
        <is>
          <t>Оборудование</t>
        </is>
      </c>
      <c r="E724" s="3" t="inlineStr">
        <is>
          <t>Оборудование — за полугодие</t>
        </is>
      </c>
      <c r="F724" s="3" t="inlineStr">
        <is>
          <t>Базовое вознаграждение за Дилерский договор</t>
        </is>
      </c>
      <c r="G724" s="4" t="n">
        <v>1</v>
      </c>
      <c r="H724" s="4" t="n"/>
      <c r="I724" s="3" t="inlineStr">
        <is>
          <t>75-114</t>
        </is>
      </c>
      <c r="J724" s="4" t="n">
        <v>2</v>
      </c>
      <c r="K724" s="4" t="n"/>
      <c r="L724" s="4" t="n"/>
      <c r="M724" s="8" t="n">
        <v>0.06</v>
      </c>
      <c r="N724" s="4" t="inlineStr">
        <is>
          <t>%</t>
        </is>
      </c>
      <c r="O724" s="3" t="inlineStr">
        <is>
          <t>Сейитлиев</t>
        </is>
      </c>
      <c r="P724" s="3" t="inlineStr">
        <is>
          <t>F15</t>
        </is>
      </c>
      <c t="str" r="Q724" s="6">
        <f>A724&amp;"|"&amp;C724&amp;"|"&amp;D724&amp;"|"&amp;G724</f>
        <v>Сейитлиев Мердан Иламанович, Туркменистан|Шкала|Оборудование|1</v>
      </c>
      <c t="str" r="R724" s="6">
        <f>A724&amp;"|"&amp;C724&amp;"|"&amp;D724&amp;"|"&amp;J724</f>
        <v>Сейитлиев Мердан Иламанович, Туркменистан|Шкала|Оборудование|2</v>
      </c>
      <c t="str" r="S724" s="6">
        <f>A724&amp;"|"&amp;C724&amp;"|"&amp;D724&amp;"|"&amp;G724&amp;"|"&amp;J724</f>
        <v>Сейитлиев Мердан Иламанович, Туркменистан|Шкала|Оборудование|1|2</v>
      </c>
      <c t="str" r="T724" s="6">
        <f>A724&amp;"|"&amp;C724&amp;"|"&amp;G724</f>
        <v>Сейитлиев Мердан Иламанович, Туркменистан|Шкала|1</v>
      </c>
      <c t="str" r="U724" s="6">
        <f>IF(H724="да",A724&amp;"|"&amp;C724&amp;"|"&amp;D724&amp;"|"&amp;J724,"")</f>
        <v/>
      </c>
      <c t="str" r="V724" s="6">
        <f>IF(C724="План",A724&amp;"|"&amp;J724,"")</f>
        <v/>
      </c>
    </row>
    <row r="725">
      <c r="A725" s="3" t="inlineStr">
        <is>
          <t>Сейитлиев Мердан Иламанович, Туркменистан</t>
        </is>
      </c>
      <c r="B725" s="3" t="inlineStr">
        <is>
          <t>Заруб</t>
        </is>
      </c>
      <c r="C725" s="3" t="inlineStr">
        <is>
          <t>Шкала</t>
        </is>
      </c>
      <c r="D725" s="3" t="inlineStr">
        <is>
          <t>Оборудование</t>
        </is>
      </c>
      <c r="E725" s="3" t="inlineStr">
        <is>
          <t>Оборудование — за полугодие</t>
        </is>
      </c>
      <c r="F725" s="3" t="inlineStr">
        <is>
          <t>Базовое вознаграждение за Дилерский договор</t>
        </is>
      </c>
      <c r="G725" s="4" t="n">
        <v>1</v>
      </c>
      <c r="H725" s="4" t="n"/>
      <c r="I725" s="3" t="inlineStr">
        <is>
          <t>115-149</t>
        </is>
      </c>
      <c r="J725" s="4" t="n">
        <v>3</v>
      </c>
      <c r="K725" s="4" t="n"/>
      <c r="L725" s="4" t="n"/>
      <c r="M725" s="8" t="n">
        <v>0.06</v>
      </c>
      <c r="N725" s="4" t="inlineStr">
        <is>
          <t>%</t>
        </is>
      </c>
      <c r="O725" s="3" t="inlineStr">
        <is>
          <t>Сейитлиев</t>
        </is>
      </c>
      <c r="P725" s="3" t="inlineStr">
        <is>
          <t>G15</t>
        </is>
      </c>
      <c t="str" r="Q725" s="6">
        <f>A725&amp;"|"&amp;C725&amp;"|"&amp;D725&amp;"|"&amp;G725</f>
        <v>Сейитлиев Мердан Иламанович, Туркменистан|Шкала|Оборудование|1</v>
      </c>
      <c t="str" r="R725" s="6">
        <f>A725&amp;"|"&amp;C725&amp;"|"&amp;D725&amp;"|"&amp;J725</f>
        <v>Сейитлиев Мердан Иламанович, Туркменистан|Шкала|Оборудование|3</v>
      </c>
      <c t="str" r="S725" s="6">
        <f>A725&amp;"|"&amp;C725&amp;"|"&amp;D725&amp;"|"&amp;G725&amp;"|"&amp;J725</f>
        <v>Сейитлиев Мердан Иламанович, Туркменистан|Шкала|Оборудование|1|3</v>
      </c>
      <c t="str" r="T725" s="6">
        <f>A725&amp;"|"&amp;C725&amp;"|"&amp;G725</f>
        <v>Сейитлиев Мердан Иламанович, Туркменистан|Шкала|1</v>
      </c>
      <c t="str" r="U725" s="6">
        <f>IF(H725="да",A725&amp;"|"&amp;C725&amp;"|"&amp;D725&amp;"|"&amp;J725,"")</f>
        <v/>
      </c>
      <c t="str" r="V725" s="6">
        <f>IF(C725="План",A725&amp;"|"&amp;J725,"")</f>
        <v/>
      </c>
    </row>
    <row r="726">
      <c r="A726" s="3" t="inlineStr">
        <is>
          <t>Сейитлиев Мердан Иламанович, Туркменистан</t>
        </is>
      </c>
      <c r="B726" s="3" t="inlineStr">
        <is>
          <t>Заруб</t>
        </is>
      </c>
      <c r="C726" s="3" t="inlineStr">
        <is>
          <t>Шкала</t>
        </is>
      </c>
      <c r="D726" s="3" t="inlineStr">
        <is>
          <t>Оборудование</t>
        </is>
      </c>
      <c r="E726" s="3" t="inlineStr">
        <is>
          <t>Оборудование — за полугодие</t>
        </is>
      </c>
      <c r="F726" s="3" t="inlineStr">
        <is>
          <t>Базовое вознаграждение за Дилерский договор</t>
        </is>
      </c>
      <c r="G726" s="4" t="n">
        <v>1</v>
      </c>
      <c r="H726" s="4" t="n"/>
      <c r="I726" s="3" t="inlineStr">
        <is>
          <t>150-189</t>
        </is>
      </c>
      <c r="J726" s="4" t="n">
        <v>4</v>
      </c>
      <c r="K726" s="4" t="n"/>
      <c r="L726" s="4" t="n"/>
      <c r="M726" s="8" t="n">
        <v>0.06</v>
      </c>
      <c r="N726" s="4" t="inlineStr">
        <is>
          <t>%</t>
        </is>
      </c>
      <c r="O726" s="3" t="inlineStr">
        <is>
          <t>Сейитлиев</t>
        </is>
      </c>
      <c r="P726" s="3" t="inlineStr">
        <is>
          <t>H15</t>
        </is>
      </c>
      <c t="str" r="Q726" s="6">
        <f>A726&amp;"|"&amp;C726&amp;"|"&amp;D726&amp;"|"&amp;G726</f>
        <v>Сейитлиев Мердан Иламанович, Туркменистан|Шкала|Оборудование|1</v>
      </c>
      <c t="str" r="R726" s="6">
        <f>A726&amp;"|"&amp;C726&amp;"|"&amp;D726&amp;"|"&amp;J726</f>
        <v>Сейитлиев Мердан Иламанович, Туркменистан|Шкала|Оборудование|4</v>
      </c>
      <c t="str" r="S726" s="6">
        <f>A726&amp;"|"&amp;C726&amp;"|"&amp;D726&amp;"|"&amp;G726&amp;"|"&amp;J726</f>
        <v>Сейитлиев Мердан Иламанович, Туркменистан|Шкала|Оборудование|1|4</v>
      </c>
      <c t="str" r="T726" s="6">
        <f>A726&amp;"|"&amp;C726&amp;"|"&amp;G726</f>
        <v>Сейитлиев Мердан Иламанович, Туркменистан|Шкала|1</v>
      </c>
      <c t="str" r="U726" s="6">
        <f>IF(H726="да",A726&amp;"|"&amp;C726&amp;"|"&amp;D726&amp;"|"&amp;J726,"")</f>
        <v/>
      </c>
      <c t="str" r="V726" s="6">
        <f>IF(C726="План",A726&amp;"|"&amp;J726,"")</f>
        <v/>
      </c>
    </row>
    <row r="727">
      <c r="A727" s="3" t="inlineStr">
        <is>
          <t>Сейитлиев Мердан Иламанович, Туркменистан</t>
        </is>
      </c>
      <c r="B727" s="3" t="inlineStr">
        <is>
          <t>Заруб</t>
        </is>
      </c>
      <c r="C727" s="3" t="inlineStr">
        <is>
          <t>Шкала</t>
        </is>
      </c>
      <c r="D727" s="3" t="inlineStr">
        <is>
          <t>Оборудование</t>
        </is>
      </c>
      <c r="E727" s="3" t="inlineStr">
        <is>
          <t>Оборудование — за полугодие</t>
        </is>
      </c>
      <c r="F727" s="3" t="inlineStr">
        <is>
          <t>Базовое вознаграждение за Дилерский договор</t>
        </is>
      </c>
      <c r="G727" s="4" t="n">
        <v>1</v>
      </c>
      <c r="H727" s="4" t="n"/>
      <c r="I727" s="3" t="inlineStr">
        <is>
          <t>190-224</t>
        </is>
      </c>
      <c r="J727" s="4" t="n">
        <v>5</v>
      </c>
      <c r="K727" s="4" t="n"/>
      <c r="L727" s="4" t="n"/>
      <c r="M727" s="8" t="n">
        <v>0.06</v>
      </c>
      <c r="N727" s="4" t="inlineStr">
        <is>
          <t>%</t>
        </is>
      </c>
      <c r="O727" s="3" t="inlineStr">
        <is>
          <t>Сейитлиев</t>
        </is>
      </c>
      <c r="P727" s="3" t="inlineStr">
        <is>
          <t>I15</t>
        </is>
      </c>
      <c t="str" r="Q727" s="6">
        <f>A727&amp;"|"&amp;C727&amp;"|"&amp;D727&amp;"|"&amp;G727</f>
        <v>Сейитлиев Мердан Иламанович, Туркменистан|Шкала|Оборудование|1</v>
      </c>
      <c t="str" r="R727" s="6">
        <f>A727&amp;"|"&amp;C727&amp;"|"&amp;D727&amp;"|"&amp;J727</f>
        <v>Сейитлиев Мердан Иламанович, Туркменистан|Шкала|Оборудование|5</v>
      </c>
      <c t="str" r="S727" s="6">
        <f>A727&amp;"|"&amp;C727&amp;"|"&amp;D727&amp;"|"&amp;G727&amp;"|"&amp;J727</f>
        <v>Сейитлиев Мердан Иламанович, Туркменистан|Шкала|Оборудование|1|5</v>
      </c>
      <c t="str" r="T727" s="6">
        <f>A727&amp;"|"&amp;C727&amp;"|"&amp;G727</f>
        <v>Сейитлиев Мердан Иламанович, Туркменистан|Шкала|1</v>
      </c>
      <c t="str" r="U727" s="6">
        <f>IF(H727="да",A727&amp;"|"&amp;C727&amp;"|"&amp;D727&amp;"|"&amp;J727,"")</f>
        <v/>
      </c>
      <c t="str" r="V727" s="6">
        <f>IF(C727="План",A727&amp;"|"&amp;J727,"")</f>
        <v/>
      </c>
    </row>
    <row r="728">
      <c r="A728" s="3" t="inlineStr">
        <is>
          <t>Сейитлиев Мердан Иламанович, Туркменистан</t>
        </is>
      </c>
      <c r="B728" s="3" t="inlineStr">
        <is>
          <t>Заруб</t>
        </is>
      </c>
      <c r="C728" s="3" t="inlineStr">
        <is>
          <t>Шкала</t>
        </is>
      </c>
      <c r="D728" s="3" t="inlineStr">
        <is>
          <t>Оборудование</t>
        </is>
      </c>
      <c r="E728" s="3" t="inlineStr">
        <is>
          <t>Оборудование — за полугодие</t>
        </is>
      </c>
      <c r="F728" s="3" t="inlineStr">
        <is>
          <t>Базовое вознаграждение за Дилерский договор</t>
        </is>
      </c>
      <c r="G728" s="4" t="n">
        <v>1</v>
      </c>
      <c r="H728" s="4" t="n"/>
      <c r="I728" s="3" t="inlineStr">
        <is>
          <t>225 и более</t>
        </is>
      </c>
      <c r="J728" s="4" t="n">
        <v>6</v>
      </c>
      <c r="K728" s="4" t="n"/>
      <c r="L728" s="4" t="n"/>
      <c r="M728" s="8" t="n">
        <v>0.06</v>
      </c>
      <c r="N728" s="4" t="inlineStr">
        <is>
          <t>%</t>
        </is>
      </c>
      <c r="O728" s="3" t="inlineStr">
        <is>
          <t>Сейитлиев</t>
        </is>
      </c>
      <c r="P728" s="3" t="inlineStr">
        <is>
          <t>J15</t>
        </is>
      </c>
      <c t="str" r="Q728" s="6">
        <f>A728&amp;"|"&amp;C728&amp;"|"&amp;D728&amp;"|"&amp;G728</f>
        <v>Сейитлиев Мердан Иламанович, Туркменистан|Шкала|Оборудование|1</v>
      </c>
      <c t="str" r="R728" s="6">
        <f>A728&amp;"|"&amp;C728&amp;"|"&amp;D728&amp;"|"&amp;J728</f>
        <v>Сейитлиев Мердан Иламанович, Туркменистан|Шкала|Оборудование|6</v>
      </c>
      <c t="str" r="S728" s="6">
        <f>A728&amp;"|"&amp;C728&amp;"|"&amp;D728&amp;"|"&amp;G728&amp;"|"&amp;J728</f>
        <v>Сейитлиев Мердан Иламанович, Туркменистан|Шкала|Оборудование|1|6</v>
      </c>
      <c t="str" r="T728" s="6">
        <f>A728&amp;"|"&amp;C728&amp;"|"&amp;G728</f>
        <v>Сейитлиев Мердан Иламанович, Туркменистан|Шкала|1</v>
      </c>
      <c t="str" r="U728" s="6">
        <f>IF(H728="да",A728&amp;"|"&amp;C728&amp;"|"&amp;D728&amp;"|"&amp;J728,"")</f>
        <v/>
      </c>
      <c t="str" r="V728" s="6">
        <f>IF(C728="План",A728&amp;"|"&amp;J728,"")</f>
        <v/>
      </c>
    </row>
    <row r="729">
      <c r="A729" s="3" t="inlineStr">
        <is>
          <t>Сейитлиев Мердан Иламанович, Туркменистан</t>
        </is>
      </c>
      <c r="B729" s="3" t="inlineStr">
        <is>
          <t>Заруб</t>
        </is>
      </c>
      <c r="C729" s="3" t="inlineStr">
        <is>
          <t>Шкала</t>
        </is>
      </c>
      <c r="D729" s="3" t="inlineStr">
        <is>
          <t>Оборудование</t>
        </is>
      </c>
      <c r="E729" s="3" t="inlineStr">
        <is>
          <t>Оборудование — за полугодие</t>
        </is>
      </c>
      <c r="F729" s="3" t="inlineStr">
        <is>
          <t>Наличие сервисного центра и гарантийное обслуживание</t>
        </is>
      </c>
      <c r="G729" s="4" t="n">
        <v>2</v>
      </c>
      <c r="H729" s="4" t="n"/>
      <c r="I729" s="3" t="inlineStr">
        <is>
          <t>до 75</t>
        </is>
      </c>
      <c r="J729" s="4" t="n">
        <v>1</v>
      </c>
      <c r="K729" s="4" t="n"/>
      <c r="L729" s="4" t="n"/>
      <c r="M729" s="8" t="n">
        <v>0.01</v>
      </c>
      <c r="N729" s="4" t="inlineStr">
        <is>
          <t>%</t>
        </is>
      </c>
      <c r="O729" s="3" t="inlineStr">
        <is>
          <t>Сейитлиев</t>
        </is>
      </c>
      <c r="P729" s="3" t="inlineStr">
        <is>
          <t>E16</t>
        </is>
      </c>
      <c t="str" r="Q729" s="6">
        <f>A729&amp;"|"&amp;C729&amp;"|"&amp;D729&amp;"|"&amp;G729</f>
        <v>Сейитлиев Мердан Иламанович, Туркменистан|Шкала|Оборудование|2</v>
      </c>
      <c t="str" r="R729" s="6">
        <f>A729&amp;"|"&amp;C729&amp;"|"&amp;D729&amp;"|"&amp;J729</f>
        <v>Сейитлиев Мердан Иламанович, Туркменистан|Шкала|Оборудование|1</v>
      </c>
      <c t="str" r="S729" s="6">
        <f>A729&amp;"|"&amp;C729&amp;"|"&amp;D729&amp;"|"&amp;G729&amp;"|"&amp;J729</f>
        <v>Сейитлиев Мердан Иламанович, Туркменистан|Шкала|Оборудование|2|1</v>
      </c>
      <c t="str" r="T729" s="6">
        <f>A729&amp;"|"&amp;C729&amp;"|"&amp;G729</f>
        <v>Сейитлиев Мердан Иламанович, Туркменистан|Шкала|2</v>
      </c>
      <c t="str" r="U729" s="6">
        <f>IF(H729="да",A729&amp;"|"&amp;C729&amp;"|"&amp;D729&amp;"|"&amp;J729,"")</f>
        <v/>
      </c>
      <c t="str" r="V729" s="6">
        <f>IF(C729="План",A729&amp;"|"&amp;J729,"")</f>
        <v/>
      </c>
    </row>
    <row r="730">
      <c r="A730" s="3" t="inlineStr">
        <is>
          <t>Сейитлиев Мердан Иламанович, Туркменистан</t>
        </is>
      </c>
      <c r="B730" s="3" t="inlineStr">
        <is>
          <t>Заруб</t>
        </is>
      </c>
      <c r="C730" s="3" t="inlineStr">
        <is>
          <t>Шкала</t>
        </is>
      </c>
      <c r="D730" s="3" t="inlineStr">
        <is>
          <t>Оборудование</t>
        </is>
      </c>
      <c r="E730" s="3" t="inlineStr">
        <is>
          <t>Оборудование — за полугодие</t>
        </is>
      </c>
      <c r="F730" s="3" t="inlineStr">
        <is>
          <t>Наличие сервисного центра и гарантийное обслуживание</t>
        </is>
      </c>
      <c r="G730" s="4" t="n">
        <v>2</v>
      </c>
      <c r="H730" s="4" t="n"/>
      <c r="I730" s="3" t="inlineStr">
        <is>
          <t>75-114</t>
        </is>
      </c>
      <c r="J730" s="4" t="n">
        <v>2</v>
      </c>
      <c r="K730" s="4" t="n"/>
      <c r="L730" s="4" t="n"/>
      <c r="M730" s="8" t="n">
        <v>0.01</v>
      </c>
      <c r="N730" s="4" t="inlineStr">
        <is>
          <t>%</t>
        </is>
      </c>
      <c r="O730" s="3" t="inlineStr">
        <is>
          <t>Сейитлиев</t>
        </is>
      </c>
      <c r="P730" s="3" t="inlineStr">
        <is>
          <t>F16</t>
        </is>
      </c>
      <c t="str" r="Q730" s="6">
        <f>A730&amp;"|"&amp;C730&amp;"|"&amp;D730&amp;"|"&amp;G730</f>
        <v>Сейитлиев Мердан Иламанович, Туркменистан|Шкала|Оборудование|2</v>
      </c>
      <c t="str" r="R730" s="6">
        <f>A730&amp;"|"&amp;C730&amp;"|"&amp;D730&amp;"|"&amp;J730</f>
        <v>Сейитлиев Мердан Иламанович, Туркменистан|Шкала|Оборудование|2</v>
      </c>
      <c t="str" r="S730" s="6">
        <f>A730&amp;"|"&amp;C730&amp;"|"&amp;D730&amp;"|"&amp;G730&amp;"|"&amp;J730</f>
        <v>Сейитлиев Мердан Иламанович, Туркменистан|Шкала|Оборудование|2|2</v>
      </c>
      <c t="str" r="T730" s="6">
        <f>A730&amp;"|"&amp;C730&amp;"|"&amp;G730</f>
        <v>Сейитлиев Мердан Иламанович, Туркменистан|Шкала|2</v>
      </c>
      <c t="str" r="U730" s="6">
        <f>IF(H730="да",A730&amp;"|"&amp;C730&amp;"|"&amp;D730&amp;"|"&amp;J730,"")</f>
        <v/>
      </c>
      <c t="str" r="V730" s="6">
        <f>IF(C730="План",A730&amp;"|"&amp;J730,"")</f>
        <v/>
      </c>
    </row>
    <row r="731">
      <c r="A731" s="3" t="inlineStr">
        <is>
          <t>Сейитлиев Мердан Иламанович, Туркменистан</t>
        </is>
      </c>
      <c r="B731" s="3" t="inlineStr">
        <is>
          <t>Заруб</t>
        </is>
      </c>
      <c r="C731" s="3" t="inlineStr">
        <is>
          <t>Шкала</t>
        </is>
      </c>
      <c r="D731" s="3" t="inlineStr">
        <is>
          <t>Оборудование</t>
        </is>
      </c>
      <c r="E731" s="3" t="inlineStr">
        <is>
          <t>Оборудование — за полугодие</t>
        </is>
      </c>
      <c r="F731" s="3" t="inlineStr">
        <is>
          <t>Наличие сервисного центра и гарантийное обслуживание</t>
        </is>
      </c>
      <c r="G731" s="4" t="n">
        <v>2</v>
      </c>
      <c r="H731" s="4" t="n"/>
      <c r="I731" s="3" t="inlineStr">
        <is>
          <t>115-149</t>
        </is>
      </c>
      <c r="J731" s="4" t="n">
        <v>3</v>
      </c>
      <c r="K731" s="4" t="n"/>
      <c r="L731" s="4" t="n"/>
      <c r="M731" s="8" t="n">
        <v>0.01</v>
      </c>
      <c r="N731" s="4" t="inlineStr">
        <is>
          <t>%</t>
        </is>
      </c>
      <c r="O731" s="3" t="inlineStr">
        <is>
          <t>Сейитлиев</t>
        </is>
      </c>
      <c r="P731" s="3" t="inlineStr">
        <is>
          <t>G16</t>
        </is>
      </c>
      <c t="str" r="Q731" s="6">
        <f>A731&amp;"|"&amp;C731&amp;"|"&amp;D731&amp;"|"&amp;G731</f>
        <v>Сейитлиев Мердан Иламанович, Туркменистан|Шкала|Оборудование|2</v>
      </c>
      <c t="str" r="R731" s="6">
        <f>A731&amp;"|"&amp;C731&amp;"|"&amp;D731&amp;"|"&amp;J731</f>
        <v>Сейитлиев Мердан Иламанович, Туркменистан|Шкала|Оборудование|3</v>
      </c>
      <c t="str" r="S731" s="6">
        <f>A731&amp;"|"&amp;C731&amp;"|"&amp;D731&amp;"|"&amp;G731&amp;"|"&amp;J731</f>
        <v>Сейитлиев Мердан Иламанович, Туркменистан|Шкала|Оборудование|2|3</v>
      </c>
      <c t="str" r="T731" s="6">
        <f>A731&amp;"|"&amp;C731&amp;"|"&amp;G731</f>
        <v>Сейитлиев Мердан Иламанович, Туркменистан|Шкала|2</v>
      </c>
      <c t="str" r="U731" s="6">
        <f>IF(H731="да",A731&amp;"|"&amp;C731&amp;"|"&amp;D731&amp;"|"&amp;J731,"")</f>
        <v/>
      </c>
      <c t="str" r="V731" s="6">
        <f>IF(C731="План",A731&amp;"|"&amp;J731,"")</f>
        <v/>
      </c>
    </row>
    <row r="732">
      <c r="A732" s="3" t="inlineStr">
        <is>
          <t>Сейитлиев Мердан Иламанович, Туркменистан</t>
        </is>
      </c>
      <c r="B732" s="3" t="inlineStr">
        <is>
          <t>Заруб</t>
        </is>
      </c>
      <c r="C732" s="3" t="inlineStr">
        <is>
          <t>Шкала</t>
        </is>
      </c>
      <c r="D732" s="3" t="inlineStr">
        <is>
          <t>Оборудование</t>
        </is>
      </c>
      <c r="E732" s="3" t="inlineStr">
        <is>
          <t>Оборудование — за полугодие</t>
        </is>
      </c>
      <c r="F732" s="3" t="inlineStr">
        <is>
          <t>Наличие сервисного центра и гарантийное обслуживание</t>
        </is>
      </c>
      <c r="G732" s="4" t="n">
        <v>2</v>
      </c>
      <c r="H732" s="4" t="n"/>
      <c r="I732" s="3" t="inlineStr">
        <is>
          <t>150-189</t>
        </is>
      </c>
      <c r="J732" s="4" t="n">
        <v>4</v>
      </c>
      <c r="K732" s="4" t="n"/>
      <c r="L732" s="4" t="n"/>
      <c r="M732" s="8" t="n">
        <v>0.01</v>
      </c>
      <c r="N732" s="4" t="inlineStr">
        <is>
          <t>%</t>
        </is>
      </c>
      <c r="O732" s="3" t="inlineStr">
        <is>
          <t>Сейитлиев</t>
        </is>
      </c>
      <c r="P732" s="3" t="inlineStr">
        <is>
          <t>H16</t>
        </is>
      </c>
      <c t="str" r="Q732" s="6">
        <f>A732&amp;"|"&amp;C732&amp;"|"&amp;D732&amp;"|"&amp;G732</f>
        <v>Сейитлиев Мердан Иламанович, Туркменистан|Шкала|Оборудование|2</v>
      </c>
      <c t="str" r="R732" s="6">
        <f>A732&amp;"|"&amp;C732&amp;"|"&amp;D732&amp;"|"&amp;J732</f>
        <v>Сейитлиев Мердан Иламанович, Туркменистан|Шкала|Оборудование|4</v>
      </c>
      <c t="str" r="S732" s="6">
        <f>A732&amp;"|"&amp;C732&amp;"|"&amp;D732&amp;"|"&amp;G732&amp;"|"&amp;J732</f>
        <v>Сейитлиев Мердан Иламанович, Туркменистан|Шкала|Оборудование|2|4</v>
      </c>
      <c t="str" r="T732" s="6">
        <f>A732&amp;"|"&amp;C732&amp;"|"&amp;G732</f>
        <v>Сейитлиев Мердан Иламанович, Туркменистан|Шкала|2</v>
      </c>
      <c t="str" r="U732" s="6">
        <f>IF(H732="да",A732&amp;"|"&amp;C732&amp;"|"&amp;D732&amp;"|"&amp;J732,"")</f>
        <v/>
      </c>
      <c t="str" r="V732" s="6">
        <f>IF(C732="План",A732&amp;"|"&amp;J732,"")</f>
        <v/>
      </c>
    </row>
    <row r="733">
      <c r="A733" s="3" t="inlineStr">
        <is>
          <t>Сейитлиев Мердан Иламанович, Туркменистан</t>
        </is>
      </c>
      <c r="B733" s="3" t="inlineStr">
        <is>
          <t>Заруб</t>
        </is>
      </c>
      <c r="C733" s="3" t="inlineStr">
        <is>
          <t>Шкала</t>
        </is>
      </c>
      <c r="D733" s="3" t="inlineStr">
        <is>
          <t>Оборудование</t>
        </is>
      </c>
      <c r="E733" s="3" t="inlineStr">
        <is>
          <t>Оборудование — за полугодие</t>
        </is>
      </c>
      <c r="F733" s="3" t="inlineStr">
        <is>
          <t>Наличие сервисного центра и гарантийное обслуживание</t>
        </is>
      </c>
      <c r="G733" s="4" t="n">
        <v>2</v>
      </c>
      <c r="H733" s="4" t="n"/>
      <c r="I733" s="3" t="inlineStr">
        <is>
          <t>190-224</t>
        </is>
      </c>
      <c r="J733" s="4" t="n">
        <v>5</v>
      </c>
      <c r="K733" s="4" t="n"/>
      <c r="L733" s="4" t="n"/>
      <c r="M733" s="8" t="n">
        <v>0.01</v>
      </c>
      <c r="N733" s="4" t="inlineStr">
        <is>
          <t>%</t>
        </is>
      </c>
      <c r="O733" s="3" t="inlineStr">
        <is>
          <t>Сейитлиев</t>
        </is>
      </c>
      <c r="P733" s="3" t="inlineStr">
        <is>
          <t>I16</t>
        </is>
      </c>
      <c t="str" r="Q733" s="6">
        <f>A733&amp;"|"&amp;C733&amp;"|"&amp;D733&amp;"|"&amp;G733</f>
        <v>Сейитлиев Мердан Иламанович, Туркменистан|Шкала|Оборудование|2</v>
      </c>
      <c t="str" r="R733" s="6">
        <f>A733&amp;"|"&amp;C733&amp;"|"&amp;D733&amp;"|"&amp;J733</f>
        <v>Сейитлиев Мердан Иламанович, Туркменистан|Шкала|Оборудование|5</v>
      </c>
      <c t="str" r="S733" s="6">
        <f>A733&amp;"|"&amp;C733&amp;"|"&amp;D733&amp;"|"&amp;G733&amp;"|"&amp;J733</f>
        <v>Сейитлиев Мердан Иламанович, Туркменистан|Шкала|Оборудование|2|5</v>
      </c>
      <c t="str" r="T733" s="6">
        <f>A733&amp;"|"&amp;C733&amp;"|"&amp;G733</f>
        <v>Сейитлиев Мердан Иламанович, Туркменистан|Шкала|2</v>
      </c>
      <c t="str" r="U733" s="6">
        <f>IF(H733="да",A733&amp;"|"&amp;C733&amp;"|"&amp;D733&amp;"|"&amp;J733,"")</f>
        <v/>
      </c>
      <c t="str" r="V733" s="6">
        <f>IF(C733="План",A733&amp;"|"&amp;J733,"")</f>
        <v/>
      </c>
    </row>
    <row r="734">
      <c r="A734" s="3" t="inlineStr">
        <is>
          <t>Сейитлиев Мердан Иламанович, Туркменистан</t>
        </is>
      </c>
      <c r="B734" s="3" t="inlineStr">
        <is>
          <t>Заруб</t>
        </is>
      </c>
      <c r="C734" s="3" t="inlineStr">
        <is>
          <t>Шкала</t>
        </is>
      </c>
      <c r="D734" s="3" t="inlineStr">
        <is>
          <t>Оборудование</t>
        </is>
      </c>
      <c r="E734" s="3" t="inlineStr">
        <is>
          <t>Оборудование — за полугодие</t>
        </is>
      </c>
      <c r="F734" s="3" t="inlineStr">
        <is>
          <t>Наличие сервисного центра и гарантийное обслуживание</t>
        </is>
      </c>
      <c r="G734" s="4" t="n">
        <v>2</v>
      </c>
      <c r="H734" s="4" t="n"/>
      <c r="I734" s="3" t="inlineStr">
        <is>
          <t>225 и более</t>
        </is>
      </c>
      <c r="J734" s="4" t="n">
        <v>6</v>
      </c>
      <c r="K734" s="4" t="n"/>
      <c r="L734" s="4" t="n"/>
      <c r="M734" s="8" t="n">
        <v>0.01</v>
      </c>
      <c r="N734" s="4" t="inlineStr">
        <is>
          <t>%</t>
        </is>
      </c>
      <c r="O734" s="3" t="inlineStr">
        <is>
          <t>Сейитлиев</t>
        </is>
      </c>
      <c r="P734" s="3" t="inlineStr">
        <is>
          <t>J16</t>
        </is>
      </c>
      <c t="str" r="Q734" s="6">
        <f>A734&amp;"|"&amp;C734&amp;"|"&amp;D734&amp;"|"&amp;G734</f>
        <v>Сейитлиев Мердан Иламанович, Туркменистан|Шкала|Оборудование|2</v>
      </c>
      <c t="str" r="R734" s="6">
        <f>A734&amp;"|"&amp;C734&amp;"|"&amp;D734&amp;"|"&amp;J734</f>
        <v>Сейитлиев Мердан Иламанович, Туркменистан|Шкала|Оборудование|6</v>
      </c>
      <c t="str" r="S734" s="6">
        <f>A734&amp;"|"&amp;C734&amp;"|"&amp;D734&amp;"|"&amp;G734&amp;"|"&amp;J734</f>
        <v>Сейитлиев Мердан Иламанович, Туркменистан|Шкала|Оборудование|2|6</v>
      </c>
      <c t="str" r="T734" s="6">
        <f>A734&amp;"|"&amp;C734&amp;"|"&amp;G734</f>
        <v>Сейитлиев Мердан Иламанович, Туркменистан|Шкала|2</v>
      </c>
      <c t="str" r="U734" s="6">
        <f>IF(H734="да",A734&amp;"|"&amp;C734&amp;"|"&amp;D734&amp;"|"&amp;J734,"")</f>
        <v/>
      </c>
      <c t="str" r="V734" s="6">
        <f>IF(C734="План",A734&amp;"|"&amp;J734,"")</f>
        <v/>
      </c>
    </row>
    <row r="735">
      <c r="A735" s="3" t="inlineStr">
        <is>
          <t>Сейитлиев Мердан Иламанович, Туркменистан</t>
        </is>
      </c>
      <c r="B735" s="3" t="inlineStr">
        <is>
          <t>Заруб</t>
        </is>
      </c>
      <c r="C735" s="3" t="inlineStr">
        <is>
          <t>Шкала</t>
        </is>
      </c>
      <c r="D735" s="3" t="inlineStr">
        <is>
          <t>Оборудование</t>
        </is>
      </c>
      <c r="E735" s="3" t="inlineStr">
        <is>
          <t>Оборудование — за полугодие</t>
        </is>
      </c>
      <c r="F735" s="3" t="inlineStr">
        <is>
          <t>Объем закупок МП</t>
        </is>
      </c>
      <c r="G735" s="4" t="n">
        <v>3</v>
      </c>
      <c r="H735" s="4" t="n"/>
      <c r="I735" s="3" t="inlineStr">
        <is>
          <t>до 75</t>
        </is>
      </c>
      <c r="J735" s="4" t="n">
        <v>1</v>
      </c>
      <c r="K735" s="4" t="n"/>
      <c r="L735" s="4" t="n"/>
      <c r="M735" s="8" t="n">
        <v>0.07000000000000001</v>
      </c>
      <c r="N735" s="4" t="inlineStr">
        <is>
          <t>%</t>
        </is>
      </c>
      <c r="O735" s="3" t="inlineStr">
        <is>
          <t>Сейитлиев</t>
        </is>
      </c>
      <c r="P735" s="3" t="inlineStr">
        <is>
          <t>E17</t>
        </is>
      </c>
      <c t="str" r="Q735" s="6">
        <f>A735&amp;"|"&amp;C735&amp;"|"&amp;D735&amp;"|"&amp;G735</f>
        <v>Сейитлиев Мердан Иламанович, Туркменистан|Шкала|Оборудование|3</v>
      </c>
      <c t="str" r="R735" s="6">
        <f>A735&amp;"|"&amp;C735&amp;"|"&amp;D735&amp;"|"&amp;J735</f>
        <v>Сейитлиев Мердан Иламанович, Туркменистан|Шкала|Оборудование|1</v>
      </c>
      <c t="str" r="S735" s="6">
        <f>A735&amp;"|"&amp;C735&amp;"|"&amp;D735&amp;"|"&amp;G735&amp;"|"&amp;J735</f>
        <v>Сейитлиев Мердан Иламанович, Туркменистан|Шкала|Оборудование|3|1</v>
      </c>
      <c t="str" r="T735" s="6">
        <f>A735&amp;"|"&amp;C735&amp;"|"&amp;G735</f>
        <v>Сейитлиев Мердан Иламанович, Туркменистан|Шкала|3</v>
      </c>
      <c t="str" r="U735" s="6">
        <f>IF(H735="да",A735&amp;"|"&amp;C735&amp;"|"&amp;D735&amp;"|"&amp;J735,"")</f>
        <v/>
      </c>
      <c t="str" r="V735" s="6">
        <f>IF(C735="План",A735&amp;"|"&amp;J735,"")</f>
        <v/>
      </c>
    </row>
    <row r="736">
      <c r="A736" s="3" t="inlineStr">
        <is>
          <t>Сейитлиев Мердан Иламанович, Туркменистан</t>
        </is>
      </c>
      <c r="B736" s="3" t="inlineStr">
        <is>
          <t>Заруб</t>
        </is>
      </c>
      <c r="C736" s="3" t="inlineStr">
        <is>
          <t>Шкала</t>
        </is>
      </c>
      <c r="D736" s="3" t="inlineStr">
        <is>
          <t>Оборудование</t>
        </is>
      </c>
      <c r="E736" s="3" t="inlineStr">
        <is>
          <t>Оборудование — за полугодие</t>
        </is>
      </c>
      <c r="F736" s="3" t="inlineStr">
        <is>
          <t>Объем закупок МП</t>
        </is>
      </c>
      <c r="G736" s="4" t="n">
        <v>3</v>
      </c>
      <c r="H736" s="4" t="n"/>
      <c r="I736" s="3" t="inlineStr">
        <is>
          <t>75-114</t>
        </is>
      </c>
      <c r="J736" s="4" t="n">
        <v>2</v>
      </c>
      <c r="K736" s="4" t="n"/>
      <c r="L736" s="4" t="n"/>
      <c r="M736" s="8" t="n">
        <v>0.09</v>
      </c>
      <c r="N736" s="4" t="inlineStr">
        <is>
          <t>%</t>
        </is>
      </c>
      <c r="O736" s="3" t="inlineStr">
        <is>
          <t>Сейитлиев</t>
        </is>
      </c>
      <c r="P736" s="3" t="inlineStr">
        <is>
          <t>F17</t>
        </is>
      </c>
      <c t="str" r="Q736" s="6">
        <f>A736&amp;"|"&amp;C736&amp;"|"&amp;D736&amp;"|"&amp;G736</f>
        <v>Сейитлиев Мердан Иламанович, Туркменистан|Шкала|Оборудование|3</v>
      </c>
      <c t="str" r="R736" s="6">
        <f>A736&amp;"|"&amp;C736&amp;"|"&amp;D736&amp;"|"&amp;J736</f>
        <v>Сейитлиев Мердан Иламанович, Туркменистан|Шкала|Оборудование|2</v>
      </c>
      <c t="str" r="S736" s="6">
        <f>A736&amp;"|"&amp;C736&amp;"|"&amp;D736&amp;"|"&amp;G736&amp;"|"&amp;J736</f>
        <v>Сейитлиев Мердан Иламанович, Туркменистан|Шкала|Оборудование|3|2</v>
      </c>
      <c t="str" r="T736" s="6">
        <f>A736&amp;"|"&amp;C736&amp;"|"&amp;G736</f>
        <v>Сейитлиев Мердан Иламанович, Туркменистан|Шкала|3</v>
      </c>
      <c t="str" r="U736" s="6">
        <f>IF(H736="да",A736&amp;"|"&amp;C736&amp;"|"&amp;D736&amp;"|"&amp;J736,"")</f>
        <v/>
      </c>
      <c t="str" r="V736" s="6">
        <f>IF(C736="План",A736&amp;"|"&amp;J736,"")</f>
        <v/>
      </c>
    </row>
    <row r="737">
      <c r="A737" s="3" t="inlineStr">
        <is>
          <t>Сейитлиев Мердан Иламанович, Туркменистан</t>
        </is>
      </c>
      <c r="B737" s="3" t="inlineStr">
        <is>
          <t>Заруб</t>
        </is>
      </c>
      <c r="C737" s="3" t="inlineStr">
        <is>
          <t>Шкала</t>
        </is>
      </c>
      <c r="D737" s="3" t="inlineStr">
        <is>
          <t>Оборудование</t>
        </is>
      </c>
      <c r="E737" s="3" t="inlineStr">
        <is>
          <t>Оборудование — за полугодие</t>
        </is>
      </c>
      <c r="F737" s="3" t="inlineStr">
        <is>
          <t>Объем закупок МП</t>
        </is>
      </c>
      <c r="G737" s="4" t="n">
        <v>3</v>
      </c>
      <c r="H737" s="4" t="n"/>
      <c r="I737" s="3" t="inlineStr">
        <is>
          <t>115-149</t>
        </is>
      </c>
      <c r="J737" s="4" t="n">
        <v>3</v>
      </c>
      <c r="K737" s="4" t="n"/>
      <c r="L737" s="4" t="n"/>
      <c r="M737" s="8" t="n">
        <v>0.1</v>
      </c>
      <c r="N737" s="4" t="inlineStr">
        <is>
          <t>%</t>
        </is>
      </c>
      <c r="O737" s="3" t="inlineStr">
        <is>
          <t>Сейитлиев</t>
        </is>
      </c>
      <c r="P737" s="3" t="inlineStr">
        <is>
          <t>G17</t>
        </is>
      </c>
      <c t="str" r="Q737" s="6">
        <f>A737&amp;"|"&amp;C737&amp;"|"&amp;D737&amp;"|"&amp;G737</f>
        <v>Сейитлиев Мердан Иламанович, Туркменистан|Шкала|Оборудование|3</v>
      </c>
      <c t="str" r="R737" s="6">
        <f>A737&amp;"|"&amp;C737&amp;"|"&amp;D737&amp;"|"&amp;J737</f>
        <v>Сейитлиев Мердан Иламанович, Туркменистан|Шкала|Оборудование|3</v>
      </c>
      <c t="str" r="S737" s="6">
        <f>A737&amp;"|"&amp;C737&amp;"|"&amp;D737&amp;"|"&amp;G737&amp;"|"&amp;J737</f>
        <v>Сейитлиев Мердан Иламанович, Туркменистан|Шкала|Оборудование|3|3</v>
      </c>
      <c t="str" r="T737" s="6">
        <f>A737&amp;"|"&amp;C737&amp;"|"&amp;G737</f>
        <v>Сейитлиев Мердан Иламанович, Туркменистан|Шкала|3</v>
      </c>
      <c t="str" r="U737" s="6">
        <f>IF(H737="да",A737&amp;"|"&amp;C737&amp;"|"&amp;D737&amp;"|"&amp;J737,"")</f>
        <v/>
      </c>
      <c t="str" r="V737" s="6">
        <f>IF(C737="План",A737&amp;"|"&amp;J737,"")</f>
        <v/>
      </c>
    </row>
    <row r="738">
      <c r="A738" s="3" t="inlineStr">
        <is>
          <t>Сейитлиев Мердан Иламанович, Туркменистан</t>
        </is>
      </c>
      <c r="B738" s="3" t="inlineStr">
        <is>
          <t>Заруб</t>
        </is>
      </c>
      <c r="C738" s="3" t="inlineStr">
        <is>
          <t>Шкала</t>
        </is>
      </c>
      <c r="D738" s="3" t="inlineStr">
        <is>
          <t>Оборудование</t>
        </is>
      </c>
      <c r="E738" s="3" t="inlineStr">
        <is>
          <t>Оборудование — за полугодие</t>
        </is>
      </c>
      <c r="F738" s="3" t="inlineStr">
        <is>
          <t>Объем закупок МП</t>
        </is>
      </c>
      <c r="G738" s="4" t="n">
        <v>3</v>
      </c>
      <c r="H738" s="4" t="n"/>
      <c r="I738" s="3" t="inlineStr">
        <is>
          <t>150-189</t>
        </is>
      </c>
      <c r="J738" s="4" t="n">
        <v>4</v>
      </c>
      <c r="K738" s="4" t="n"/>
      <c r="L738" s="4" t="n"/>
      <c r="M738" s="8" t="n">
        <v>0.11</v>
      </c>
      <c r="N738" s="4" t="inlineStr">
        <is>
          <t>%</t>
        </is>
      </c>
      <c r="O738" s="3" t="inlineStr">
        <is>
          <t>Сейитлиев</t>
        </is>
      </c>
      <c r="P738" s="3" t="inlineStr">
        <is>
          <t>H17</t>
        </is>
      </c>
      <c t="str" r="Q738" s="6">
        <f>A738&amp;"|"&amp;C738&amp;"|"&amp;D738&amp;"|"&amp;G738</f>
        <v>Сейитлиев Мердан Иламанович, Туркменистан|Шкала|Оборудование|3</v>
      </c>
      <c t="str" r="R738" s="6">
        <f>A738&amp;"|"&amp;C738&amp;"|"&amp;D738&amp;"|"&amp;J738</f>
        <v>Сейитлиев Мердан Иламанович, Туркменистан|Шкала|Оборудование|4</v>
      </c>
      <c t="str" r="S738" s="6">
        <f>A738&amp;"|"&amp;C738&amp;"|"&amp;D738&amp;"|"&amp;G738&amp;"|"&amp;J738</f>
        <v>Сейитлиев Мердан Иламанович, Туркменистан|Шкала|Оборудование|3|4</v>
      </c>
      <c t="str" r="T738" s="6">
        <f>A738&amp;"|"&amp;C738&amp;"|"&amp;G738</f>
        <v>Сейитлиев Мердан Иламанович, Туркменистан|Шкала|3</v>
      </c>
      <c t="str" r="U738" s="6">
        <f>IF(H738="да",A738&amp;"|"&amp;C738&amp;"|"&amp;D738&amp;"|"&amp;J738,"")</f>
        <v/>
      </c>
      <c t="str" r="V738" s="6">
        <f>IF(C738="План",A738&amp;"|"&amp;J738,"")</f>
        <v/>
      </c>
    </row>
    <row r="739">
      <c r="A739" s="3" t="inlineStr">
        <is>
          <t>Сейитлиев Мердан Иламанович, Туркменистан</t>
        </is>
      </c>
      <c r="B739" s="3" t="inlineStr">
        <is>
          <t>Заруб</t>
        </is>
      </c>
      <c r="C739" s="3" t="inlineStr">
        <is>
          <t>Шкала</t>
        </is>
      </c>
      <c r="D739" s="3" t="inlineStr">
        <is>
          <t>Оборудование</t>
        </is>
      </c>
      <c r="E739" s="3" t="inlineStr">
        <is>
          <t>Оборудование — за полугодие</t>
        </is>
      </c>
      <c r="F739" s="3" t="inlineStr">
        <is>
          <t>Объем закупок МП</t>
        </is>
      </c>
      <c r="G739" s="4" t="n">
        <v>3</v>
      </c>
      <c r="H739" s="4" t="n"/>
      <c r="I739" s="3" t="inlineStr">
        <is>
          <t>190-224</t>
        </is>
      </c>
      <c r="J739" s="4" t="n">
        <v>5</v>
      </c>
      <c r="K739" s="4" t="n"/>
      <c r="L739" s="4" t="n"/>
      <c r="M739" s="8" t="n">
        <v>0.12</v>
      </c>
      <c r="N739" s="4" t="inlineStr">
        <is>
          <t>%</t>
        </is>
      </c>
      <c r="O739" s="3" t="inlineStr">
        <is>
          <t>Сейитлиев</t>
        </is>
      </c>
      <c r="P739" s="3" t="inlineStr">
        <is>
          <t>I17</t>
        </is>
      </c>
      <c t="str" r="Q739" s="6">
        <f>A739&amp;"|"&amp;C739&amp;"|"&amp;D739&amp;"|"&amp;G739</f>
        <v>Сейитлиев Мердан Иламанович, Туркменистан|Шкала|Оборудование|3</v>
      </c>
      <c t="str" r="R739" s="6">
        <f>A739&amp;"|"&amp;C739&amp;"|"&amp;D739&amp;"|"&amp;J739</f>
        <v>Сейитлиев Мердан Иламанович, Туркменистан|Шкала|Оборудование|5</v>
      </c>
      <c t="str" r="S739" s="6">
        <f>A739&amp;"|"&amp;C739&amp;"|"&amp;D739&amp;"|"&amp;G739&amp;"|"&amp;J739</f>
        <v>Сейитлиев Мердан Иламанович, Туркменистан|Шкала|Оборудование|3|5</v>
      </c>
      <c t="str" r="T739" s="6">
        <f>A739&amp;"|"&amp;C739&amp;"|"&amp;G739</f>
        <v>Сейитлиев Мердан Иламанович, Туркменистан|Шкала|3</v>
      </c>
      <c t="str" r="U739" s="6">
        <f>IF(H739="да",A739&amp;"|"&amp;C739&amp;"|"&amp;D739&amp;"|"&amp;J739,"")</f>
        <v/>
      </c>
      <c t="str" r="V739" s="6">
        <f>IF(C739="План",A739&amp;"|"&amp;J739,"")</f>
        <v/>
      </c>
    </row>
    <row r="740">
      <c r="A740" s="3" t="inlineStr">
        <is>
          <t>Сейитлиев Мердан Иламанович, Туркменистан</t>
        </is>
      </c>
      <c r="B740" s="3" t="inlineStr">
        <is>
          <t>Заруб</t>
        </is>
      </c>
      <c r="C740" s="3" t="inlineStr">
        <is>
          <t>Шкала</t>
        </is>
      </c>
      <c r="D740" s="3" t="inlineStr">
        <is>
          <t>Оборудование</t>
        </is>
      </c>
      <c r="E740" s="3" t="inlineStr">
        <is>
          <t>Оборудование — за полугодие</t>
        </is>
      </c>
      <c r="F740" s="3" t="inlineStr">
        <is>
          <t>Объем закупок МП</t>
        </is>
      </c>
      <c r="G740" s="4" t="n">
        <v>3</v>
      </c>
      <c r="H740" s="4" t="n"/>
      <c r="I740" s="3" t="inlineStr">
        <is>
          <t>225 и более</t>
        </is>
      </c>
      <c r="J740" s="4" t="n">
        <v>6</v>
      </c>
      <c r="K740" s="4" t="n"/>
      <c r="L740" s="4" t="n"/>
      <c r="M740" s="8" t="n">
        <v>0.13</v>
      </c>
      <c r="N740" s="4" t="inlineStr">
        <is>
          <t>%</t>
        </is>
      </c>
      <c r="O740" s="3" t="inlineStr">
        <is>
          <t>Сейитлиев</t>
        </is>
      </c>
      <c r="P740" s="3" t="inlineStr">
        <is>
          <t>J17</t>
        </is>
      </c>
      <c t="str" r="Q740" s="6">
        <f>A740&amp;"|"&amp;C740&amp;"|"&amp;D740&amp;"|"&amp;G740</f>
        <v>Сейитлиев Мердан Иламанович, Туркменистан|Шкала|Оборудование|3</v>
      </c>
      <c t="str" r="R740" s="6">
        <f>A740&amp;"|"&amp;C740&amp;"|"&amp;D740&amp;"|"&amp;J740</f>
        <v>Сейитлиев Мердан Иламанович, Туркменистан|Шкала|Оборудование|6</v>
      </c>
      <c t="str" r="S740" s="6">
        <f>A740&amp;"|"&amp;C740&amp;"|"&amp;D740&amp;"|"&amp;G740&amp;"|"&amp;J740</f>
        <v>Сейитлиев Мердан Иламанович, Туркменистан|Шкала|Оборудование|3|6</v>
      </c>
      <c t="str" r="T740" s="6">
        <f>A740&amp;"|"&amp;C740&amp;"|"&amp;G740</f>
        <v>Сейитлиев Мердан Иламанович, Туркменистан|Шкала|3</v>
      </c>
      <c t="str" r="U740" s="6">
        <f>IF(H740="да",A740&amp;"|"&amp;C740&amp;"|"&amp;D740&amp;"|"&amp;J740,"")</f>
        <v/>
      </c>
      <c t="str" r="V740" s="6">
        <f>IF(C740="План",A740&amp;"|"&amp;J740,"")</f>
        <v/>
      </c>
    </row>
    <row r="741">
      <c r="A741" s="3" t="inlineStr">
        <is>
          <t>Сейитлиев Мердан Иламанович, Туркменистан</t>
        </is>
      </c>
      <c r="B741" s="3" t="inlineStr">
        <is>
          <t>Заруб</t>
        </is>
      </c>
      <c r="C741" s="3" t="inlineStr">
        <is>
          <t>Шкала</t>
        </is>
      </c>
      <c r="D741" s="3" t="inlineStr">
        <is>
          <t>Оборудование</t>
        </is>
      </c>
      <c r="E741" s="3" t="inlineStr">
        <is>
          <t>Оборудование — за полугодие</t>
        </is>
      </c>
      <c r="F741" s="3" t="inlineStr">
        <is>
          <t>ИТОГО</t>
        </is>
      </c>
      <c r="G741" s="4" t="n">
        <v>4</v>
      </c>
      <c r="H741" s="4" t="inlineStr">
        <is>
          <t>да</t>
        </is>
      </c>
      <c r="I741" s="3" t="inlineStr">
        <is>
          <t>до 75</t>
        </is>
      </c>
      <c r="J741" s="4" t="n">
        <v>1</v>
      </c>
      <c r="K741" s="4" t="n"/>
      <c r="L741" s="4" t="n"/>
      <c r="M741" s="8" t="n">
        <v>0.14</v>
      </c>
      <c r="N741" s="4" t="inlineStr">
        <is>
          <t>%</t>
        </is>
      </c>
      <c r="O741" s="3" t="inlineStr">
        <is>
          <t>Сейитлиев</t>
        </is>
      </c>
      <c r="P741" s="3" t="inlineStr">
        <is>
          <t>E18</t>
        </is>
      </c>
      <c t="str" r="Q741" s="6">
        <f>A741&amp;"|"&amp;C741&amp;"|"&amp;D741&amp;"|"&amp;G741</f>
        <v>Сейитлиев Мердан Иламанович, Туркменистан|Шкала|Оборудование|4</v>
      </c>
      <c t="str" r="R741" s="6">
        <f>A741&amp;"|"&amp;C741&amp;"|"&amp;D741&amp;"|"&amp;J741</f>
        <v>Сейитлиев Мердан Иламанович, Туркменистан|Шкала|Оборудование|1</v>
      </c>
      <c t="str" r="S741" s="6">
        <f>A741&amp;"|"&amp;C741&amp;"|"&amp;D741&amp;"|"&amp;G741&amp;"|"&amp;J741</f>
        <v>Сейитлиев Мердан Иламанович, Туркменистан|Шкала|Оборудование|4|1</v>
      </c>
      <c t="str" r="T741" s="6">
        <f>A741&amp;"|"&amp;C741&amp;"|"&amp;G741</f>
        <v>Сейитлиев Мердан Иламанович, Туркменистан|Шкала|4</v>
      </c>
      <c t="str" r="U741" s="6">
        <f>IF(H741="да",A741&amp;"|"&amp;C741&amp;"|"&amp;D741&amp;"|"&amp;J741,"")</f>
        <v>Сейитлиев Мердан Иламанович, Туркменистан|Шкала|Оборудование|1</v>
      </c>
      <c t="str" r="V741" s="6">
        <f>IF(C741="План",A741&amp;"|"&amp;J741,"")</f>
        <v/>
      </c>
    </row>
    <row r="742">
      <c r="A742" s="3" t="inlineStr">
        <is>
          <t>Сейитлиев Мердан Иламанович, Туркменистан</t>
        </is>
      </c>
      <c r="B742" s="3" t="inlineStr">
        <is>
          <t>Заруб</t>
        </is>
      </c>
      <c r="C742" s="3" t="inlineStr">
        <is>
          <t>Шкала</t>
        </is>
      </c>
      <c r="D742" s="3" t="inlineStr">
        <is>
          <t>Оборудование</t>
        </is>
      </c>
      <c r="E742" s="3" t="inlineStr">
        <is>
          <t>Оборудование — за полугодие</t>
        </is>
      </c>
      <c r="F742" s="3" t="inlineStr">
        <is>
          <t>ИТОГО</t>
        </is>
      </c>
      <c r="G742" s="4" t="n">
        <v>4</v>
      </c>
      <c r="H742" s="4" t="inlineStr">
        <is>
          <t>да</t>
        </is>
      </c>
      <c r="I742" s="3" t="inlineStr">
        <is>
          <t>75-114</t>
        </is>
      </c>
      <c r="J742" s="4" t="n">
        <v>2</v>
      </c>
      <c r="K742" s="4" t="n"/>
      <c r="L742" s="4" t="n"/>
      <c r="M742" s="8" t="n">
        <v>0.16</v>
      </c>
      <c r="N742" s="4" t="inlineStr">
        <is>
          <t>%</t>
        </is>
      </c>
      <c r="O742" s="3" t="inlineStr">
        <is>
          <t>Сейитлиев</t>
        </is>
      </c>
      <c r="P742" s="3" t="inlineStr">
        <is>
          <t>F18</t>
        </is>
      </c>
      <c t="str" r="Q742" s="6">
        <f>A742&amp;"|"&amp;C742&amp;"|"&amp;D742&amp;"|"&amp;G742</f>
        <v>Сейитлиев Мердан Иламанович, Туркменистан|Шкала|Оборудование|4</v>
      </c>
      <c t="str" r="R742" s="6">
        <f>A742&amp;"|"&amp;C742&amp;"|"&amp;D742&amp;"|"&amp;J742</f>
        <v>Сейитлиев Мердан Иламанович, Туркменистан|Шкала|Оборудование|2</v>
      </c>
      <c t="str" r="S742" s="6">
        <f>A742&amp;"|"&amp;C742&amp;"|"&amp;D742&amp;"|"&amp;G742&amp;"|"&amp;J742</f>
        <v>Сейитлиев Мердан Иламанович, Туркменистан|Шкала|Оборудование|4|2</v>
      </c>
      <c t="str" r="T742" s="6">
        <f>A742&amp;"|"&amp;C742&amp;"|"&amp;G742</f>
        <v>Сейитлиев Мердан Иламанович, Туркменистан|Шкала|4</v>
      </c>
      <c t="str" r="U742" s="6">
        <f>IF(H742="да",A742&amp;"|"&amp;C742&amp;"|"&amp;D742&amp;"|"&amp;J742,"")</f>
        <v>Сейитлиев Мердан Иламанович, Туркменистан|Шкала|Оборудование|2</v>
      </c>
      <c t="str" r="V742" s="6">
        <f>IF(C742="План",A742&amp;"|"&amp;J742,"")</f>
        <v/>
      </c>
    </row>
    <row r="743">
      <c r="A743" s="3" t="inlineStr">
        <is>
          <t>Сейитлиев Мердан Иламанович, Туркменистан</t>
        </is>
      </c>
      <c r="B743" s="3" t="inlineStr">
        <is>
          <t>Заруб</t>
        </is>
      </c>
      <c r="C743" s="3" t="inlineStr">
        <is>
          <t>Шкала</t>
        </is>
      </c>
      <c r="D743" s="3" t="inlineStr">
        <is>
          <t>Оборудование</t>
        </is>
      </c>
      <c r="E743" s="3" t="inlineStr">
        <is>
          <t>Оборудование — за полугодие</t>
        </is>
      </c>
      <c r="F743" s="3" t="inlineStr">
        <is>
          <t>ИТОГО</t>
        </is>
      </c>
      <c r="G743" s="4" t="n">
        <v>4</v>
      </c>
      <c r="H743" s="4" t="inlineStr">
        <is>
          <t>да</t>
        </is>
      </c>
      <c r="I743" s="3" t="inlineStr">
        <is>
          <t>115-149</t>
        </is>
      </c>
      <c r="J743" s="4" t="n">
        <v>3</v>
      </c>
      <c r="K743" s="4" t="n"/>
      <c r="L743" s="4" t="n"/>
      <c r="M743" s="8" t="n">
        <v>0.17</v>
      </c>
      <c r="N743" s="4" t="inlineStr">
        <is>
          <t>%</t>
        </is>
      </c>
      <c r="O743" s="3" t="inlineStr">
        <is>
          <t>Сейитлиев</t>
        </is>
      </c>
      <c r="P743" s="3" t="inlineStr">
        <is>
          <t>G18</t>
        </is>
      </c>
      <c t="str" r="Q743" s="6">
        <f>A743&amp;"|"&amp;C743&amp;"|"&amp;D743&amp;"|"&amp;G743</f>
        <v>Сейитлиев Мердан Иламанович, Туркменистан|Шкала|Оборудование|4</v>
      </c>
      <c t="str" r="R743" s="6">
        <f>A743&amp;"|"&amp;C743&amp;"|"&amp;D743&amp;"|"&amp;J743</f>
        <v>Сейитлиев Мердан Иламанович, Туркменистан|Шкала|Оборудование|3</v>
      </c>
      <c t="str" r="S743" s="6">
        <f>A743&amp;"|"&amp;C743&amp;"|"&amp;D743&amp;"|"&amp;G743&amp;"|"&amp;J743</f>
        <v>Сейитлиев Мердан Иламанович, Туркменистан|Шкала|Оборудование|4|3</v>
      </c>
      <c t="str" r="T743" s="6">
        <f>A743&amp;"|"&amp;C743&amp;"|"&amp;G743</f>
        <v>Сейитлиев Мердан Иламанович, Туркменистан|Шкала|4</v>
      </c>
      <c t="str" r="U743" s="6">
        <f>IF(H743="да",A743&amp;"|"&amp;C743&amp;"|"&amp;D743&amp;"|"&amp;J743,"")</f>
        <v>Сейитлиев Мердан Иламанович, Туркменистан|Шкала|Оборудование|3</v>
      </c>
      <c t="str" r="V743" s="6">
        <f>IF(C743="План",A743&amp;"|"&amp;J743,"")</f>
        <v/>
      </c>
    </row>
    <row r="744">
      <c r="A744" s="3" t="inlineStr">
        <is>
          <t>Сейитлиев Мердан Иламанович, Туркменистан</t>
        </is>
      </c>
      <c r="B744" s="3" t="inlineStr">
        <is>
          <t>Заруб</t>
        </is>
      </c>
      <c r="C744" s="3" t="inlineStr">
        <is>
          <t>Шкала</t>
        </is>
      </c>
      <c r="D744" s="3" t="inlineStr">
        <is>
          <t>Оборудование</t>
        </is>
      </c>
      <c r="E744" s="3" t="inlineStr">
        <is>
          <t>Оборудование — за полугодие</t>
        </is>
      </c>
      <c r="F744" s="3" t="inlineStr">
        <is>
          <t>ИТОГО</t>
        </is>
      </c>
      <c r="G744" s="4" t="n">
        <v>4</v>
      </c>
      <c r="H744" s="4" t="inlineStr">
        <is>
          <t>да</t>
        </is>
      </c>
      <c r="I744" s="3" t="inlineStr">
        <is>
          <t>150-189</t>
        </is>
      </c>
      <c r="J744" s="4" t="n">
        <v>4</v>
      </c>
      <c r="K744" s="4" t="n"/>
      <c r="L744" s="4" t="n"/>
      <c r="M744" s="8" t="n">
        <v>0.18</v>
      </c>
      <c r="N744" s="4" t="inlineStr">
        <is>
          <t>%</t>
        </is>
      </c>
      <c r="O744" s="3" t="inlineStr">
        <is>
          <t>Сейитлиев</t>
        </is>
      </c>
      <c r="P744" s="3" t="inlineStr">
        <is>
          <t>H18</t>
        </is>
      </c>
      <c t="str" r="Q744" s="6">
        <f>A744&amp;"|"&amp;C744&amp;"|"&amp;D744&amp;"|"&amp;G744</f>
        <v>Сейитлиев Мердан Иламанович, Туркменистан|Шкала|Оборудование|4</v>
      </c>
      <c t="str" r="R744" s="6">
        <f>A744&amp;"|"&amp;C744&amp;"|"&amp;D744&amp;"|"&amp;J744</f>
        <v>Сейитлиев Мердан Иламанович, Туркменистан|Шкала|Оборудование|4</v>
      </c>
      <c t="str" r="S744" s="6">
        <f>A744&amp;"|"&amp;C744&amp;"|"&amp;D744&amp;"|"&amp;G744&amp;"|"&amp;J744</f>
        <v>Сейитлиев Мердан Иламанович, Туркменистан|Шкала|Оборудование|4|4</v>
      </c>
      <c t="str" r="T744" s="6">
        <f>A744&amp;"|"&amp;C744&amp;"|"&amp;G744</f>
        <v>Сейитлиев Мердан Иламанович, Туркменистан|Шкала|4</v>
      </c>
      <c t="str" r="U744" s="6">
        <f>IF(H744="да",A744&amp;"|"&amp;C744&amp;"|"&amp;D744&amp;"|"&amp;J744,"")</f>
        <v>Сейитлиев Мердан Иламанович, Туркменистан|Шкала|Оборудование|4</v>
      </c>
      <c t="str" r="V744" s="6">
        <f>IF(C744="План",A744&amp;"|"&amp;J744,"")</f>
        <v/>
      </c>
    </row>
    <row r="745">
      <c r="A745" s="3" t="inlineStr">
        <is>
          <t>Сейитлиев Мердан Иламанович, Туркменистан</t>
        </is>
      </c>
      <c r="B745" s="3" t="inlineStr">
        <is>
          <t>Заруб</t>
        </is>
      </c>
      <c r="C745" s="3" t="inlineStr">
        <is>
          <t>Шкала</t>
        </is>
      </c>
      <c r="D745" s="3" t="inlineStr">
        <is>
          <t>Оборудование</t>
        </is>
      </c>
      <c r="E745" s="3" t="inlineStr">
        <is>
          <t>Оборудование — за полугодие</t>
        </is>
      </c>
      <c r="F745" s="3" t="inlineStr">
        <is>
          <t>ИТОГО</t>
        </is>
      </c>
      <c r="G745" s="4" t="n">
        <v>4</v>
      </c>
      <c r="H745" s="4" t="inlineStr">
        <is>
          <t>да</t>
        </is>
      </c>
      <c r="I745" s="3" t="inlineStr">
        <is>
          <t>190-224</t>
        </is>
      </c>
      <c r="J745" s="4" t="n">
        <v>5</v>
      </c>
      <c r="K745" s="4" t="n"/>
      <c r="L745" s="4" t="n"/>
      <c r="M745" s="8" t="n">
        <v>0.19</v>
      </c>
      <c r="N745" s="4" t="inlineStr">
        <is>
          <t>%</t>
        </is>
      </c>
      <c r="O745" s="3" t="inlineStr">
        <is>
          <t>Сейитлиев</t>
        </is>
      </c>
      <c r="P745" s="3" t="inlineStr">
        <is>
          <t>I18</t>
        </is>
      </c>
      <c t="str" r="Q745" s="6">
        <f>A745&amp;"|"&amp;C745&amp;"|"&amp;D745&amp;"|"&amp;G745</f>
        <v>Сейитлиев Мердан Иламанович, Туркменистан|Шкала|Оборудование|4</v>
      </c>
      <c t="str" r="R745" s="6">
        <f>A745&amp;"|"&amp;C745&amp;"|"&amp;D745&amp;"|"&amp;J745</f>
        <v>Сейитлиев Мердан Иламанович, Туркменистан|Шкала|Оборудование|5</v>
      </c>
      <c t="str" r="S745" s="6">
        <f>A745&amp;"|"&amp;C745&amp;"|"&amp;D745&amp;"|"&amp;G745&amp;"|"&amp;J745</f>
        <v>Сейитлиев Мердан Иламанович, Туркменистан|Шкала|Оборудование|4|5</v>
      </c>
      <c t="str" r="T745" s="6">
        <f>A745&amp;"|"&amp;C745&amp;"|"&amp;G745</f>
        <v>Сейитлиев Мердан Иламанович, Туркменистан|Шкала|4</v>
      </c>
      <c t="str" r="U745" s="6">
        <f>IF(H745="да",A745&amp;"|"&amp;C745&amp;"|"&amp;D745&amp;"|"&amp;J745,"")</f>
        <v>Сейитлиев Мердан Иламанович, Туркменистан|Шкала|Оборудование|5</v>
      </c>
      <c t="str" r="V745" s="6">
        <f>IF(C745="План",A745&amp;"|"&amp;J745,"")</f>
        <v/>
      </c>
    </row>
    <row r="746">
      <c r="A746" s="3" t="inlineStr">
        <is>
          <t>Сейитлиев Мердан Иламанович, Туркменистан</t>
        </is>
      </c>
      <c r="B746" s="3" t="inlineStr">
        <is>
          <t>Заруб</t>
        </is>
      </c>
      <c r="C746" s="3" t="inlineStr">
        <is>
          <t>Шкала</t>
        </is>
      </c>
      <c r="D746" s="3" t="inlineStr">
        <is>
          <t>Оборудование</t>
        </is>
      </c>
      <c r="E746" s="3" t="inlineStr">
        <is>
          <t>Оборудование — за полугодие</t>
        </is>
      </c>
      <c r="F746" s="3" t="inlineStr">
        <is>
          <t>ИТОГО</t>
        </is>
      </c>
      <c r="G746" s="4" t="n">
        <v>4</v>
      </c>
      <c r="H746" s="4" t="inlineStr">
        <is>
          <t>да</t>
        </is>
      </c>
      <c r="I746" s="3" t="inlineStr">
        <is>
          <t>225 и более</t>
        </is>
      </c>
      <c r="J746" s="4" t="n">
        <v>6</v>
      </c>
      <c r="K746" s="4" t="n"/>
      <c r="L746" s="4" t="n"/>
      <c r="M746" s="8" t="n">
        <v>0.2</v>
      </c>
      <c r="N746" s="4" t="inlineStr">
        <is>
          <t>%</t>
        </is>
      </c>
      <c r="O746" s="3" t="inlineStr">
        <is>
          <t>Сейитлиев</t>
        </is>
      </c>
      <c r="P746" s="3" t="inlineStr">
        <is>
          <t>J18</t>
        </is>
      </c>
      <c t="str" r="Q746" s="6">
        <f>A746&amp;"|"&amp;C746&amp;"|"&amp;D746&amp;"|"&amp;G746</f>
        <v>Сейитлиев Мердан Иламанович, Туркменистан|Шкала|Оборудование|4</v>
      </c>
      <c t="str" r="R746" s="6">
        <f>A746&amp;"|"&amp;C746&amp;"|"&amp;D746&amp;"|"&amp;J746</f>
        <v>Сейитлиев Мердан Иламанович, Туркменистан|Шкала|Оборудование|6</v>
      </c>
      <c t="str" r="S746" s="6">
        <f>A746&amp;"|"&amp;C746&amp;"|"&amp;D746&amp;"|"&amp;G746&amp;"|"&amp;J746</f>
        <v>Сейитлиев Мердан Иламанович, Туркменистан|Шкала|Оборудование|4|6</v>
      </c>
      <c t="str" r="T746" s="6">
        <f>A746&amp;"|"&amp;C746&amp;"|"&amp;G746</f>
        <v>Сейитлиев Мердан Иламанович, Туркменистан|Шкала|4</v>
      </c>
      <c t="str" r="U746" s="6">
        <f>IF(H746="да",A746&amp;"|"&amp;C746&amp;"|"&amp;D746&amp;"|"&amp;J746,"")</f>
        <v>Сейитлиев Мердан Иламанович, Туркменистан|Шкала|Оборудование|6</v>
      </c>
      <c t="str" r="V746" s="6">
        <f>IF(C746="План",A746&amp;"|"&amp;J746,"")</f>
        <v/>
      </c>
    </row>
    <row r="747">
      <c r="A747" s="3" t="inlineStr">
        <is>
          <t>Сейитлиев Мердан Иламанович, Туркменистан</t>
        </is>
      </c>
      <c r="B747" s="3" t="inlineStr">
        <is>
          <t>Заруб</t>
        </is>
      </c>
      <c r="C747" s="3" t="inlineStr">
        <is>
          <t>Шкала</t>
        </is>
      </c>
      <c r="D747" s="3" t="inlineStr">
        <is>
          <t>Расходные материалы</t>
        </is>
      </c>
      <c r="E747" s="3" t="inlineStr">
        <is>
          <t>Расходные материалы — за полугодие</t>
        </is>
      </c>
      <c r="F747" s="3" t="inlineStr">
        <is>
          <t>Объем закупок РМ</t>
        </is>
      </c>
      <c r="G747" s="4" t="n">
        <v>1</v>
      </c>
      <c r="H747" s="4" t="n"/>
      <c r="I747" s="3" t="inlineStr">
        <is>
          <t>до 24</t>
        </is>
      </c>
      <c r="J747" s="4" t="n">
        <v>1</v>
      </c>
      <c r="K747" s="4" t="n"/>
      <c r="L747" s="4" t="n"/>
      <c r="M747" s="8" t="n">
        <v>0</v>
      </c>
      <c r="N747" s="4" t="inlineStr">
        <is>
          <t>%</t>
        </is>
      </c>
      <c r="O747" s="3" t="inlineStr">
        <is>
          <t>Сейитлиев</t>
        </is>
      </c>
      <c r="P747" s="3" t="inlineStr">
        <is>
          <t>E21</t>
        </is>
      </c>
      <c t="str" r="Q747" s="6">
        <f>A747&amp;"|"&amp;C747&amp;"|"&amp;D747&amp;"|"&amp;G747</f>
        <v>Сейитлиев Мердан Иламанович, Туркменистан|Шкала|Расходные материалы|1</v>
      </c>
      <c t="str" r="R747" s="6">
        <f>A747&amp;"|"&amp;C747&amp;"|"&amp;D747&amp;"|"&amp;J747</f>
        <v>Сейитлиев Мердан Иламанович, Туркменистан|Шкала|Расходные материалы|1</v>
      </c>
      <c t="str" r="S747" s="6">
        <f>A747&amp;"|"&amp;C747&amp;"|"&amp;D747&amp;"|"&amp;G747&amp;"|"&amp;J747</f>
        <v>Сейитлиев Мердан Иламанович, Туркменистан|Шкала|Расходные материалы|1|1</v>
      </c>
      <c t="str" r="T747" s="6">
        <f>A747&amp;"|"&amp;C747&amp;"|"&amp;G747</f>
        <v>Сейитлиев Мердан Иламанович, Туркменистан|Шкала|1</v>
      </c>
      <c t="str" r="U747" s="6">
        <f>IF(H747="да",A747&amp;"|"&amp;C747&amp;"|"&amp;D747&amp;"|"&amp;J747,"")</f>
        <v/>
      </c>
      <c t="str" r="V747" s="6">
        <f>IF(C747="План",A747&amp;"|"&amp;J747,"")</f>
        <v/>
      </c>
    </row>
    <row r="748">
      <c r="A748" s="3" t="inlineStr">
        <is>
          <t>Сейитлиев Мердан Иламанович, Туркменистан</t>
        </is>
      </c>
      <c r="B748" s="3" t="inlineStr">
        <is>
          <t>Заруб</t>
        </is>
      </c>
      <c r="C748" s="3" t="inlineStr">
        <is>
          <t>Шкала</t>
        </is>
      </c>
      <c r="D748" s="3" t="inlineStr">
        <is>
          <t>Расходные материалы</t>
        </is>
      </c>
      <c r="E748" s="3" t="inlineStr">
        <is>
          <t>Расходные материалы — за полугодие</t>
        </is>
      </c>
      <c r="F748" s="3" t="inlineStr">
        <is>
          <t>Объем закупок РМ</t>
        </is>
      </c>
      <c r="G748" s="4" t="n">
        <v>1</v>
      </c>
      <c r="H748" s="4" t="n"/>
      <c r="I748" s="3" t="inlineStr">
        <is>
          <t>25-34</t>
        </is>
      </c>
      <c r="J748" s="4" t="n">
        <v>2</v>
      </c>
      <c r="K748" s="4" t="n"/>
      <c r="L748" s="4" t="n"/>
      <c r="M748" s="8" t="n">
        <v>0.01</v>
      </c>
      <c r="N748" s="4" t="inlineStr">
        <is>
          <t>%</t>
        </is>
      </c>
      <c r="O748" s="3" t="inlineStr">
        <is>
          <t>Сейитлиев</t>
        </is>
      </c>
      <c r="P748" s="3" t="inlineStr">
        <is>
          <t>F21</t>
        </is>
      </c>
      <c t="str" r="Q748" s="6">
        <f>A748&amp;"|"&amp;C748&amp;"|"&amp;D748&amp;"|"&amp;G748</f>
        <v>Сейитлиев Мердан Иламанович, Туркменистан|Шкала|Расходные материалы|1</v>
      </c>
      <c t="str" r="R748" s="6">
        <f>A748&amp;"|"&amp;C748&amp;"|"&amp;D748&amp;"|"&amp;J748</f>
        <v>Сейитлиев Мердан Иламанович, Туркменистан|Шкала|Расходные материалы|2</v>
      </c>
      <c t="str" r="S748" s="6">
        <f>A748&amp;"|"&amp;C748&amp;"|"&amp;D748&amp;"|"&amp;G748&amp;"|"&amp;J748</f>
        <v>Сейитлиев Мердан Иламанович, Туркменистан|Шкала|Расходные материалы|1|2</v>
      </c>
      <c t="str" r="T748" s="6">
        <f>A748&amp;"|"&amp;C748&amp;"|"&amp;G748</f>
        <v>Сейитлиев Мердан Иламанович, Туркменистан|Шкала|1</v>
      </c>
      <c t="str" r="U748" s="6">
        <f>IF(H748="да",A748&amp;"|"&amp;C748&amp;"|"&amp;D748&amp;"|"&amp;J748,"")</f>
        <v/>
      </c>
      <c t="str" r="V748" s="6">
        <f>IF(C748="План",A748&amp;"|"&amp;J748,"")</f>
        <v/>
      </c>
    </row>
    <row r="749">
      <c r="A749" s="3" t="inlineStr">
        <is>
          <t>Сейитлиев Мердан Иламанович, Туркменистан</t>
        </is>
      </c>
      <c r="B749" s="3" t="inlineStr">
        <is>
          <t>Заруб</t>
        </is>
      </c>
      <c r="C749" s="3" t="inlineStr">
        <is>
          <t>Шкала</t>
        </is>
      </c>
      <c r="D749" s="3" t="inlineStr">
        <is>
          <t>Расходные материалы</t>
        </is>
      </c>
      <c r="E749" s="3" t="inlineStr">
        <is>
          <t>Расходные материалы — за полугодие</t>
        </is>
      </c>
      <c r="F749" s="3" t="inlineStr">
        <is>
          <t>Объем закупок РМ</t>
        </is>
      </c>
      <c r="G749" s="4" t="n">
        <v>1</v>
      </c>
      <c r="H749" s="4" t="n"/>
      <c r="I749" s="3" t="inlineStr">
        <is>
          <t>35-44</t>
        </is>
      </c>
      <c r="J749" s="4" t="n">
        <v>3</v>
      </c>
      <c r="K749" s="4" t="n"/>
      <c r="L749" s="4" t="n"/>
      <c r="M749" s="8" t="n">
        <v>0.02</v>
      </c>
      <c r="N749" s="4" t="inlineStr">
        <is>
          <t>%</t>
        </is>
      </c>
      <c r="O749" s="3" t="inlineStr">
        <is>
          <t>Сейитлиев</t>
        </is>
      </c>
      <c r="P749" s="3" t="inlineStr">
        <is>
          <t>G21</t>
        </is>
      </c>
      <c t="str" r="Q749" s="6">
        <f>A749&amp;"|"&amp;C749&amp;"|"&amp;D749&amp;"|"&amp;G749</f>
        <v>Сейитлиев Мердан Иламанович, Туркменистан|Шкала|Расходные материалы|1</v>
      </c>
      <c t="str" r="R749" s="6">
        <f>A749&amp;"|"&amp;C749&amp;"|"&amp;D749&amp;"|"&amp;J749</f>
        <v>Сейитлиев Мердан Иламанович, Туркменистан|Шкала|Расходные материалы|3</v>
      </c>
      <c t="str" r="S749" s="6">
        <f>A749&amp;"|"&amp;C749&amp;"|"&amp;D749&amp;"|"&amp;G749&amp;"|"&amp;J749</f>
        <v>Сейитлиев Мердан Иламанович, Туркменистан|Шкала|Расходные материалы|1|3</v>
      </c>
      <c t="str" r="T749" s="6">
        <f>A749&amp;"|"&amp;C749&amp;"|"&amp;G749</f>
        <v>Сейитлиев Мердан Иламанович, Туркменистан|Шкала|1</v>
      </c>
      <c t="str" r="U749" s="6">
        <f>IF(H749="да",A749&amp;"|"&amp;C749&amp;"|"&amp;D749&amp;"|"&amp;J749,"")</f>
        <v/>
      </c>
      <c t="str" r="V749" s="6">
        <f>IF(C749="План",A749&amp;"|"&amp;J749,"")</f>
        <v/>
      </c>
    </row>
    <row r="750">
      <c r="A750" s="3" t="inlineStr">
        <is>
          <t>Сейитлиев Мердан Иламанович, Туркменистан</t>
        </is>
      </c>
      <c r="B750" s="3" t="inlineStr">
        <is>
          <t>Заруб</t>
        </is>
      </c>
      <c r="C750" s="3" t="inlineStr">
        <is>
          <t>Шкала</t>
        </is>
      </c>
      <c r="D750" s="3" t="inlineStr">
        <is>
          <t>Расходные материалы</t>
        </is>
      </c>
      <c r="E750" s="3" t="inlineStr">
        <is>
          <t>Расходные материалы — за полугодие</t>
        </is>
      </c>
      <c r="F750" s="3" t="inlineStr">
        <is>
          <t>Объем закупок РМ</t>
        </is>
      </c>
      <c r="G750" s="4" t="n">
        <v>1</v>
      </c>
      <c r="H750" s="4" t="n"/>
      <c r="I750" s="3" t="inlineStr">
        <is>
          <t>45-54</t>
        </is>
      </c>
      <c r="J750" s="4" t="n">
        <v>4</v>
      </c>
      <c r="K750" s="4" t="n"/>
      <c r="L750" s="4" t="n"/>
      <c r="M750" s="8" t="n">
        <v>0.03</v>
      </c>
      <c r="N750" s="4" t="inlineStr">
        <is>
          <t>%</t>
        </is>
      </c>
      <c r="O750" s="3" t="inlineStr">
        <is>
          <t>Сейитлиев</t>
        </is>
      </c>
      <c r="P750" s="3" t="inlineStr">
        <is>
          <t>H21</t>
        </is>
      </c>
      <c t="str" r="Q750" s="6">
        <f>A750&amp;"|"&amp;C750&amp;"|"&amp;D750&amp;"|"&amp;G750</f>
        <v>Сейитлиев Мердан Иламанович, Туркменистан|Шкала|Расходные материалы|1</v>
      </c>
      <c t="str" r="R750" s="6">
        <f>A750&amp;"|"&amp;C750&amp;"|"&amp;D750&amp;"|"&amp;J750</f>
        <v>Сейитлиев Мердан Иламанович, Туркменистан|Шкала|Расходные материалы|4</v>
      </c>
      <c t="str" r="S750" s="6">
        <f>A750&amp;"|"&amp;C750&amp;"|"&amp;D750&amp;"|"&amp;G750&amp;"|"&amp;J750</f>
        <v>Сейитлиев Мердан Иламанович, Туркменистан|Шкала|Расходные материалы|1|4</v>
      </c>
      <c t="str" r="T750" s="6">
        <f>A750&amp;"|"&amp;C750&amp;"|"&amp;G750</f>
        <v>Сейитлиев Мердан Иламанович, Туркменистан|Шкала|1</v>
      </c>
      <c t="str" r="U750" s="6">
        <f>IF(H750="да",A750&amp;"|"&amp;C750&amp;"|"&amp;D750&amp;"|"&amp;J750,"")</f>
        <v/>
      </c>
      <c t="str" r="V750" s="6">
        <f>IF(C750="План",A750&amp;"|"&amp;J750,"")</f>
        <v/>
      </c>
    </row>
    <row r="751">
      <c r="A751" s="3" t="inlineStr">
        <is>
          <t>Сейитлиев Мердан Иламанович, Туркменистан</t>
        </is>
      </c>
      <c r="B751" s="3" t="inlineStr">
        <is>
          <t>Заруб</t>
        </is>
      </c>
      <c r="C751" s="3" t="inlineStr">
        <is>
          <t>Шкала</t>
        </is>
      </c>
      <c r="D751" s="3" t="inlineStr">
        <is>
          <t>Расходные материалы</t>
        </is>
      </c>
      <c r="E751" s="3" t="inlineStr">
        <is>
          <t>Расходные материалы — за полугодие</t>
        </is>
      </c>
      <c r="F751" s="3" t="inlineStr">
        <is>
          <t>Объем закупок РМ</t>
        </is>
      </c>
      <c r="G751" s="4" t="n">
        <v>1</v>
      </c>
      <c r="H751" s="4" t="n"/>
      <c r="I751" s="3" t="inlineStr">
        <is>
          <t>55-64</t>
        </is>
      </c>
      <c r="J751" s="4" t="n">
        <v>5</v>
      </c>
      <c r="K751" s="4" t="n"/>
      <c r="L751" s="4" t="n"/>
      <c r="M751" s="8" t="n">
        <v>0.04</v>
      </c>
      <c r="N751" s="4" t="inlineStr">
        <is>
          <t>%</t>
        </is>
      </c>
      <c r="O751" s="3" t="inlineStr">
        <is>
          <t>Сейитлиев</t>
        </is>
      </c>
      <c r="P751" s="3" t="inlineStr">
        <is>
          <t>I21</t>
        </is>
      </c>
      <c t="str" r="Q751" s="6">
        <f>A751&amp;"|"&amp;C751&amp;"|"&amp;D751&amp;"|"&amp;G751</f>
        <v>Сейитлиев Мердан Иламанович, Туркменистан|Шкала|Расходные материалы|1</v>
      </c>
      <c t="str" r="R751" s="6">
        <f>A751&amp;"|"&amp;C751&amp;"|"&amp;D751&amp;"|"&amp;J751</f>
        <v>Сейитлиев Мердан Иламанович, Туркменистан|Шкала|Расходные материалы|5</v>
      </c>
      <c t="str" r="S751" s="6">
        <f>A751&amp;"|"&amp;C751&amp;"|"&amp;D751&amp;"|"&amp;G751&amp;"|"&amp;J751</f>
        <v>Сейитлиев Мердан Иламанович, Туркменистан|Шкала|Расходные материалы|1|5</v>
      </c>
      <c t="str" r="T751" s="6">
        <f>A751&amp;"|"&amp;C751&amp;"|"&amp;G751</f>
        <v>Сейитлиев Мердан Иламанович, Туркменистан|Шкала|1</v>
      </c>
      <c t="str" r="U751" s="6">
        <f>IF(H751="да",A751&amp;"|"&amp;C751&amp;"|"&amp;D751&amp;"|"&amp;J751,"")</f>
        <v/>
      </c>
      <c t="str" r="V751" s="6">
        <f>IF(C751="План",A751&amp;"|"&amp;J751,"")</f>
        <v/>
      </c>
    </row>
    <row r="752">
      <c r="A752" s="3" t="inlineStr">
        <is>
          <t>Сейитлиев Мердан Иламанович, Туркменистан</t>
        </is>
      </c>
      <c r="B752" s="3" t="inlineStr">
        <is>
          <t>Заруб</t>
        </is>
      </c>
      <c r="C752" s="3" t="inlineStr">
        <is>
          <t>Шкала</t>
        </is>
      </c>
      <c r="D752" s="3" t="inlineStr">
        <is>
          <t>Расходные материалы</t>
        </is>
      </c>
      <c r="E752" s="3" t="inlineStr">
        <is>
          <t>Расходные материалы — за полугодие</t>
        </is>
      </c>
      <c r="F752" s="3" t="inlineStr">
        <is>
          <t>Объем закупок РМ</t>
        </is>
      </c>
      <c r="G752" s="4" t="n">
        <v>1</v>
      </c>
      <c r="H752" s="4" t="n"/>
      <c r="I752" s="3" t="inlineStr">
        <is>
          <t>65 и более</t>
        </is>
      </c>
      <c r="J752" s="4" t="n">
        <v>6</v>
      </c>
      <c r="K752" s="4" t="n"/>
      <c r="L752" s="4" t="n"/>
      <c r="M752" s="8" t="n">
        <v>0.05</v>
      </c>
      <c r="N752" s="4" t="inlineStr">
        <is>
          <t>%</t>
        </is>
      </c>
      <c r="O752" s="3" t="inlineStr">
        <is>
          <t>Сейитлиев</t>
        </is>
      </c>
      <c r="P752" s="3" t="inlineStr">
        <is>
          <t>J21</t>
        </is>
      </c>
      <c t="str" r="Q752" s="6">
        <f>A752&amp;"|"&amp;C752&amp;"|"&amp;D752&amp;"|"&amp;G752</f>
        <v>Сейитлиев Мердан Иламанович, Туркменистан|Шкала|Расходные материалы|1</v>
      </c>
      <c t="str" r="R752" s="6">
        <f>A752&amp;"|"&amp;C752&amp;"|"&amp;D752&amp;"|"&amp;J752</f>
        <v>Сейитлиев Мердан Иламанович, Туркменистан|Шкала|Расходные материалы|6</v>
      </c>
      <c t="str" r="S752" s="6">
        <f>A752&amp;"|"&amp;C752&amp;"|"&amp;D752&amp;"|"&amp;G752&amp;"|"&amp;J752</f>
        <v>Сейитлиев Мердан Иламанович, Туркменистан|Шкала|Расходные материалы|1|6</v>
      </c>
      <c t="str" r="T752" s="6">
        <f>A752&amp;"|"&amp;C752&amp;"|"&amp;G752</f>
        <v>Сейитлиев Мердан Иламанович, Туркменистан|Шкала|1</v>
      </c>
      <c t="str" r="U752" s="6">
        <f>IF(H752="да",A752&amp;"|"&amp;C752&amp;"|"&amp;D752&amp;"|"&amp;J752,"")</f>
        <v/>
      </c>
      <c t="str" r="V752" s="6">
        <f>IF(C752="План",A752&amp;"|"&amp;J752,"")</f>
        <v/>
      </c>
    </row>
    <row r="753">
      <c r="A753" s="3" t="inlineStr">
        <is>
          <t>Сейитлиев Мердан Иламанович, Туркменистан</t>
        </is>
      </c>
      <c r="B753" s="3" t="inlineStr">
        <is>
          <t>Заруб</t>
        </is>
      </c>
      <c r="C753" s="3" t="inlineStr">
        <is>
          <t>Шкала</t>
        </is>
      </c>
      <c r="D753" s="3" t="inlineStr">
        <is>
          <t>Сервис (ЗЧ)</t>
        </is>
      </c>
      <c r="E753" s="3" t="inlineStr">
        <is>
          <t>Сервис (ЗЧ) — абсолютные отгрузки за 12 месяцев</t>
        </is>
      </c>
      <c r="F753" s="3" t="inlineStr">
        <is>
          <t>Скидка по сервису</t>
        </is>
      </c>
      <c r="G753" s="4" t="n">
        <v>1</v>
      </c>
      <c r="H753" s="4" t="inlineStr">
        <is>
          <t>да</t>
        </is>
      </c>
      <c r="I753" s="3" t="inlineStr">
        <is>
          <t>0–7000</t>
        </is>
      </c>
      <c r="J753" s="4" t="n">
        <v>1</v>
      </c>
      <c r="K753" s="4" t="n">
        <v>0</v>
      </c>
      <c r="L753" s="4" t="n">
        <v>7000</v>
      </c>
      <c r="M753" s="8" t="n">
        <v>0.1</v>
      </c>
      <c r="N753" s="4" t="inlineStr">
        <is>
          <t>%</t>
        </is>
      </c>
      <c r="O753" s="3" t="inlineStr">
        <is>
          <t>Сейитлиев</t>
        </is>
      </c>
      <c r="P753" s="3" t="inlineStr">
        <is>
          <t>F24</t>
        </is>
      </c>
      <c t="str" r="Q753" s="6">
        <f>A753&amp;"|"&amp;C753&amp;"|"&amp;D753&amp;"|"&amp;G753</f>
        <v>Сейитлиев Мердан Иламанович, Туркменистан|Шкала|Сервис (ЗЧ)|1</v>
      </c>
      <c t="str" r="R753" s="6">
        <f>A753&amp;"|"&amp;C753&amp;"|"&amp;D753&amp;"|"&amp;J753</f>
        <v>Сейитлиев Мердан Иламанович, Туркменистан|Шкала|Сервис (ЗЧ)|1</v>
      </c>
      <c t="str" r="S753" s="6">
        <f>A753&amp;"|"&amp;C753&amp;"|"&amp;D753&amp;"|"&amp;G753&amp;"|"&amp;J753</f>
        <v>Сейитлиев Мердан Иламанович, Туркменистан|Шкала|Сервис (ЗЧ)|1|1</v>
      </c>
      <c t="str" r="T753" s="6">
        <f>A753&amp;"|"&amp;C753&amp;"|"&amp;G753</f>
        <v>Сейитлиев Мердан Иламанович, Туркменистан|Шкала|1</v>
      </c>
      <c t="str" r="U753" s="6">
        <f>IF(H753="да",A753&amp;"|"&amp;C753&amp;"|"&amp;D753&amp;"|"&amp;J753,"")</f>
        <v>Сейитлиев Мердан Иламанович, Туркменистан|Шкала|Сервис (ЗЧ)|1</v>
      </c>
      <c t="str" r="V753" s="6">
        <f>IF(C753="План",A753&amp;"|"&amp;J753,"")</f>
        <v/>
      </c>
    </row>
    <row r="754">
      <c r="A754" s="3" t="inlineStr">
        <is>
          <t>Сейитлиев Мердан Иламанович, Туркменистан</t>
        </is>
      </c>
      <c r="B754" s="3" t="inlineStr">
        <is>
          <t>Заруб</t>
        </is>
      </c>
      <c r="C754" s="3" t="inlineStr">
        <is>
          <t>Шкала</t>
        </is>
      </c>
      <c r="D754" s="3" t="inlineStr">
        <is>
          <t>Сервис (ЗЧ)</t>
        </is>
      </c>
      <c r="E754" s="3" t="inlineStr">
        <is>
          <t>Сервис (ЗЧ) — абсолютные отгрузки за 12 месяцев</t>
        </is>
      </c>
      <c r="F754" s="3" t="inlineStr">
        <is>
          <t>Скидка по сервису</t>
        </is>
      </c>
      <c r="G754" s="4" t="n">
        <v>1</v>
      </c>
      <c r="H754" s="4" t="inlineStr">
        <is>
          <t>да</t>
        </is>
      </c>
      <c r="I754" s="3" t="inlineStr">
        <is>
          <t>7001–19000</t>
        </is>
      </c>
      <c r="J754" s="4" t="n">
        <v>2</v>
      </c>
      <c r="K754" s="4" t="n">
        <v>7001</v>
      </c>
      <c r="L754" s="4" t="n">
        <v>19000</v>
      </c>
      <c r="M754" s="8" t="n">
        <v>0.11</v>
      </c>
      <c r="N754" s="4" t="inlineStr">
        <is>
          <t>%</t>
        </is>
      </c>
      <c r="O754" s="3" t="inlineStr">
        <is>
          <t>Сейитлиев</t>
        </is>
      </c>
      <c r="P754" s="3" t="inlineStr">
        <is>
          <t>F25</t>
        </is>
      </c>
      <c t="str" r="Q754" s="6">
        <f>A754&amp;"|"&amp;C754&amp;"|"&amp;D754&amp;"|"&amp;G754</f>
        <v>Сейитлиев Мердан Иламанович, Туркменистан|Шкала|Сервис (ЗЧ)|1</v>
      </c>
      <c t="str" r="R754" s="6">
        <f>A754&amp;"|"&amp;C754&amp;"|"&amp;D754&amp;"|"&amp;J754</f>
        <v>Сейитлиев Мердан Иламанович, Туркменистан|Шкала|Сервис (ЗЧ)|2</v>
      </c>
      <c t="str" r="S754" s="6">
        <f>A754&amp;"|"&amp;C754&amp;"|"&amp;D754&amp;"|"&amp;G754&amp;"|"&amp;J754</f>
        <v>Сейитлиев Мердан Иламанович, Туркменистан|Шкала|Сервис (ЗЧ)|1|2</v>
      </c>
      <c t="str" r="T754" s="6">
        <f>A754&amp;"|"&amp;C754&amp;"|"&amp;G754</f>
        <v>Сейитлиев Мердан Иламанович, Туркменистан|Шкала|1</v>
      </c>
      <c t="str" r="U754" s="6">
        <f>IF(H754="да",A754&amp;"|"&amp;C754&amp;"|"&amp;D754&amp;"|"&amp;J754,"")</f>
        <v>Сейитлиев Мердан Иламанович, Туркменистан|Шкала|Сервис (ЗЧ)|2</v>
      </c>
      <c t="str" r="V754" s="6">
        <f>IF(C754="План",A754&amp;"|"&amp;J754,"")</f>
        <v/>
      </c>
    </row>
    <row r="755">
      <c r="A755" s="3" t="inlineStr">
        <is>
          <t>Сейитлиев Мердан Иламанович, Туркменистан</t>
        </is>
      </c>
      <c r="B755" s="3" t="inlineStr">
        <is>
          <t>Заруб</t>
        </is>
      </c>
      <c r="C755" s="3" t="inlineStr">
        <is>
          <t>Шкала</t>
        </is>
      </c>
      <c r="D755" s="3" t="inlineStr">
        <is>
          <t>Сервис (ЗЧ)</t>
        </is>
      </c>
      <c r="E755" s="3" t="inlineStr">
        <is>
          <t>Сервис (ЗЧ) — абсолютные отгрузки за 12 месяцев</t>
        </is>
      </c>
      <c r="F755" s="3" t="inlineStr">
        <is>
          <t>Скидка по сервису</t>
        </is>
      </c>
      <c r="G755" s="4" t="n">
        <v>1</v>
      </c>
      <c r="H755" s="4" t="inlineStr">
        <is>
          <t>да</t>
        </is>
      </c>
      <c r="I755" s="3" t="inlineStr">
        <is>
          <t>19001–24000</t>
        </is>
      </c>
      <c r="J755" s="4" t="n">
        <v>3</v>
      </c>
      <c r="K755" s="4" t="n">
        <v>19001</v>
      </c>
      <c r="L755" s="4" t="n">
        <v>24000</v>
      </c>
      <c r="M755" s="8" t="n">
        <v>0.13</v>
      </c>
      <c r="N755" s="4" t="inlineStr">
        <is>
          <t>%</t>
        </is>
      </c>
      <c r="O755" s="3" t="inlineStr">
        <is>
          <t>Сейитлиев</t>
        </is>
      </c>
      <c r="P755" s="3" t="inlineStr">
        <is>
          <t>F26</t>
        </is>
      </c>
      <c t="str" r="Q755" s="6">
        <f>A755&amp;"|"&amp;C755&amp;"|"&amp;D755&amp;"|"&amp;G755</f>
        <v>Сейитлиев Мердан Иламанович, Туркменистан|Шкала|Сервис (ЗЧ)|1</v>
      </c>
      <c t="str" r="R755" s="6">
        <f>A755&amp;"|"&amp;C755&amp;"|"&amp;D755&amp;"|"&amp;J755</f>
        <v>Сейитлиев Мердан Иламанович, Туркменистан|Шкала|Сервис (ЗЧ)|3</v>
      </c>
      <c t="str" r="S755" s="6">
        <f>A755&amp;"|"&amp;C755&amp;"|"&amp;D755&amp;"|"&amp;G755&amp;"|"&amp;J755</f>
        <v>Сейитлиев Мердан Иламанович, Туркменистан|Шкала|Сервис (ЗЧ)|1|3</v>
      </c>
      <c t="str" r="T755" s="6">
        <f>A755&amp;"|"&amp;C755&amp;"|"&amp;G755</f>
        <v>Сейитлиев Мердан Иламанович, Туркменистан|Шкала|1</v>
      </c>
      <c t="str" r="U755" s="6">
        <f>IF(H755="да",A755&amp;"|"&amp;C755&amp;"|"&amp;D755&amp;"|"&amp;J755,"")</f>
        <v>Сейитлиев Мердан Иламанович, Туркменистан|Шкала|Сервис (ЗЧ)|3</v>
      </c>
      <c t="str" r="V755" s="6">
        <f>IF(C755="План",A755&amp;"|"&amp;J755,"")</f>
        <v/>
      </c>
    </row>
    <row r="756">
      <c r="A756" s="3" t="inlineStr">
        <is>
          <t>Сейитлиев Мердан Иламанович, Туркменистан</t>
        </is>
      </c>
      <c r="B756" s="3" t="inlineStr">
        <is>
          <t>Заруб</t>
        </is>
      </c>
      <c r="C756" s="3" t="inlineStr">
        <is>
          <t>Шкала</t>
        </is>
      </c>
      <c r="D756" s="3" t="inlineStr">
        <is>
          <t>Сервис (ЗЧ)</t>
        </is>
      </c>
      <c r="E756" s="3" t="inlineStr">
        <is>
          <t>Сервис (ЗЧ) — абсолютные отгрузки за 12 месяцев</t>
        </is>
      </c>
      <c r="F756" s="3" t="inlineStr">
        <is>
          <t>Скидка по сервису</t>
        </is>
      </c>
      <c r="G756" s="4" t="n">
        <v>1</v>
      </c>
      <c r="H756" s="4" t="inlineStr">
        <is>
          <t>да</t>
        </is>
      </c>
      <c r="I756" s="3" t="inlineStr">
        <is>
          <t>24001–28000</t>
        </is>
      </c>
      <c r="J756" s="4" t="n">
        <v>4</v>
      </c>
      <c r="K756" s="4" t="n">
        <v>24001</v>
      </c>
      <c r="L756" s="4" t="n">
        <v>28000</v>
      </c>
      <c r="M756" s="8" t="n">
        <v>0.14</v>
      </c>
      <c r="N756" s="4" t="inlineStr">
        <is>
          <t>%</t>
        </is>
      </c>
      <c r="O756" s="3" t="inlineStr">
        <is>
          <t>Сейитлиев</t>
        </is>
      </c>
      <c r="P756" s="3" t="inlineStr">
        <is>
          <t>F27</t>
        </is>
      </c>
      <c t="str" r="Q756" s="6">
        <f>A756&amp;"|"&amp;C756&amp;"|"&amp;D756&amp;"|"&amp;G756</f>
        <v>Сейитлиев Мердан Иламанович, Туркменистан|Шкала|Сервис (ЗЧ)|1</v>
      </c>
      <c t="str" r="R756" s="6">
        <f>A756&amp;"|"&amp;C756&amp;"|"&amp;D756&amp;"|"&amp;J756</f>
        <v>Сейитлиев Мердан Иламанович, Туркменистан|Шкала|Сервис (ЗЧ)|4</v>
      </c>
      <c t="str" r="S756" s="6">
        <f>A756&amp;"|"&amp;C756&amp;"|"&amp;D756&amp;"|"&amp;G756&amp;"|"&amp;J756</f>
        <v>Сейитлиев Мердан Иламанович, Туркменистан|Шкала|Сервис (ЗЧ)|1|4</v>
      </c>
      <c t="str" r="T756" s="6">
        <f>A756&amp;"|"&amp;C756&amp;"|"&amp;G756</f>
        <v>Сейитлиев Мердан Иламанович, Туркменистан|Шкала|1</v>
      </c>
      <c t="str" r="U756" s="6">
        <f>IF(H756="да",A756&amp;"|"&amp;C756&amp;"|"&amp;D756&amp;"|"&amp;J756,"")</f>
        <v>Сейитлиев Мердан Иламанович, Туркменистан|Шкала|Сервис (ЗЧ)|4</v>
      </c>
      <c t="str" r="V756" s="6">
        <f>IF(C756="План",A756&amp;"|"&amp;J756,"")</f>
        <v/>
      </c>
    </row>
    <row r="757">
      <c r="A757" s="3" t="inlineStr">
        <is>
          <t>Сейитлиев Мердан Иламанович, Туркменистан</t>
        </is>
      </c>
      <c r="B757" s="3" t="inlineStr">
        <is>
          <t>Заруб</t>
        </is>
      </c>
      <c r="C757" s="3" t="inlineStr">
        <is>
          <t>Шкала</t>
        </is>
      </c>
      <c r="D757" s="3" t="inlineStr">
        <is>
          <t>Сервис (ЗЧ)</t>
        </is>
      </c>
      <c r="E757" s="3" t="inlineStr">
        <is>
          <t>Сервис (ЗЧ) — абсолютные отгрузки за 12 месяцев</t>
        </is>
      </c>
      <c r="F757" s="3" t="inlineStr">
        <is>
          <t>Скидка по сервису</t>
        </is>
      </c>
      <c r="G757" s="4" t="n">
        <v>1</v>
      </c>
      <c r="H757" s="4" t="inlineStr">
        <is>
          <t>да</t>
        </is>
      </c>
      <c r="I757" s="3" t="inlineStr">
        <is>
          <t>28001–40000</t>
        </is>
      </c>
      <c r="J757" s="4" t="n">
        <v>5</v>
      </c>
      <c r="K757" s="4" t="n">
        <v>28001</v>
      </c>
      <c r="L757" s="4" t="n">
        <v>40000</v>
      </c>
      <c r="M757" s="8" t="n">
        <v>0.15</v>
      </c>
      <c r="N757" s="4" t="inlineStr">
        <is>
          <t>%</t>
        </is>
      </c>
      <c r="O757" s="3" t="inlineStr">
        <is>
          <t>Сейитлиев</t>
        </is>
      </c>
      <c r="P757" s="3" t="inlineStr">
        <is>
          <t>F28</t>
        </is>
      </c>
      <c t="str" r="Q757" s="6">
        <f>A757&amp;"|"&amp;C757&amp;"|"&amp;D757&amp;"|"&amp;G757</f>
        <v>Сейитлиев Мердан Иламанович, Туркменистан|Шкала|Сервис (ЗЧ)|1</v>
      </c>
      <c t="str" r="R757" s="6">
        <f>A757&amp;"|"&amp;C757&amp;"|"&amp;D757&amp;"|"&amp;J757</f>
        <v>Сейитлиев Мердан Иламанович, Туркменистан|Шкала|Сервис (ЗЧ)|5</v>
      </c>
      <c t="str" r="S757" s="6">
        <f>A757&amp;"|"&amp;C757&amp;"|"&amp;D757&amp;"|"&amp;G757&amp;"|"&amp;J757</f>
        <v>Сейитлиев Мердан Иламанович, Туркменистан|Шкала|Сервис (ЗЧ)|1|5</v>
      </c>
      <c t="str" r="T757" s="6">
        <f>A757&amp;"|"&amp;C757&amp;"|"&amp;G757</f>
        <v>Сейитлиев Мердан Иламанович, Туркменистан|Шкала|1</v>
      </c>
      <c t="str" r="U757" s="6">
        <f>IF(H757="да",A757&amp;"|"&amp;C757&amp;"|"&amp;D757&amp;"|"&amp;J757,"")</f>
        <v>Сейитлиев Мердан Иламанович, Туркменистан|Шкала|Сервис (ЗЧ)|5</v>
      </c>
      <c t="str" r="V757" s="6">
        <f>IF(C757="План",A757&amp;"|"&amp;J757,"")</f>
        <v/>
      </c>
    </row>
    <row r="758">
      <c r="A758" s="3" t="inlineStr">
        <is>
          <t>Сейитлиев Мердан Иламанович, Туркменистан</t>
        </is>
      </c>
      <c r="B758" s="3" t="inlineStr">
        <is>
          <t>Заруб</t>
        </is>
      </c>
      <c r="C758" s="3" t="inlineStr">
        <is>
          <t>Шкала</t>
        </is>
      </c>
      <c r="D758" s="3" t="inlineStr">
        <is>
          <t>Сервис (ЗЧ)</t>
        </is>
      </c>
      <c r="E758" s="3" t="inlineStr">
        <is>
          <t>Сервис (ЗЧ) — абсолютные отгрузки за 12 месяцев</t>
        </is>
      </c>
      <c r="F758" s="3" t="inlineStr">
        <is>
          <t>Скидка по сервису</t>
        </is>
      </c>
      <c r="G758" s="4" t="n">
        <v>1</v>
      </c>
      <c r="H758" s="4" t="inlineStr">
        <is>
          <t>да</t>
        </is>
      </c>
      <c r="I758" s="3" t="inlineStr">
        <is>
          <t>40001–48000</t>
        </is>
      </c>
      <c r="J758" s="4" t="n">
        <v>6</v>
      </c>
      <c r="K758" s="4" t="n">
        <v>40001</v>
      </c>
      <c r="L758" s="4" t="n">
        <v>48000</v>
      </c>
      <c r="M758" s="8" t="n">
        <v>0.16</v>
      </c>
      <c r="N758" s="4" t="inlineStr">
        <is>
          <t>%</t>
        </is>
      </c>
      <c r="O758" s="3" t="inlineStr">
        <is>
          <t>Сейитлиев</t>
        </is>
      </c>
      <c r="P758" s="3" t="inlineStr">
        <is>
          <t>F29</t>
        </is>
      </c>
      <c t="str" r="Q758" s="6">
        <f>A758&amp;"|"&amp;C758&amp;"|"&amp;D758&amp;"|"&amp;G758</f>
        <v>Сейитлиев Мердан Иламанович, Туркменистан|Шкала|Сервис (ЗЧ)|1</v>
      </c>
      <c t="str" r="R758" s="6">
        <f>A758&amp;"|"&amp;C758&amp;"|"&amp;D758&amp;"|"&amp;J758</f>
        <v>Сейитлиев Мердан Иламанович, Туркменистан|Шкала|Сервис (ЗЧ)|6</v>
      </c>
      <c t="str" r="S758" s="6">
        <f>A758&amp;"|"&amp;C758&amp;"|"&amp;D758&amp;"|"&amp;G758&amp;"|"&amp;J758</f>
        <v>Сейитлиев Мердан Иламанович, Туркменистан|Шкала|Сервис (ЗЧ)|1|6</v>
      </c>
      <c t="str" r="T758" s="6">
        <f>A758&amp;"|"&amp;C758&amp;"|"&amp;G758</f>
        <v>Сейитлиев Мердан Иламанович, Туркменистан|Шкала|1</v>
      </c>
      <c t="str" r="U758" s="6">
        <f>IF(H758="да",A758&amp;"|"&amp;C758&amp;"|"&amp;D758&amp;"|"&amp;J758,"")</f>
        <v>Сейитлиев Мердан Иламанович, Туркменистан|Шкала|Сервис (ЗЧ)|6</v>
      </c>
      <c t="str" r="V758" s="6">
        <f>IF(C758="План",A758&amp;"|"&amp;J758,"")</f>
        <v/>
      </c>
    </row>
    <row r="759">
      <c r="A759" s="3" t="inlineStr">
        <is>
          <t>Сейитлиев Мердан Иламанович, Туркменистан</t>
        </is>
      </c>
      <c r="B759" s="3" t="inlineStr">
        <is>
          <t>Заруб</t>
        </is>
      </c>
      <c r="C759" s="3" t="inlineStr">
        <is>
          <t>Шкала</t>
        </is>
      </c>
      <c r="D759" s="3" t="inlineStr">
        <is>
          <t>Сервис (ЗЧ)</t>
        </is>
      </c>
      <c r="E759" s="3" t="inlineStr">
        <is>
          <t>Сервис (ЗЧ) — абсолютные отгрузки за 12 месяцев</t>
        </is>
      </c>
      <c r="F759" s="3" t="inlineStr">
        <is>
          <t>Скидка по сервису</t>
        </is>
      </c>
      <c r="G759" s="4" t="n">
        <v>1</v>
      </c>
      <c r="H759" s="4" t="inlineStr">
        <is>
          <t>да</t>
        </is>
      </c>
      <c r="I759" s="3" t="inlineStr">
        <is>
          <t>48001–60000</t>
        </is>
      </c>
      <c r="J759" s="4" t="n">
        <v>7</v>
      </c>
      <c r="K759" s="4" t="n">
        <v>48001</v>
      </c>
      <c r="L759" s="4" t="n">
        <v>60000</v>
      </c>
      <c r="M759" s="8" t="n">
        <v>0.17</v>
      </c>
      <c r="N759" s="4" t="inlineStr">
        <is>
          <t>%</t>
        </is>
      </c>
      <c r="O759" s="3" t="inlineStr">
        <is>
          <t>Сейитлиев</t>
        </is>
      </c>
      <c r="P759" s="3" t="inlineStr">
        <is>
          <t>F30</t>
        </is>
      </c>
      <c t="str" r="Q759" s="6">
        <f>A759&amp;"|"&amp;C759&amp;"|"&amp;D759&amp;"|"&amp;G759</f>
        <v>Сейитлиев Мердан Иламанович, Туркменистан|Шкала|Сервис (ЗЧ)|1</v>
      </c>
      <c t="str" r="R759" s="6">
        <f>A759&amp;"|"&amp;C759&amp;"|"&amp;D759&amp;"|"&amp;J759</f>
        <v>Сейитлиев Мердан Иламанович, Туркменистан|Шкала|Сервис (ЗЧ)|7</v>
      </c>
      <c t="str" r="S759" s="6">
        <f>A759&amp;"|"&amp;C759&amp;"|"&amp;D759&amp;"|"&amp;G759&amp;"|"&amp;J759</f>
        <v>Сейитлиев Мердан Иламанович, Туркменистан|Шкала|Сервис (ЗЧ)|1|7</v>
      </c>
      <c t="str" r="T759" s="6">
        <f>A759&amp;"|"&amp;C759&amp;"|"&amp;G759</f>
        <v>Сейитлиев Мердан Иламанович, Туркменистан|Шкала|1</v>
      </c>
      <c t="str" r="U759" s="6">
        <f>IF(H759="да",A759&amp;"|"&amp;C759&amp;"|"&amp;D759&amp;"|"&amp;J759,"")</f>
        <v>Сейитлиев Мердан Иламанович, Туркменистан|Шкала|Сервис (ЗЧ)|7</v>
      </c>
      <c t="str" r="V759" s="6">
        <f>IF(C759="План",A759&amp;"|"&amp;J759,"")</f>
        <v/>
      </c>
    </row>
    <row r="760">
      <c r="A760" s="3" t="inlineStr">
        <is>
          <t>Сейитлиев Мердан Иламанович, Туркменистан</t>
        </is>
      </c>
      <c r="B760" s="3" t="inlineStr">
        <is>
          <t>Заруб</t>
        </is>
      </c>
      <c r="C760" s="3" t="inlineStr">
        <is>
          <t>Шкала</t>
        </is>
      </c>
      <c r="D760" s="3" t="inlineStr">
        <is>
          <t>Сервис (ЗЧ)</t>
        </is>
      </c>
      <c r="E760" s="3" t="inlineStr">
        <is>
          <t>Сервис (ЗЧ) — абсолютные отгрузки за 12 месяцев</t>
        </is>
      </c>
      <c r="F760" s="3" t="inlineStr">
        <is>
          <t>Скидка по сервису</t>
        </is>
      </c>
      <c r="G760" s="4" t="n">
        <v>1</v>
      </c>
      <c r="H760" s="4" t="inlineStr">
        <is>
          <t>да</t>
        </is>
      </c>
      <c r="I760" s="3" t="inlineStr">
        <is>
          <t>60001–75000</t>
        </is>
      </c>
      <c r="J760" s="4" t="n">
        <v>8</v>
      </c>
      <c r="K760" s="4" t="n">
        <v>60001</v>
      </c>
      <c r="L760" s="4" t="n">
        <v>75000</v>
      </c>
      <c r="M760" s="8" t="n">
        <v>0.18</v>
      </c>
      <c r="N760" s="4" t="inlineStr">
        <is>
          <t>%</t>
        </is>
      </c>
      <c r="O760" s="3" t="inlineStr">
        <is>
          <t>Сейитлиев</t>
        </is>
      </c>
      <c r="P760" s="3" t="inlineStr">
        <is>
          <t>F31</t>
        </is>
      </c>
      <c t="str" r="Q760" s="6">
        <f>A760&amp;"|"&amp;C760&amp;"|"&amp;D760&amp;"|"&amp;G760</f>
        <v>Сейитлиев Мердан Иламанович, Туркменистан|Шкала|Сервис (ЗЧ)|1</v>
      </c>
      <c t="str" r="R760" s="6">
        <f>A760&amp;"|"&amp;C760&amp;"|"&amp;D760&amp;"|"&amp;J760</f>
        <v>Сейитлиев Мердан Иламанович, Туркменистан|Шкала|Сервис (ЗЧ)|8</v>
      </c>
      <c t="str" r="S760" s="6">
        <f>A760&amp;"|"&amp;C760&amp;"|"&amp;D760&amp;"|"&amp;G760&amp;"|"&amp;J760</f>
        <v>Сейитлиев Мердан Иламанович, Туркменистан|Шкала|Сервис (ЗЧ)|1|8</v>
      </c>
      <c t="str" r="T760" s="6">
        <f>A760&amp;"|"&amp;C760&amp;"|"&amp;G760</f>
        <v>Сейитлиев Мердан Иламанович, Туркменистан|Шкала|1</v>
      </c>
      <c t="str" r="U760" s="6">
        <f>IF(H760="да",A760&amp;"|"&amp;C760&amp;"|"&amp;D760&amp;"|"&amp;J760,"")</f>
        <v>Сейитлиев Мердан Иламанович, Туркменистан|Шкала|Сервис (ЗЧ)|8</v>
      </c>
      <c t="str" r="V760" s="6">
        <f>IF(C760="План",A760&amp;"|"&amp;J760,"")</f>
        <v/>
      </c>
    </row>
    <row r="761">
      <c r="A761" s="3" t="inlineStr">
        <is>
          <t>Сейитлиев Мердан Иламанович, Туркменистан</t>
        </is>
      </c>
      <c r="B761" s="3" t="inlineStr">
        <is>
          <t>Заруб</t>
        </is>
      </c>
      <c r="C761" s="3" t="inlineStr">
        <is>
          <t>Шкала</t>
        </is>
      </c>
      <c r="D761" s="3" t="inlineStr">
        <is>
          <t>Сервис (ЗЧ)</t>
        </is>
      </c>
      <c r="E761" s="3" t="inlineStr">
        <is>
          <t>Сервис (ЗЧ) — абсолютные отгрузки за 12 месяцев</t>
        </is>
      </c>
      <c r="F761" s="3" t="inlineStr">
        <is>
          <t>Скидка по сервису</t>
        </is>
      </c>
      <c r="G761" s="4" t="n">
        <v>1</v>
      </c>
      <c r="H761" s="4" t="inlineStr">
        <is>
          <t>да</t>
        </is>
      </c>
      <c r="I761" s="3" t="inlineStr">
        <is>
          <t>75001–90000</t>
        </is>
      </c>
      <c r="J761" s="4" t="n">
        <v>9</v>
      </c>
      <c r="K761" s="4" t="n">
        <v>75001</v>
      </c>
      <c r="L761" s="4" t="n">
        <v>90000</v>
      </c>
      <c r="M761" s="8" t="n">
        <v>0.19</v>
      </c>
      <c r="N761" s="4" t="inlineStr">
        <is>
          <t>%</t>
        </is>
      </c>
      <c r="O761" s="3" t="inlineStr">
        <is>
          <t>Сейитлиев</t>
        </is>
      </c>
      <c r="P761" s="3" t="inlineStr">
        <is>
          <t>F32</t>
        </is>
      </c>
      <c t="str" r="Q761" s="6">
        <f>A761&amp;"|"&amp;C761&amp;"|"&amp;D761&amp;"|"&amp;G761</f>
        <v>Сейитлиев Мердан Иламанович, Туркменистан|Шкала|Сервис (ЗЧ)|1</v>
      </c>
      <c t="str" r="R761" s="6">
        <f>A761&amp;"|"&amp;C761&amp;"|"&amp;D761&amp;"|"&amp;J761</f>
        <v>Сейитлиев Мердан Иламанович, Туркменистан|Шкала|Сервис (ЗЧ)|9</v>
      </c>
      <c t="str" r="S761" s="6">
        <f>A761&amp;"|"&amp;C761&amp;"|"&amp;D761&amp;"|"&amp;G761&amp;"|"&amp;J761</f>
        <v>Сейитлиев Мердан Иламанович, Туркменистан|Шкала|Сервис (ЗЧ)|1|9</v>
      </c>
      <c t="str" r="T761" s="6">
        <f>A761&amp;"|"&amp;C761&amp;"|"&amp;G761</f>
        <v>Сейитлиев Мердан Иламанович, Туркменистан|Шкала|1</v>
      </c>
      <c t="str" r="U761" s="6">
        <f>IF(H761="да",A761&amp;"|"&amp;C761&amp;"|"&amp;D761&amp;"|"&amp;J761,"")</f>
        <v>Сейитлиев Мердан Иламанович, Туркменистан|Шкала|Сервис (ЗЧ)|9</v>
      </c>
      <c t="str" r="V761" s="6">
        <f>IF(C761="План",A761&amp;"|"&amp;J761,"")</f>
        <v/>
      </c>
    </row>
    <row r="762">
      <c r="A762" s="3" t="inlineStr">
        <is>
          <t>Сейитлиев Мердан Иламанович, Туркменистан</t>
        </is>
      </c>
      <c r="B762" s="3" t="inlineStr">
        <is>
          <t>Заруб</t>
        </is>
      </c>
      <c r="C762" s="3" t="inlineStr">
        <is>
          <t>Шкала</t>
        </is>
      </c>
      <c r="D762" s="3" t="inlineStr">
        <is>
          <t>Сервис (ЗЧ)</t>
        </is>
      </c>
      <c r="E762" s="3" t="inlineStr">
        <is>
          <t>Сервис (ЗЧ) — абсолютные отгрузки за 12 месяцев</t>
        </is>
      </c>
      <c r="F762" s="3" t="inlineStr">
        <is>
          <t>Скидка по сервису</t>
        </is>
      </c>
      <c r="G762" s="4" t="n">
        <v>1</v>
      </c>
      <c r="H762" s="4" t="inlineStr">
        <is>
          <t>да</t>
        </is>
      </c>
      <c r="I762" s="3" t="inlineStr">
        <is>
          <t>90001–105000</t>
        </is>
      </c>
      <c r="J762" s="4" t="n">
        <v>10</v>
      </c>
      <c r="K762" s="4" t="n">
        <v>90001</v>
      </c>
      <c r="L762" s="4" t="n">
        <v>105000</v>
      </c>
      <c r="M762" s="8" t="n">
        <v>0.2</v>
      </c>
      <c r="N762" s="4" t="inlineStr">
        <is>
          <t>%</t>
        </is>
      </c>
      <c r="O762" s="3" t="inlineStr">
        <is>
          <t>Сейитлиев</t>
        </is>
      </c>
      <c r="P762" s="3" t="inlineStr">
        <is>
          <t>F33</t>
        </is>
      </c>
      <c t="str" r="Q762" s="6">
        <f>A762&amp;"|"&amp;C762&amp;"|"&amp;D762&amp;"|"&amp;G762</f>
        <v>Сейитлиев Мердан Иламанович, Туркменистан|Шкала|Сервис (ЗЧ)|1</v>
      </c>
      <c t="str" r="R762" s="6">
        <f>A762&amp;"|"&amp;C762&amp;"|"&amp;D762&amp;"|"&amp;J762</f>
        <v>Сейитлиев Мердан Иламанович, Туркменистан|Шкала|Сервис (ЗЧ)|10</v>
      </c>
      <c t="str" r="S762" s="6">
        <f>A762&amp;"|"&amp;C762&amp;"|"&amp;D762&amp;"|"&amp;G762&amp;"|"&amp;J762</f>
        <v>Сейитлиев Мердан Иламанович, Туркменистан|Шкала|Сервис (ЗЧ)|1|10</v>
      </c>
      <c t="str" r="T762" s="6">
        <f>A762&amp;"|"&amp;C762&amp;"|"&amp;G762</f>
        <v>Сейитлиев Мердан Иламанович, Туркменистан|Шкала|1</v>
      </c>
      <c t="str" r="U762" s="6">
        <f>IF(H762="да",A762&amp;"|"&amp;C762&amp;"|"&amp;D762&amp;"|"&amp;J762,"")</f>
        <v>Сейитлиев Мердан Иламанович, Туркменистан|Шкала|Сервис (ЗЧ)|10</v>
      </c>
      <c t="str" r="V762" s="6">
        <f>IF(C762="План",A762&amp;"|"&amp;J762,"")</f>
        <v/>
      </c>
    </row>
    <row r="763">
      <c r="A763" s="3" t="inlineStr">
        <is>
          <t>Сейитлиев Мердан Иламанович, Туркменистан</t>
        </is>
      </c>
      <c r="B763" s="3" t="inlineStr">
        <is>
          <t>Заруб</t>
        </is>
      </c>
      <c r="C763" s="3" t="inlineStr">
        <is>
          <t>Шкала</t>
        </is>
      </c>
      <c r="D763" s="3" t="inlineStr">
        <is>
          <t>Сервис (ЗЧ)</t>
        </is>
      </c>
      <c r="E763" s="3" t="inlineStr">
        <is>
          <t>Сервис (ЗЧ) — абсолютные отгрузки за 12 месяцев</t>
        </is>
      </c>
      <c r="F763" s="3" t="inlineStr">
        <is>
          <t>Скидка по сервису</t>
        </is>
      </c>
      <c r="G763" s="4" t="n">
        <v>1</v>
      </c>
      <c r="H763" s="4" t="inlineStr">
        <is>
          <t>да</t>
        </is>
      </c>
      <c r="I763" s="3" t="inlineStr">
        <is>
          <t>105001–115000</t>
        </is>
      </c>
      <c r="J763" s="4" t="n">
        <v>11</v>
      </c>
      <c r="K763" s="4" t="n">
        <v>105001</v>
      </c>
      <c r="L763" s="4" t="n">
        <v>115000</v>
      </c>
      <c r="M763" s="8" t="n">
        <v>0.21</v>
      </c>
      <c r="N763" s="4" t="inlineStr">
        <is>
          <t>%</t>
        </is>
      </c>
      <c r="O763" s="3" t="inlineStr">
        <is>
          <t>Сейитлиев</t>
        </is>
      </c>
      <c r="P763" s="3" t="inlineStr">
        <is>
          <t>F34</t>
        </is>
      </c>
      <c t="str" r="Q763" s="6">
        <f>A763&amp;"|"&amp;C763&amp;"|"&amp;D763&amp;"|"&amp;G763</f>
        <v>Сейитлиев Мердан Иламанович, Туркменистан|Шкала|Сервис (ЗЧ)|1</v>
      </c>
      <c t="str" r="R763" s="6">
        <f>A763&amp;"|"&amp;C763&amp;"|"&amp;D763&amp;"|"&amp;J763</f>
        <v>Сейитлиев Мердан Иламанович, Туркменистан|Шкала|Сервис (ЗЧ)|11</v>
      </c>
      <c t="str" r="S763" s="6">
        <f>A763&amp;"|"&amp;C763&amp;"|"&amp;D763&amp;"|"&amp;G763&amp;"|"&amp;J763</f>
        <v>Сейитлиев Мердан Иламанович, Туркменистан|Шкала|Сервис (ЗЧ)|1|11</v>
      </c>
      <c t="str" r="T763" s="6">
        <f>A763&amp;"|"&amp;C763&amp;"|"&amp;G763</f>
        <v>Сейитлиев Мердан Иламанович, Туркменистан|Шкала|1</v>
      </c>
      <c t="str" r="U763" s="6">
        <f>IF(H763="да",A763&amp;"|"&amp;C763&amp;"|"&amp;D763&amp;"|"&amp;J763,"")</f>
        <v>Сейитлиев Мердан Иламанович, Туркменистан|Шкала|Сервис (ЗЧ)|11</v>
      </c>
      <c t="str" r="V763" s="6">
        <f>IF(C763="План",A763&amp;"|"&amp;J763,"")</f>
        <v/>
      </c>
    </row>
    <row r="764">
      <c r="A764" s="3" t="inlineStr">
        <is>
          <t>Сейитлиев Мердан Иламанович, Туркменистан</t>
        </is>
      </c>
      <c r="B764" s="3" t="inlineStr">
        <is>
          <t>Заруб</t>
        </is>
      </c>
      <c r="C764" s="3" t="inlineStr">
        <is>
          <t>Шкала</t>
        </is>
      </c>
      <c r="D764" s="3" t="inlineStr">
        <is>
          <t>Сервис (ЗЧ)</t>
        </is>
      </c>
      <c r="E764" s="3" t="inlineStr">
        <is>
          <t>Сервис (ЗЧ) — абсолютные отгрузки за 12 месяцев</t>
        </is>
      </c>
      <c r="F764" s="3" t="inlineStr">
        <is>
          <t>Скидка по сервису</t>
        </is>
      </c>
      <c r="G764" s="4" t="n">
        <v>1</v>
      </c>
      <c r="H764" s="4" t="inlineStr">
        <is>
          <t>да</t>
        </is>
      </c>
      <c r="I764" s="3" t="inlineStr">
        <is>
          <t>115001+</t>
        </is>
      </c>
      <c r="J764" s="4" t="n">
        <v>12</v>
      </c>
      <c r="K764" s="4" t="n">
        <v>115001</v>
      </c>
      <c r="L764" s="4" t="n">
        <v>0</v>
      </c>
      <c r="M764" s="8" t="n">
        <v>0.22</v>
      </c>
      <c r="N764" s="4" t="inlineStr">
        <is>
          <t>%</t>
        </is>
      </c>
      <c r="O764" s="3" t="inlineStr">
        <is>
          <t>Сейитлиев</t>
        </is>
      </c>
      <c r="P764" s="3" t="inlineStr">
        <is>
          <t>F35</t>
        </is>
      </c>
      <c t="str" r="Q764" s="6">
        <f>A764&amp;"|"&amp;C764&amp;"|"&amp;D764&amp;"|"&amp;G764</f>
        <v>Сейитлиев Мердан Иламанович, Туркменистан|Шкала|Сервис (ЗЧ)|1</v>
      </c>
      <c t="str" r="R764" s="6">
        <f>A764&amp;"|"&amp;C764&amp;"|"&amp;D764&amp;"|"&amp;J764</f>
        <v>Сейитлиев Мердан Иламанович, Туркменистан|Шкала|Сервис (ЗЧ)|12</v>
      </c>
      <c t="str" r="S764" s="6">
        <f>A764&amp;"|"&amp;C764&amp;"|"&amp;D764&amp;"|"&amp;G764&amp;"|"&amp;J764</f>
        <v>Сейитлиев Мердан Иламанович, Туркменистан|Шкала|Сервис (ЗЧ)|1|12</v>
      </c>
      <c t="str" r="T764" s="6">
        <f>A764&amp;"|"&amp;C764&amp;"|"&amp;G764</f>
        <v>Сейитлиев Мердан Иламанович, Туркменистан|Шкала|1</v>
      </c>
      <c t="str" r="U764" s="6">
        <f>IF(H764="да",A764&amp;"|"&amp;C764&amp;"|"&amp;D764&amp;"|"&amp;J764,"")</f>
        <v>Сейитлиев Мердан Иламанович, Туркменистан|Шкала|Сервис (ЗЧ)|12</v>
      </c>
      <c t="str" r="V764" s="6">
        <f>IF(C764="План",A764&amp;"|"&amp;J764,"")</f>
        <v/>
      </c>
    </row>
    <row r="765">
      <c r="A765" s="3" t="inlineStr">
        <is>
          <t>Ingreda, Молдова</t>
        </is>
      </c>
      <c r="B765" s="3" t="inlineStr">
        <is>
          <t>Заруб</t>
        </is>
      </c>
      <c r="C765" s="3" t="inlineStr">
        <is>
          <t>План</t>
        </is>
      </c>
      <c r="D765" s="3" t="inlineStr">
        <is>
          <t>Итого по дилеру</t>
        </is>
      </c>
      <c r="E765" s="3" t="inlineStr">
        <is>
          <t>План и бонусы</t>
        </is>
      </c>
      <c r="F765" s="3" t="inlineStr">
        <is>
          <t>Выручка 2024</t>
        </is>
      </c>
      <c r="G765" s="4" t="n">
        <v>1</v>
      </c>
      <c r="H765" s="4" t="n"/>
      <c r="I765" s="3" t="n"/>
      <c r="J765" s="4" t="n">
        <v>1</v>
      </c>
      <c r="K765" s="4" t="n"/>
      <c r="L765" s="4" t="n"/>
      <c r="M765" s="5" t="n">
        <v>176093</v>
      </c>
      <c r="N765" s="4" t="inlineStr">
        <is>
          <t>EUR</t>
        </is>
      </c>
      <c r="O765" s="3" t="inlineStr">
        <is>
          <t>Ingreda</t>
        </is>
      </c>
      <c r="P765" s="3" t="inlineStr">
        <is>
          <t>D4</t>
        </is>
      </c>
      <c t="str" r="Q765" s="6">
        <f>A765&amp;"|"&amp;C765&amp;"|"&amp;D765&amp;"|"&amp;G765</f>
        <v>Ingreda, Молдова|План|Итого по дилеру|1</v>
      </c>
      <c t="str" r="R765" s="6">
        <f>A765&amp;"|"&amp;C765&amp;"|"&amp;D765&amp;"|"&amp;J765</f>
        <v>Ingreda, Молдова|План|Итого по дилеру|1</v>
      </c>
      <c t="str" r="S765" s="6">
        <f>A765&amp;"|"&amp;C765&amp;"|"&amp;D765&amp;"|"&amp;G765&amp;"|"&amp;J765</f>
        <v>Ingreda, Молдова|План|Итого по дилеру|1|1</v>
      </c>
      <c t="str" r="T765" s="6">
        <f>A765&amp;"|"&amp;C765&amp;"|"&amp;G765</f>
        <v>Ingreda, Молдова|План|1</v>
      </c>
      <c t="str" r="U765" s="6">
        <f>IF(H765="да",A765&amp;"|"&amp;C765&amp;"|"&amp;D765&amp;"|"&amp;J765,"")</f>
        <v/>
      </c>
      <c t="str" r="V765" s="6">
        <f>IF(C765="План",A765&amp;"|"&amp;J765,"")</f>
        <v>Ingreda, Молдова|1</v>
      </c>
    </row>
    <row r="766">
      <c r="A766" s="3" t="inlineStr">
        <is>
          <t>Ingreda, Молдова</t>
        </is>
      </c>
      <c r="B766" s="3" t="inlineStr">
        <is>
          <t>Заруб</t>
        </is>
      </c>
      <c r="C766" s="3" t="inlineStr">
        <is>
          <t>План</t>
        </is>
      </c>
      <c r="D766" s="3" t="inlineStr">
        <is>
          <t>Итого по дилеру</t>
        </is>
      </c>
      <c r="E766" s="3" t="inlineStr">
        <is>
          <t>План и бонусы</t>
        </is>
      </c>
      <c r="F766" s="3" t="inlineStr">
        <is>
          <t>Выручка 2025</t>
        </is>
      </c>
      <c r="G766" s="4" t="n">
        <v>1</v>
      </c>
      <c r="H766" s="4" t="n"/>
      <c r="I766" s="3" t="n"/>
      <c r="J766" s="4" t="n">
        <v>2</v>
      </c>
      <c r="K766" s="4" t="n"/>
      <c r="L766" s="4" t="n"/>
      <c r="M766" s="5" t="n">
        <v>115940</v>
      </c>
      <c r="N766" s="4" t="inlineStr">
        <is>
          <t>EUR</t>
        </is>
      </c>
      <c r="O766" s="3" t="inlineStr">
        <is>
          <t>Ingreda</t>
        </is>
      </c>
      <c r="P766" s="3" t="inlineStr">
        <is>
          <t>E4</t>
        </is>
      </c>
      <c t="str" r="Q766" s="6">
        <f>A766&amp;"|"&amp;C766&amp;"|"&amp;D766&amp;"|"&amp;G766</f>
        <v>Ingreda, Молдова|План|Итого по дилеру|1</v>
      </c>
      <c t="str" r="R766" s="6">
        <f>A766&amp;"|"&amp;C766&amp;"|"&amp;D766&amp;"|"&amp;J766</f>
        <v>Ingreda, Молдова|План|Итого по дилеру|2</v>
      </c>
      <c t="str" r="S766" s="6">
        <f>A766&amp;"|"&amp;C766&amp;"|"&amp;D766&amp;"|"&amp;G766&amp;"|"&amp;J766</f>
        <v>Ingreda, Молдова|План|Итого по дилеру|1|2</v>
      </c>
      <c t="str" r="T766" s="6">
        <f>A766&amp;"|"&amp;C766&amp;"|"&amp;G766</f>
        <v>Ingreda, Молдова|План|1</v>
      </c>
      <c t="str" r="U766" s="6">
        <f>IF(H766="да",A766&amp;"|"&amp;C766&amp;"|"&amp;D766&amp;"|"&amp;J766,"")</f>
        <v/>
      </c>
      <c t="str" r="V766" s="6">
        <f>IF(C766="План",A766&amp;"|"&amp;J766,"")</f>
        <v>Ingreda, Молдова|2</v>
      </c>
    </row>
    <row r="767">
      <c r="A767" s="3" t="inlineStr">
        <is>
          <t>Ingreda, Молдова</t>
        </is>
      </c>
      <c r="B767" s="3" t="inlineStr">
        <is>
          <t>Заруб</t>
        </is>
      </c>
      <c r="C767" s="3" t="inlineStr">
        <is>
          <t>План</t>
        </is>
      </c>
      <c r="D767" s="3" t="inlineStr">
        <is>
          <t>Итого по дилеру</t>
        </is>
      </c>
      <c r="E767" s="3" t="inlineStr">
        <is>
          <t>План и бонусы</t>
        </is>
      </c>
      <c r="F767" s="3" t="inlineStr">
        <is>
          <t>План 2026</t>
        </is>
      </c>
      <c r="G767" s="4" t="n">
        <v>1</v>
      </c>
      <c r="H767" s="4" t="n"/>
      <c r="I767" s="3" t="n"/>
      <c r="J767" s="4" t="n">
        <v>3</v>
      </c>
      <c r="K767" s="4" t="n"/>
      <c r="L767" s="4" t="n"/>
      <c r="M767" s="5" t="n">
        <v>205000</v>
      </c>
      <c r="N767" s="4" t="inlineStr">
        <is>
          <t>EUR</t>
        </is>
      </c>
      <c r="O767" s="3" t="inlineStr">
        <is>
          <t>Ingreda</t>
        </is>
      </c>
      <c r="P767" s="3" t="inlineStr">
        <is>
          <t>F4</t>
        </is>
      </c>
      <c t="str" r="Q767" s="6">
        <f>A767&amp;"|"&amp;C767&amp;"|"&amp;D767&amp;"|"&amp;G767</f>
        <v>Ingreda, Молдова|План|Итого по дилеру|1</v>
      </c>
      <c t="str" r="R767" s="6">
        <f>A767&amp;"|"&amp;C767&amp;"|"&amp;D767&amp;"|"&amp;J767</f>
        <v>Ingreda, Молдова|План|Итого по дилеру|3</v>
      </c>
      <c t="str" r="S767" s="6">
        <f>A767&amp;"|"&amp;C767&amp;"|"&amp;D767&amp;"|"&amp;G767&amp;"|"&amp;J767</f>
        <v>Ingreda, Молдова|План|Итого по дилеру|1|3</v>
      </c>
      <c t="str" r="T767" s="6">
        <f>A767&amp;"|"&amp;C767&amp;"|"&amp;G767</f>
        <v>Ingreda, Молдова|План|1</v>
      </c>
      <c t="str" r="U767" s="6">
        <f>IF(H767="да",A767&amp;"|"&amp;C767&amp;"|"&amp;D767&amp;"|"&amp;J767,"")</f>
        <v/>
      </c>
      <c t="str" r="V767" s="6">
        <f>IF(C767="План",A767&amp;"|"&amp;J767,"")</f>
        <v>Ingreda, Молдова|3</v>
      </c>
    </row>
    <row r="768">
      <c r="A768" s="3" t="inlineStr">
        <is>
          <t>Ingreda, Молдова</t>
        </is>
      </c>
      <c r="B768" s="3" t="inlineStr">
        <is>
          <t>Заруб</t>
        </is>
      </c>
      <c r="C768" s="3" t="inlineStr">
        <is>
          <t>План</t>
        </is>
      </c>
      <c r="D768" s="3" t="inlineStr">
        <is>
          <t>Итого по дилеру</t>
        </is>
      </c>
      <c r="E768" s="3" t="inlineStr">
        <is>
          <t>План и бонусы</t>
        </is>
      </c>
      <c r="F768" s="3" t="inlineStr">
        <is>
          <t>Прирост П/Ф</t>
        </is>
      </c>
      <c r="G768" s="4" t="n">
        <v>1</v>
      </c>
      <c r="H768" s="4" t="n"/>
      <c r="I768" s="3" t="n"/>
      <c r="J768" s="4" t="n">
        <v>4</v>
      </c>
      <c r="K768" s="4" t="n"/>
      <c r="L768" s="4" t="n"/>
      <c r="M768" s="7" t="n">
        <v>0.7681559427289977</v>
      </c>
      <c r="N768" s="4" t="inlineStr">
        <is>
          <t>%</t>
        </is>
      </c>
      <c r="O768" s="3" t="inlineStr">
        <is>
          <t>Ingreda</t>
        </is>
      </c>
      <c r="P768" s="3" t="inlineStr">
        <is>
          <t>G4</t>
        </is>
      </c>
      <c t="str" r="Q768" s="6">
        <f>A768&amp;"|"&amp;C768&amp;"|"&amp;D768&amp;"|"&amp;G768</f>
        <v>Ingreda, Молдова|План|Итого по дилеру|1</v>
      </c>
      <c t="str" r="R768" s="6">
        <f>A768&amp;"|"&amp;C768&amp;"|"&amp;D768&amp;"|"&amp;J768</f>
        <v>Ingreda, Молдова|План|Итого по дилеру|4</v>
      </c>
      <c t="str" r="S768" s="6">
        <f>A768&amp;"|"&amp;C768&amp;"|"&amp;D768&amp;"|"&amp;G768&amp;"|"&amp;J768</f>
        <v>Ingreda, Молдова|План|Итого по дилеру|1|4</v>
      </c>
      <c t="str" r="T768" s="6">
        <f>A768&amp;"|"&amp;C768&amp;"|"&amp;G768</f>
        <v>Ingreda, Молдова|План|1</v>
      </c>
      <c t="str" r="U768" s="6">
        <f>IF(H768="да",A768&amp;"|"&amp;C768&amp;"|"&amp;D768&amp;"|"&amp;J768,"")</f>
        <v/>
      </c>
      <c t="str" r="V768" s="6">
        <f>IF(C768="План",A768&amp;"|"&amp;J768,"")</f>
        <v>Ingreda, Молдова|4</v>
      </c>
    </row>
    <row r="769">
      <c r="A769" s="3" t="inlineStr">
        <is>
          <t>Ingreda, Молдова</t>
        </is>
      </c>
      <c r="B769" s="3" t="inlineStr">
        <is>
          <t>Заруб</t>
        </is>
      </c>
      <c r="C769" s="3" t="inlineStr">
        <is>
          <t>План</t>
        </is>
      </c>
      <c r="D769" s="3" t="inlineStr">
        <is>
          <t>Сервис</t>
        </is>
      </c>
      <c r="E769" s="3" t="inlineStr">
        <is>
          <t>План и бонусы</t>
        </is>
      </c>
      <c r="F769" s="3" t="inlineStr">
        <is>
          <t>Выручка 2024</t>
        </is>
      </c>
      <c r="G769" s="4" t="n">
        <v>2</v>
      </c>
      <c r="H769" s="4" t="n"/>
      <c r="I769" s="3" t="n"/>
      <c r="J769" s="4" t="n">
        <v>1</v>
      </c>
      <c r="K769" s="4" t="n"/>
      <c r="L769" s="4" t="n"/>
      <c r="M769" s="5" t="n">
        <v>6887</v>
      </c>
      <c r="N769" s="4" t="inlineStr">
        <is>
          <t>EUR</t>
        </is>
      </c>
      <c r="O769" s="3" t="inlineStr">
        <is>
          <t>Ingreda</t>
        </is>
      </c>
      <c r="P769" s="3" t="inlineStr">
        <is>
          <t>D5</t>
        </is>
      </c>
      <c t="str" r="Q769" s="6">
        <f>A769&amp;"|"&amp;C769&amp;"|"&amp;D769&amp;"|"&amp;G769</f>
        <v>Ingreda, Молдова|План|Сервис|2</v>
      </c>
      <c t="str" r="R769" s="6">
        <f>A769&amp;"|"&amp;C769&amp;"|"&amp;D769&amp;"|"&amp;J769</f>
        <v>Ingreda, Молдова|План|Сервис|1</v>
      </c>
      <c t="str" r="S769" s="6">
        <f>A769&amp;"|"&amp;C769&amp;"|"&amp;D769&amp;"|"&amp;G769&amp;"|"&amp;J769</f>
        <v>Ingreda, Молдова|План|Сервис|2|1</v>
      </c>
      <c t="str" r="T769" s="6">
        <f>A769&amp;"|"&amp;C769&amp;"|"&amp;G769</f>
        <v>Ingreda, Молдова|План|2</v>
      </c>
      <c t="str" r="U769" s="6">
        <f>IF(H769="да",A769&amp;"|"&amp;C769&amp;"|"&amp;D769&amp;"|"&amp;J769,"")</f>
        <v/>
      </c>
      <c t="str" r="V769" s="6">
        <f>IF(C769="План",A769&amp;"|"&amp;J769,"")</f>
        <v>Ingreda, Молдова|1</v>
      </c>
    </row>
    <row r="770">
      <c r="A770" s="3" t="inlineStr">
        <is>
          <t>Ingreda, Молдова</t>
        </is>
      </c>
      <c r="B770" s="3" t="inlineStr">
        <is>
          <t>Заруб</t>
        </is>
      </c>
      <c r="C770" s="3" t="inlineStr">
        <is>
          <t>План</t>
        </is>
      </c>
      <c r="D770" s="3" t="inlineStr">
        <is>
          <t>Сервис</t>
        </is>
      </c>
      <c r="E770" s="3" t="inlineStr">
        <is>
          <t>План и бонусы</t>
        </is>
      </c>
      <c r="F770" s="3" t="inlineStr">
        <is>
          <t>Выручка 2025</t>
        </is>
      </c>
      <c r="G770" s="4" t="n">
        <v>2</v>
      </c>
      <c r="H770" s="4" t="n"/>
      <c r="I770" s="3" t="n"/>
      <c r="J770" s="4" t="n">
        <v>2</v>
      </c>
      <c r="K770" s="4" t="n"/>
      <c r="L770" s="4" t="n"/>
      <c r="M770" s="5" t="n">
        <v>3788</v>
      </c>
      <c r="N770" s="4" t="inlineStr">
        <is>
          <t>EUR</t>
        </is>
      </c>
      <c r="O770" s="3" t="inlineStr">
        <is>
          <t>Ingreda</t>
        </is>
      </c>
      <c r="P770" s="3" t="inlineStr">
        <is>
          <t>E5</t>
        </is>
      </c>
      <c t="str" r="Q770" s="6">
        <f>A770&amp;"|"&amp;C770&amp;"|"&amp;D770&amp;"|"&amp;G770</f>
        <v>Ingreda, Молдова|План|Сервис|2</v>
      </c>
      <c t="str" r="R770" s="6">
        <f>A770&amp;"|"&amp;C770&amp;"|"&amp;D770&amp;"|"&amp;J770</f>
        <v>Ingreda, Молдова|План|Сервис|2</v>
      </c>
      <c t="str" r="S770" s="6">
        <f>A770&amp;"|"&amp;C770&amp;"|"&amp;D770&amp;"|"&amp;G770&amp;"|"&amp;J770</f>
        <v>Ingreda, Молдова|План|Сервис|2|2</v>
      </c>
      <c t="str" r="T770" s="6">
        <f>A770&amp;"|"&amp;C770&amp;"|"&amp;G770</f>
        <v>Ingreda, Молдова|План|2</v>
      </c>
      <c t="str" r="U770" s="6">
        <f>IF(H770="да",A770&amp;"|"&amp;C770&amp;"|"&amp;D770&amp;"|"&amp;J770,"")</f>
        <v/>
      </c>
      <c t="str" r="V770" s="6">
        <f>IF(C770="План",A770&amp;"|"&amp;J770,"")</f>
        <v>Ingreda, Молдова|2</v>
      </c>
    </row>
    <row r="771">
      <c r="A771" s="3" t="inlineStr">
        <is>
          <t>Ingreda, Молдова</t>
        </is>
      </c>
      <c r="B771" s="3" t="inlineStr">
        <is>
          <t>Заруб</t>
        </is>
      </c>
      <c r="C771" s="3" t="inlineStr">
        <is>
          <t>План</t>
        </is>
      </c>
      <c r="D771" s="3" t="inlineStr">
        <is>
          <t>Сервис</t>
        </is>
      </c>
      <c r="E771" s="3" t="inlineStr">
        <is>
          <t>План и бонусы</t>
        </is>
      </c>
      <c r="F771" s="3" t="inlineStr">
        <is>
          <t>План 2026</t>
        </is>
      </c>
      <c r="G771" s="4" t="n">
        <v>2</v>
      </c>
      <c r="H771" s="4" t="n"/>
      <c r="I771" s="3" t="n"/>
      <c r="J771" s="4" t="n">
        <v>3</v>
      </c>
      <c r="K771" s="4" t="n"/>
      <c r="L771" s="4" t="n"/>
      <c r="M771" s="5" t="n">
        <v>0</v>
      </c>
      <c r="N771" s="4" t="inlineStr">
        <is>
          <t>EUR</t>
        </is>
      </c>
      <c r="O771" s="3" t="inlineStr">
        <is>
          <t>Ingreda</t>
        </is>
      </c>
      <c r="P771" s="3" t="inlineStr">
        <is>
          <t>F5</t>
        </is>
      </c>
      <c t="str" r="Q771" s="6">
        <f>A771&amp;"|"&amp;C771&amp;"|"&amp;D771&amp;"|"&amp;G771</f>
        <v>Ingreda, Молдова|План|Сервис|2</v>
      </c>
      <c t="str" r="R771" s="6">
        <f>A771&amp;"|"&amp;C771&amp;"|"&amp;D771&amp;"|"&amp;J771</f>
        <v>Ingreda, Молдова|План|Сервис|3</v>
      </c>
      <c t="str" r="S771" s="6">
        <f>A771&amp;"|"&amp;C771&amp;"|"&amp;D771&amp;"|"&amp;G771&amp;"|"&amp;J771</f>
        <v>Ingreda, Молдова|План|Сервис|2|3</v>
      </c>
      <c t="str" r="T771" s="6">
        <f>A771&amp;"|"&amp;C771&amp;"|"&amp;G771</f>
        <v>Ingreda, Молдова|План|2</v>
      </c>
      <c t="str" r="U771" s="6">
        <f>IF(H771="да",A771&amp;"|"&amp;C771&amp;"|"&amp;D771&amp;"|"&amp;J771,"")</f>
        <v/>
      </c>
      <c t="str" r="V771" s="6">
        <f>IF(C771="План",A771&amp;"|"&amp;J771,"")</f>
        <v>Ingreda, Молдова|3</v>
      </c>
    </row>
    <row r="772">
      <c r="A772" s="3" t="inlineStr">
        <is>
          <t>Ingreda, Молдова</t>
        </is>
      </c>
      <c r="B772" s="3" t="inlineStr">
        <is>
          <t>Заруб</t>
        </is>
      </c>
      <c r="C772" s="3" t="inlineStr">
        <is>
          <t>План</t>
        </is>
      </c>
      <c r="D772" s="3" t="inlineStr">
        <is>
          <t>Сервис</t>
        </is>
      </c>
      <c r="E772" s="3" t="inlineStr">
        <is>
          <t>План и бонусы</t>
        </is>
      </c>
      <c r="F772" s="3" t="inlineStr">
        <is>
          <t>Размер бонуса по итогам 2026 г</t>
        </is>
      </c>
      <c r="G772" s="4" t="n">
        <v>2</v>
      </c>
      <c r="H772" s="4" t="n"/>
      <c r="I772" s="3" t="n"/>
      <c r="J772" s="4" t="n">
        <v>5</v>
      </c>
      <c r="K772" s="4" t="n"/>
      <c r="L772" s="4" t="n"/>
      <c r="M772" s="7" t="n">
        <v>0.01</v>
      </c>
      <c r="N772" s="4" t="inlineStr">
        <is>
          <t>%</t>
        </is>
      </c>
      <c r="O772" s="3" t="inlineStr">
        <is>
          <t>Ingreda</t>
        </is>
      </c>
      <c r="P772" s="3" t="inlineStr">
        <is>
          <t>H5</t>
        </is>
      </c>
      <c t="str" r="Q772" s="6">
        <f>A772&amp;"|"&amp;C772&amp;"|"&amp;D772&amp;"|"&amp;G772</f>
        <v>Ingreda, Молдова|План|Сервис|2</v>
      </c>
      <c t="str" r="R772" s="6">
        <f>A772&amp;"|"&amp;C772&amp;"|"&amp;D772&amp;"|"&amp;J772</f>
        <v>Ingreda, Молдова|План|Сервис|5</v>
      </c>
      <c t="str" r="S772" s="6">
        <f>A772&amp;"|"&amp;C772&amp;"|"&amp;D772&amp;"|"&amp;G772&amp;"|"&amp;J772</f>
        <v>Ingreda, Молдова|План|Сервис|2|5</v>
      </c>
      <c t="str" r="T772" s="6">
        <f>A772&amp;"|"&amp;C772&amp;"|"&amp;G772</f>
        <v>Ingreda, Молдова|План|2</v>
      </c>
      <c t="str" r="U772" s="6">
        <f>IF(H772="да",A772&amp;"|"&amp;C772&amp;"|"&amp;D772&amp;"|"&amp;J772,"")</f>
        <v/>
      </c>
      <c t="str" r="V772" s="6">
        <f>IF(C772="План",A772&amp;"|"&amp;J772,"")</f>
        <v>Ingreda, Молдова|5</v>
      </c>
    </row>
    <row r="773">
      <c r="A773" s="3" t="inlineStr">
        <is>
          <t>Ingreda, Молдова</t>
        </is>
      </c>
      <c r="B773" s="3" t="inlineStr">
        <is>
          <t>Заруб</t>
        </is>
      </c>
      <c r="C773" s="3" t="inlineStr">
        <is>
          <t>План</t>
        </is>
      </c>
      <c r="D773" s="3" t="inlineStr">
        <is>
          <t>Сервис</t>
        </is>
      </c>
      <c r="E773" s="3" t="inlineStr">
        <is>
          <t>План и бонусы</t>
        </is>
      </c>
      <c r="F773" s="3" t="inlineStr">
        <is>
          <t>Скидка в 1 кв. 2026 ф.г.*</t>
        </is>
      </c>
      <c r="G773" s="4" t="n">
        <v>2</v>
      </c>
      <c r="H773" s="4" t="n"/>
      <c r="I773" s="3" t="n"/>
      <c r="J773" s="4" t="n">
        <v>6</v>
      </c>
      <c r="K773" s="4" t="n"/>
      <c r="L773" s="4" t="n"/>
      <c r="M773" s="8" t="n">
        <v>0.1</v>
      </c>
      <c r="N773" s="4" t="inlineStr">
        <is>
          <t>%</t>
        </is>
      </c>
      <c r="O773" s="3" t="inlineStr">
        <is>
          <t>Ingreda</t>
        </is>
      </c>
      <c r="P773" s="3" t="inlineStr">
        <is>
          <t>I5</t>
        </is>
      </c>
      <c t="str" r="Q773" s="6">
        <f>A773&amp;"|"&amp;C773&amp;"|"&amp;D773&amp;"|"&amp;G773</f>
        <v>Ingreda, Молдова|План|Сервис|2</v>
      </c>
      <c t="str" r="R773" s="6">
        <f>A773&amp;"|"&amp;C773&amp;"|"&amp;D773&amp;"|"&amp;J773</f>
        <v>Ingreda, Молдова|План|Сервис|6</v>
      </c>
      <c t="str" r="S773" s="6">
        <f>A773&amp;"|"&amp;C773&amp;"|"&amp;D773&amp;"|"&amp;G773&amp;"|"&amp;J773</f>
        <v>Ingreda, Молдова|План|Сервис|2|6</v>
      </c>
      <c t="str" r="T773" s="6">
        <f>A773&amp;"|"&amp;C773&amp;"|"&amp;G773</f>
        <v>Ingreda, Молдова|План|2</v>
      </c>
      <c t="str" r="U773" s="6">
        <f>IF(H773="да",A773&amp;"|"&amp;C773&amp;"|"&amp;D773&amp;"|"&amp;J773,"")</f>
        <v/>
      </c>
      <c t="str" r="V773" s="6">
        <f>IF(C773="План",A773&amp;"|"&amp;J773,"")</f>
        <v>Ingreda, Молдова|6</v>
      </c>
    </row>
    <row r="774">
      <c r="A774" s="3" t="inlineStr">
        <is>
          <t>Ingreda, Молдова</t>
        </is>
      </c>
      <c r="B774" s="3" t="inlineStr">
        <is>
          <t>Заруб</t>
        </is>
      </c>
      <c r="C774" s="3" t="inlineStr">
        <is>
          <t>План</t>
        </is>
      </c>
      <c r="D774" s="3" t="inlineStr">
        <is>
          <t>Оборудование</t>
        </is>
      </c>
      <c r="E774" s="3" t="inlineStr">
        <is>
          <t>План и бонусы</t>
        </is>
      </c>
      <c r="F774" s="3" t="inlineStr">
        <is>
          <t>Выручка 2024</t>
        </is>
      </c>
      <c r="G774" s="4" t="n">
        <v>3</v>
      </c>
      <c r="H774" s="4" t="n"/>
      <c r="I774" s="3" t="n"/>
      <c r="J774" s="4" t="n">
        <v>1</v>
      </c>
      <c r="K774" s="4" t="n"/>
      <c r="L774" s="4" t="n"/>
      <c r="M774" s="5" t="n">
        <v>31297</v>
      </c>
      <c r="N774" s="4" t="inlineStr">
        <is>
          <t>EUR</t>
        </is>
      </c>
      <c r="O774" s="3" t="inlineStr">
        <is>
          <t>Ingreda</t>
        </is>
      </c>
      <c r="P774" s="3" t="inlineStr">
        <is>
          <t>D6</t>
        </is>
      </c>
      <c t="str" r="Q774" s="6">
        <f>A774&amp;"|"&amp;C774&amp;"|"&amp;D774&amp;"|"&amp;G774</f>
        <v>Ingreda, Молдова|План|Оборудование|3</v>
      </c>
      <c t="str" r="R774" s="6">
        <f>A774&amp;"|"&amp;C774&amp;"|"&amp;D774&amp;"|"&amp;J774</f>
        <v>Ingreda, Молдова|План|Оборудование|1</v>
      </c>
      <c t="str" r="S774" s="6">
        <f>A774&amp;"|"&amp;C774&amp;"|"&amp;D774&amp;"|"&amp;G774&amp;"|"&amp;J774</f>
        <v>Ingreda, Молдова|План|Оборудование|3|1</v>
      </c>
      <c t="str" r="T774" s="6">
        <f>A774&amp;"|"&amp;C774&amp;"|"&amp;G774</f>
        <v>Ingreda, Молдова|План|3</v>
      </c>
      <c t="str" r="U774" s="6">
        <f>IF(H774="да",A774&amp;"|"&amp;C774&amp;"|"&amp;D774&amp;"|"&amp;J774,"")</f>
        <v/>
      </c>
      <c t="str" r="V774" s="6">
        <f>IF(C774="План",A774&amp;"|"&amp;J774,"")</f>
        <v>Ingreda, Молдова|1</v>
      </c>
    </row>
    <row r="775">
      <c r="A775" s="3" t="inlineStr">
        <is>
          <t>Ingreda, Молдова</t>
        </is>
      </c>
      <c r="B775" s="3" t="inlineStr">
        <is>
          <t>Заруб</t>
        </is>
      </c>
      <c r="C775" s="3" t="inlineStr">
        <is>
          <t>План</t>
        </is>
      </c>
      <c r="D775" s="3" t="inlineStr">
        <is>
          <t>Оборудование</t>
        </is>
      </c>
      <c r="E775" s="3" t="inlineStr">
        <is>
          <t>План и бонусы</t>
        </is>
      </c>
      <c r="F775" s="3" t="inlineStr">
        <is>
          <t>План 2026</t>
        </is>
      </c>
      <c r="G775" s="4" t="n">
        <v>3</v>
      </c>
      <c r="H775" s="4" t="n"/>
      <c r="I775" s="3" t="n"/>
      <c r="J775" s="4" t="n">
        <v>3</v>
      </c>
      <c r="K775" s="4" t="n"/>
      <c r="L775" s="4" t="n"/>
      <c r="M775" s="5" t="n">
        <v>75000</v>
      </c>
      <c r="N775" s="4" t="inlineStr">
        <is>
          <t>EUR</t>
        </is>
      </c>
      <c r="O775" s="3" t="inlineStr">
        <is>
          <t>Ingreda</t>
        </is>
      </c>
      <c r="P775" s="3" t="inlineStr">
        <is>
          <t>F6</t>
        </is>
      </c>
      <c t="str" r="Q775" s="6">
        <f>A775&amp;"|"&amp;C775&amp;"|"&amp;D775&amp;"|"&amp;G775</f>
        <v>Ingreda, Молдова|План|Оборудование|3</v>
      </c>
      <c t="str" r="R775" s="6">
        <f>A775&amp;"|"&amp;C775&amp;"|"&amp;D775&amp;"|"&amp;J775</f>
        <v>Ingreda, Молдова|План|Оборудование|3</v>
      </c>
      <c t="str" r="S775" s="6">
        <f>A775&amp;"|"&amp;C775&amp;"|"&amp;D775&amp;"|"&amp;G775&amp;"|"&amp;J775</f>
        <v>Ingreda, Молдова|План|Оборудование|3|3</v>
      </c>
      <c t="str" r="T775" s="6">
        <f>A775&amp;"|"&amp;C775&amp;"|"&amp;G775</f>
        <v>Ingreda, Молдова|План|3</v>
      </c>
      <c t="str" r="U775" s="6">
        <f>IF(H775="да",A775&amp;"|"&amp;C775&amp;"|"&amp;D775&amp;"|"&amp;J775,"")</f>
        <v/>
      </c>
      <c t="str" r="V775" s="6">
        <f>IF(C775="План",A775&amp;"|"&amp;J775,"")</f>
        <v>Ingreda, Молдова|3</v>
      </c>
    </row>
    <row r="776">
      <c r="A776" s="3" t="inlineStr">
        <is>
          <t>Ingreda, Молдова</t>
        </is>
      </c>
      <c r="B776" s="3" t="inlineStr">
        <is>
          <t>Заруб</t>
        </is>
      </c>
      <c r="C776" s="3" t="inlineStr">
        <is>
          <t>План</t>
        </is>
      </c>
      <c r="D776" s="3" t="inlineStr">
        <is>
          <t>Оборудование</t>
        </is>
      </c>
      <c r="E776" s="3" t="inlineStr">
        <is>
          <t>План и бонусы</t>
        </is>
      </c>
      <c r="F776" s="3" t="inlineStr">
        <is>
          <t>Размер бонуса по итогам 2026 г</t>
        </is>
      </c>
      <c r="G776" s="4" t="n">
        <v>3</v>
      </c>
      <c r="H776" s="4" t="n"/>
      <c r="I776" s="3" t="n"/>
      <c r="J776" s="4" t="n">
        <v>5</v>
      </c>
      <c r="K776" s="4" t="n"/>
      <c r="L776" s="4" t="n"/>
      <c r="M776" s="7" t="n">
        <v>0.015</v>
      </c>
      <c r="N776" s="4" t="inlineStr">
        <is>
          <t>%</t>
        </is>
      </c>
      <c r="O776" s="3" t="inlineStr">
        <is>
          <t>Ingreda</t>
        </is>
      </c>
      <c r="P776" s="3" t="inlineStr">
        <is>
          <t>H6</t>
        </is>
      </c>
      <c t="str" r="Q776" s="6">
        <f>A776&amp;"|"&amp;C776&amp;"|"&amp;D776&amp;"|"&amp;G776</f>
        <v>Ingreda, Молдова|План|Оборудование|3</v>
      </c>
      <c t="str" r="R776" s="6">
        <f>A776&amp;"|"&amp;C776&amp;"|"&amp;D776&amp;"|"&amp;J776</f>
        <v>Ingreda, Молдова|План|Оборудование|5</v>
      </c>
      <c t="str" r="S776" s="6">
        <f>A776&amp;"|"&amp;C776&amp;"|"&amp;D776&amp;"|"&amp;G776&amp;"|"&amp;J776</f>
        <v>Ingreda, Молдова|План|Оборудование|3|5</v>
      </c>
      <c t="str" r="T776" s="6">
        <f>A776&amp;"|"&amp;C776&amp;"|"&amp;G776</f>
        <v>Ingreda, Молдова|План|3</v>
      </c>
      <c t="str" r="U776" s="6">
        <f>IF(H776="да",A776&amp;"|"&amp;C776&amp;"|"&amp;D776&amp;"|"&amp;J776,"")</f>
        <v/>
      </c>
      <c t="str" r="V776" s="6">
        <f>IF(C776="План",A776&amp;"|"&amp;J776,"")</f>
        <v>Ingreda, Молдова|5</v>
      </c>
    </row>
    <row r="777">
      <c r="A777" s="3" t="inlineStr">
        <is>
          <t>Ingreda, Молдова</t>
        </is>
      </c>
      <c r="B777" s="3" t="inlineStr">
        <is>
          <t>Заруб</t>
        </is>
      </c>
      <c r="C777" s="3" t="inlineStr">
        <is>
          <t>План</t>
        </is>
      </c>
      <c r="D777" s="3" t="inlineStr">
        <is>
          <t>Оборудование</t>
        </is>
      </c>
      <c r="E777" s="3" t="inlineStr">
        <is>
          <t>План и бонусы</t>
        </is>
      </c>
      <c r="F777" s="3" t="inlineStr">
        <is>
          <t>Скидка в 1 кв. 2026 ф.г.*</t>
        </is>
      </c>
      <c r="G777" s="4" t="n">
        <v>3</v>
      </c>
      <c r="H777" s="4" t="n"/>
      <c r="I777" s="3" t="n"/>
      <c r="J777" s="4" t="n">
        <v>6</v>
      </c>
      <c r="K777" s="4" t="n"/>
      <c r="L777" s="4" t="n"/>
      <c r="M777" s="8" t="n">
        <v>0.16</v>
      </c>
      <c r="N777" s="4" t="inlineStr">
        <is>
          <t>%</t>
        </is>
      </c>
      <c r="O777" s="3" t="inlineStr">
        <is>
          <t>Ingreda</t>
        </is>
      </c>
      <c r="P777" s="3" t="inlineStr">
        <is>
          <t>I6</t>
        </is>
      </c>
      <c t="str" r="Q777" s="6">
        <f>A777&amp;"|"&amp;C777&amp;"|"&amp;D777&amp;"|"&amp;G777</f>
        <v>Ingreda, Молдова|План|Оборудование|3</v>
      </c>
      <c t="str" r="R777" s="6">
        <f>A777&amp;"|"&amp;C777&amp;"|"&amp;D777&amp;"|"&amp;J777</f>
        <v>Ingreda, Молдова|План|Оборудование|6</v>
      </c>
      <c t="str" r="S777" s="6">
        <f>A777&amp;"|"&amp;C777&amp;"|"&amp;D777&amp;"|"&amp;G777&amp;"|"&amp;J777</f>
        <v>Ingreda, Молдова|План|Оборудование|3|6</v>
      </c>
      <c t="str" r="T777" s="6">
        <f>A777&amp;"|"&amp;C777&amp;"|"&amp;G777</f>
        <v>Ingreda, Молдова|План|3</v>
      </c>
      <c t="str" r="U777" s="6">
        <f>IF(H777="да",A777&amp;"|"&amp;C777&amp;"|"&amp;D777&amp;"|"&amp;J777,"")</f>
        <v/>
      </c>
      <c t="str" r="V777" s="6">
        <f>IF(C777="План",A777&amp;"|"&amp;J777,"")</f>
        <v>Ingreda, Молдова|6</v>
      </c>
    </row>
    <row r="778">
      <c r="A778" s="3" t="inlineStr">
        <is>
          <t>Ingreda, Молдова</t>
        </is>
      </c>
      <c r="B778" s="3" t="inlineStr">
        <is>
          <t>Заруб</t>
        </is>
      </c>
      <c r="C778" s="3" t="inlineStr">
        <is>
          <t>План</t>
        </is>
      </c>
      <c r="D778" s="3" t="inlineStr">
        <is>
          <t>Расходные материалы</t>
        </is>
      </c>
      <c r="E778" s="3" t="inlineStr">
        <is>
          <t>План и бонусы</t>
        </is>
      </c>
      <c r="F778" s="3" t="inlineStr">
        <is>
          <t>Выручка 2024</t>
        </is>
      </c>
      <c r="G778" s="4" t="n">
        <v>4</v>
      </c>
      <c r="H778" s="4" t="n"/>
      <c r="I778" s="3" t="n"/>
      <c r="J778" s="4" t="n">
        <v>1</v>
      </c>
      <c r="K778" s="4" t="n"/>
      <c r="L778" s="4" t="n"/>
      <c r="M778" s="5" t="n">
        <v>137909</v>
      </c>
      <c r="N778" s="4" t="inlineStr">
        <is>
          <t>EUR</t>
        </is>
      </c>
      <c r="O778" s="3" t="inlineStr">
        <is>
          <t>Ingreda</t>
        </is>
      </c>
      <c r="P778" s="3" t="inlineStr">
        <is>
          <t>D7</t>
        </is>
      </c>
      <c t="str" r="Q778" s="6">
        <f>A778&amp;"|"&amp;C778&amp;"|"&amp;D778&amp;"|"&amp;G778</f>
        <v>Ingreda, Молдова|План|Расходные материалы|4</v>
      </c>
      <c t="str" r="R778" s="6">
        <f>A778&amp;"|"&amp;C778&amp;"|"&amp;D778&amp;"|"&amp;J778</f>
        <v>Ingreda, Молдова|План|Расходные материалы|1</v>
      </c>
      <c t="str" r="S778" s="6">
        <f>A778&amp;"|"&amp;C778&amp;"|"&amp;D778&amp;"|"&amp;G778&amp;"|"&amp;J778</f>
        <v>Ingreda, Молдова|План|Расходные материалы|4|1</v>
      </c>
      <c t="str" r="T778" s="6">
        <f>A778&amp;"|"&amp;C778&amp;"|"&amp;G778</f>
        <v>Ingreda, Молдова|План|4</v>
      </c>
      <c t="str" r="U778" s="6">
        <f>IF(H778="да",A778&amp;"|"&amp;C778&amp;"|"&amp;D778&amp;"|"&amp;J778,"")</f>
        <v/>
      </c>
      <c t="str" r="V778" s="6">
        <f>IF(C778="План",A778&amp;"|"&amp;J778,"")</f>
        <v>Ingreda, Молдова|1</v>
      </c>
    </row>
    <row r="779">
      <c r="A779" s="3" t="inlineStr">
        <is>
          <t>Ingreda, Молдова</t>
        </is>
      </c>
      <c r="B779" s="3" t="inlineStr">
        <is>
          <t>Заруб</t>
        </is>
      </c>
      <c r="C779" s="3" t="inlineStr">
        <is>
          <t>План</t>
        </is>
      </c>
      <c r="D779" s="3" t="inlineStr">
        <is>
          <t>Расходные материалы</t>
        </is>
      </c>
      <c r="E779" s="3" t="inlineStr">
        <is>
          <t>План и бонусы</t>
        </is>
      </c>
      <c r="F779" s="3" t="inlineStr">
        <is>
          <t>Выручка 2025</t>
        </is>
      </c>
      <c r="G779" s="4" t="n">
        <v>4</v>
      </c>
      <c r="H779" s="4" t="n"/>
      <c r="I779" s="3" t="n"/>
      <c r="J779" s="4" t="n">
        <v>2</v>
      </c>
      <c r="K779" s="4" t="n"/>
      <c r="L779" s="4" t="n"/>
      <c r="M779" s="5" t="n">
        <v>112152</v>
      </c>
      <c r="N779" s="4" t="inlineStr">
        <is>
          <t>EUR</t>
        </is>
      </c>
      <c r="O779" s="3" t="inlineStr">
        <is>
          <t>Ingreda</t>
        </is>
      </c>
      <c r="P779" s="3" t="inlineStr">
        <is>
          <t>E7</t>
        </is>
      </c>
      <c t="str" r="Q779" s="6">
        <f>A779&amp;"|"&amp;C779&amp;"|"&amp;D779&amp;"|"&amp;G779</f>
        <v>Ingreda, Молдова|План|Расходные материалы|4</v>
      </c>
      <c t="str" r="R779" s="6">
        <f>A779&amp;"|"&amp;C779&amp;"|"&amp;D779&amp;"|"&amp;J779</f>
        <v>Ingreda, Молдова|План|Расходные материалы|2</v>
      </c>
      <c t="str" r="S779" s="6">
        <f>A779&amp;"|"&amp;C779&amp;"|"&amp;D779&amp;"|"&amp;G779&amp;"|"&amp;J779</f>
        <v>Ingreda, Молдова|План|Расходные материалы|4|2</v>
      </c>
      <c t="str" r="T779" s="6">
        <f>A779&amp;"|"&amp;C779&amp;"|"&amp;G779</f>
        <v>Ingreda, Молдова|План|4</v>
      </c>
      <c t="str" r="U779" s="6">
        <f>IF(H779="да",A779&amp;"|"&amp;C779&amp;"|"&amp;D779&amp;"|"&amp;J779,"")</f>
        <v/>
      </c>
      <c t="str" r="V779" s="6">
        <f>IF(C779="План",A779&amp;"|"&amp;J779,"")</f>
        <v>Ingreda, Молдова|2</v>
      </c>
    </row>
    <row r="780">
      <c r="A780" s="3" t="inlineStr">
        <is>
          <t>Ingreda, Молдова</t>
        </is>
      </c>
      <c r="B780" s="3" t="inlineStr">
        <is>
          <t>Заруб</t>
        </is>
      </c>
      <c r="C780" s="3" t="inlineStr">
        <is>
          <t>План</t>
        </is>
      </c>
      <c r="D780" s="3" t="inlineStr">
        <is>
          <t>Расходные материалы</t>
        </is>
      </c>
      <c r="E780" s="3" t="inlineStr">
        <is>
          <t>План и бонусы</t>
        </is>
      </c>
      <c r="F780" s="3" t="inlineStr">
        <is>
          <t>План 2026</t>
        </is>
      </c>
      <c r="G780" s="4" t="n">
        <v>4</v>
      </c>
      <c r="H780" s="4" t="n"/>
      <c r="I780" s="3" t="n"/>
      <c r="J780" s="4" t="n">
        <v>3</v>
      </c>
      <c r="K780" s="4" t="n"/>
      <c r="L780" s="4" t="n"/>
      <c r="M780" s="5" t="n">
        <v>130000</v>
      </c>
      <c r="N780" s="4" t="inlineStr">
        <is>
          <t>EUR</t>
        </is>
      </c>
      <c r="O780" s="3" t="inlineStr">
        <is>
          <t>Ingreda</t>
        </is>
      </c>
      <c r="P780" s="3" t="inlineStr">
        <is>
          <t>F7</t>
        </is>
      </c>
      <c t="str" r="Q780" s="6">
        <f>A780&amp;"|"&amp;C780&amp;"|"&amp;D780&amp;"|"&amp;G780</f>
        <v>Ingreda, Молдова|План|Расходные материалы|4</v>
      </c>
      <c t="str" r="R780" s="6">
        <f>A780&amp;"|"&amp;C780&amp;"|"&amp;D780&amp;"|"&amp;J780</f>
        <v>Ingreda, Молдова|План|Расходные материалы|3</v>
      </c>
      <c t="str" r="S780" s="6">
        <f>A780&amp;"|"&amp;C780&amp;"|"&amp;D780&amp;"|"&amp;G780&amp;"|"&amp;J780</f>
        <v>Ingreda, Молдова|План|Расходные материалы|4|3</v>
      </c>
      <c t="str" r="T780" s="6">
        <f>A780&amp;"|"&amp;C780&amp;"|"&amp;G780</f>
        <v>Ingreda, Молдова|План|4</v>
      </c>
      <c t="str" r="U780" s="6">
        <f>IF(H780="да",A780&amp;"|"&amp;C780&amp;"|"&amp;D780&amp;"|"&amp;J780,"")</f>
        <v/>
      </c>
      <c t="str" r="V780" s="6">
        <f>IF(C780="План",A780&amp;"|"&amp;J780,"")</f>
        <v>Ingreda, Молдова|3</v>
      </c>
    </row>
    <row r="781">
      <c r="A781" s="3" t="inlineStr">
        <is>
          <t>Ingreda, Молдова</t>
        </is>
      </c>
      <c r="B781" s="3" t="inlineStr">
        <is>
          <t>Заруб</t>
        </is>
      </c>
      <c r="C781" s="3" t="inlineStr">
        <is>
          <t>План</t>
        </is>
      </c>
      <c r="D781" s="3" t="inlineStr">
        <is>
          <t>Расходные материалы</t>
        </is>
      </c>
      <c r="E781" s="3" t="inlineStr">
        <is>
          <t>План и бонусы</t>
        </is>
      </c>
      <c r="F781" s="3" t="inlineStr">
        <is>
          <t>Размер бонуса по итогам 2026 г</t>
        </is>
      </c>
      <c r="G781" s="4" t="n">
        <v>4</v>
      </c>
      <c r="H781" s="4" t="n"/>
      <c r="I781" s="3" t="n"/>
      <c r="J781" s="4" t="n">
        <v>5</v>
      </c>
      <c r="K781" s="4" t="n"/>
      <c r="L781" s="4" t="n"/>
      <c r="M781" s="7" t="n">
        <v>0.005</v>
      </c>
      <c r="N781" s="4" t="inlineStr">
        <is>
          <t>%</t>
        </is>
      </c>
      <c r="O781" s="3" t="inlineStr">
        <is>
          <t>Ingreda</t>
        </is>
      </c>
      <c r="P781" s="3" t="inlineStr">
        <is>
          <t>H7</t>
        </is>
      </c>
      <c t="str" r="Q781" s="6">
        <f>A781&amp;"|"&amp;C781&amp;"|"&amp;D781&amp;"|"&amp;G781</f>
        <v>Ingreda, Молдова|План|Расходные материалы|4</v>
      </c>
      <c t="str" r="R781" s="6">
        <f>A781&amp;"|"&amp;C781&amp;"|"&amp;D781&amp;"|"&amp;J781</f>
        <v>Ingreda, Молдова|План|Расходные материалы|5</v>
      </c>
      <c t="str" r="S781" s="6">
        <f>A781&amp;"|"&amp;C781&amp;"|"&amp;D781&amp;"|"&amp;G781&amp;"|"&amp;J781</f>
        <v>Ingreda, Молдова|План|Расходные материалы|4|5</v>
      </c>
      <c t="str" r="T781" s="6">
        <f>A781&amp;"|"&amp;C781&amp;"|"&amp;G781</f>
        <v>Ingreda, Молдова|План|4</v>
      </c>
      <c t="str" r="U781" s="6">
        <f>IF(H781="да",A781&amp;"|"&amp;C781&amp;"|"&amp;D781&amp;"|"&amp;J781,"")</f>
        <v/>
      </c>
      <c t="str" r="V781" s="6">
        <f>IF(C781="План",A781&amp;"|"&amp;J781,"")</f>
        <v>Ingreda, Молдова|5</v>
      </c>
    </row>
    <row r="782">
      <c r="A782" s="3" t="inlineStr">
        <is>
          <t>Ingreda, Молдова</t>
        </is>
      </c>
      <c r="B782" s="3" t="inlineStr">
        <is>
          <t>Заруб</t>
        </is>
      </c>
      <c r="C782" s="3" t="inlineStr">
        <is>
          <t>Шкала</t>
        </is>
      </c>
      <c r="D782" s="3" t="inlineStr">
        <is>
          <t>Оборудование</t>
        </is>
      </c>
      <c r="E782" s="3" t="inlineStr">
        <is>
          <t>Оборудование — за полугодие</t>
        </is>
      </c>
      <c r="F782" s="3" t="inlineStr">
        <is>
          <t>Базовое вознаграждение за Дилерский договор</t>
        </is>
      </c>
      <c r="G782" s="4" t="n">
        <v>1</v>
      </c>
      <c r="H782" s="4" t="n"/>
      <c r="I782" s="3" t="inlineStr">
        <is>
          <t>до 75</t>
        </is>
      </c>
      <c r="J782" s="4" t="n">
        <v>1</v>
      </c>
      <c r="K782" s="4" t="n"/>
      <c r="L782" s="4" t="n"/>
      <c r="M782" s="8" t="n">
        <v>0.06</v>
      </c>
      <c r="N782" s="4" t="inlineStr">
        <is>
          <t>%</t>
        </is>
      </c>
      <c r="O782" s="3" t="inlineStr">
        <is>
          <t>Ingreda</t>
        </is>
      </c>
      <c r="P782" s="3" t="inlineStr">
        <is>
          <t>E15</t>
        </is>
      </c>
      <c t="str" r="Q782" s="6">
        <f>A782&amp;"|"&amp;C782&amp;"|"&amp;D782&amp;"|"&amp;G782</f>
        <v>Ingreda, Молдова|Шкала|Оборудование|1</v>
      </c>
      <c t="str" r="R782" s="6">
        <f>A782&amp;"|"&amp;C782&amp;"|"&amp;D782&amp;"|"&amp;J782</f>
        <v>Ingreda, Молдова|Шкала|Оборудование|1</v>
      </c>
      <c t="str" r="S782" s="6">
        <f>A782&amp;"|"&amp;C782&amp;"|"&amp;D782&amp;"|"&amp;G782&amp;"|"&amp;J782</f>
        <v>Ingreda, Молдова|Шкала|Оборудование|1|1</v>
      </c>
      <c t="str" r="T782" s="6">
        <f>A782&amp;"|"&amp;C782&amp;"|"&amp;G782</f>
        <v>Ingreda, Молдова|Шкала|1</v>
      </c>
      <c t="str" r="U782" s="6">
        <f>IF(H782="да",A782&amp;"|"&amp;C782&amp;"|"&amp;D782&amp;"|"&amp;J782,"")</f>
        <v/>
      </c>
      <c t="str" r="V782" s="6">
        <f>IF(C782="План",A782&amp;"|"&amp;J782,"")</f>
        <v/>
      </c>
    </row>
    <row r="783">
      <c r="A783" s="3" t="inlineStr">
        <is>
          <t>Ingreda, Молдова</t>
        </is>
      </c>
      <c r="B783" s="3" t="inlineStr">
        <is>
          <t>Заруб</t>
        </is>
      </c>
      <c r="C783" s="3" t="inlineStr">
        <is>
          <t>Шкала</t>
        </is>
      </c>
      <c r="D783" s="3" t="inlineStr">
        <is>
          <t>Оборудование</t>
        </is>
      </c>
      <c r="E783" s="3" t="inlineStr">
        <is>
          <t>Оборудование — за полугодие</t>
        </is>
      </c>
      <c r="F783" s="3" t="inlineStr">
        <is>
          <t>Базовое вознаграждение за Дилерский договор</t>
        </is>
      </c>
      <c r="G783" s="4" t="n">
        <v>1</v>
      </c>
      <c r="H783" s="4" t="n"/>
      <c r="I783" s="3" t="inlineStr">
        <is>
          <t>75-114</t>
        </is>
      </c>
      <c r="J783" s="4" t="n">
        <v>2</v>
      </c>
      <c r="K783" s="4" t="n"/>
      <c r="L783" s="4" t="n"/>
      <c r="M783" s="8" t="n">
        <v>0.06</v>
      </c>
      <c r="N783" s="4" t="inlineStr">
        <is>
          <t>%</t>
        </is>
      </c>
      <c r="O783" s="3" t="inlineStr">
        <is>
          <t>Ingreda</t>
        </is>
      </c>
      <c r="P783" s="3" t="inlineStr">
        <is>
          <t>F15</t>
        </is>
      </c>
      <c t="str" r="Q783" s="6">
        <f>A783&amp;"|"&amp;C783&amp;"|"&amp;D783&amp;"|"&amp;G783</f>
        <v>Ingreda, Молдова|Шкала|Оборудование|1</v>
      </c>
      <c t="str" r="R783" s="6">
        <f>A783&amp;"|"&amp;C783&amp;"|"&amp;D783&amp;"|"&amp;J783</f>
        <v>Ingreda, Молдова|Шкала|Оборудование|2</v>
      </c>
      <c t="str" r="S783" s="6">
        <f>A783&amp;"|"&amp;C783&amp;"|"&amp;D783&amp;"|"&amp;G783&amp;"|"&amp;J783</f>
        <v>Ingreda, Молдова|Шкала|Оборудование|1|2</v>
      </c>
      <c t="str" r="T783" s="6">
        <f>A783&amp;"|"&amp;C783&amp;"|"&amp;G783</f>
        <v>Ingreda, Молдова|Шкала|1</v>
      </c>
      <c t="str" r="U783" s="6">
        <f>IF(H783="да",A783&amp;"|"&amp;C783&amp;"|"&amp;D783&amp;"|"&amp;J783,"")</f>
        <v/>
      </c>
      <c t="str" r="V783" s="6">
        <f>IF(C783="План",A783&amp;"|"&amp;J783,"")</f>
        <v/>
      </c>
    </row>
    <row r="784">
      <c r="A784" s="3" t="inlineStr">
        <is>
          <t>Ingreda, Молдова</t>
        </is>
      </c>
      <c r="B784" s="3" t="inlineStr">
        <is>
          <t>Заруб</t>
        </is>
      </c>
      <c r="C784" s="3" t="inlineStr">
        <is>
          <t>Шкала</t>
        </is>
      </c>
      <c r="D784" s="3" t="inlineStr">
        <is>
          <t>Оборудование</t>
        </is>
      </c>
      <c r="E784" s="3" t="inlineStr">
        <is>
          <t>Оборудование — за полугодие</t>
        </is>
      </c>
      <c r="F784" s="3" t="inlineStr">
        <is>
          <t>Базовое вознаграждение за Дилерский договор</t>
        </is>
      </c>
      <c r="G784" s="4" t="n">
        <v>1</v>
      </c>
      <c r="H784" s="4" t="n"/>
      <c r="I784" s="3" t="inlineStr">
        <is>
          <t>115-149</t>
        </is>
      </c>
      <c r="J784" s="4" t="n">
        <v>3</v>
      </c>
      <c r="K784" s="4" t="n"/>
      <c r="L784" s="4" t="n"/>
      <c r="M784" s="8" t="n">
        <v>0.06</v>
      </c>
      <c r="N784" s="4" t="inlineStr">
        <is>
          <t>%</t>
        </is>
      </c>
      <c r="O784" s="3" t="inlineStr">
        <is>
          <t>Ingreda</t>
        </is>
      </c>
      <c r="P784" s="3" t="inlineStr">
        <is>
          <t>G15</t>
        </is>
      </c>
      <c t="str" r="Q784" s="6">
        <f>A784&amp;"|"&amp;C784&amp;"|"&amp;D784&amp;"|"&amp;G784</f>
        <v>Ingreda, Молдова|Шкала|Оборудование|1</v>
      </c>
      <c t="str" r="R784" s="6">
        <f>A784&amp;"|"&amp;C784&amp;"|"&amp;D784&amp;"|"&amp;J784</f>
        <v>Ingreda, Молдова|Шкала|Оборудование|3</v>
      </c>
      <c t="str" r="S784" s="6">
        <f>A784&amp;"|"&amp;C784&amp;"|"&amp;D784&amp;"|"&amp;G784&amp;"|"&amp;J784</f>
        <v>Ingreda, Молдова|Шкала|Оборудование|1|3</v>
      </c>
      <c t="str" r="T784" s="6">
        <f>A784&amp;"|"&amp;C784&amp;"|"&amp;G784</f>
        <v>Ingreda, Молдова|Шкала|1</v>
      </c>
      <c t="str" r="U784" s="6">
        <f>IF(H784="да",A784&amp;"|"&amp;C784&amp;"|"&amp;D784&amp;"|"&amp;J784,"")</f>
        <v/>
      </c>
      <c t="str" r="V784" s="6">
        <f>IF(C784="План",A784&amp;"|"&amp;J784,"")</f>
        <v/>
      </c>
    </row>
    <row r="785">
      <c r="A785" s="3" t="inlineStr">
        <is>
          <t>Ingreda, Молдова</t>
        </is>
      </c>
      <c r="B785" s="3" t="inlineStr">
        <is>
          <t>Заруб</t>
        </is>
      </c>
      <c r="C785" s="3" t="inlineStr">
        <is>
          <t>Шкала</t>
        </is>
      </c>
      <c r="D785" s="3" t="inlineStr">
        <is>
          <t>Оборудование</t>
        </is>
      </c>
      <c r="E785" s="3" t="inlineStr">
        <is>
          <t>Оборудование — за полугодие</t>
        </is>
      </c>
      <c r="F785" s="3" t="inlineStr">
        <is>
          <t>Базовое вознаграждение за Дилерский договор</t>
        </is>
      </c>
      <c r="G785" s="4" t="n">
        <v>1</v>
      </c>
      <c r="H785" s="4" t="n"/>
      <c r="I785" s="3" t="inlineStr">
        <is>
          <t>150-189</t>
        </is>
      </c>
      <c r="J785" s="4" t="n">
        <v>4</v>
      </c>
      <c r="K785" s="4" t="n"/>
      <c r="L785" s="4" t="n"/>
      <c r="M785" s="8" t="n">
        <v>0.06</v>
      </c>
      <c r="N785" s="4" t="inlineStr">
        <is>
          <t>%</t>
        </is>
      </c>
      <c r="O785" s="3" t="inlineStr">
        <is>
          <t>Ingreda</t>
        </is>
      </c>
      <c r="P785" s="3" t="inlineStr">
        <is>
          <t>H15</t>
        </is>
      </c>
      <c t="str" r="Q785" s="6">
        <f>A785&amp;"|"&amp;C785&amp;"|"&amp;D785&amp;"|"&amp;G785</f>
        <v>Ingreda, Молдова|Шкала|Оборудование|1</v>
      </c>
      <c t="str" r="R785" s="6">
        <f>A785&amp;"|"&amp;C785&amp;"|"&amp;D785&amp;"|"&amp;J785</f>
        <v>Ingreda, Молдова|Шкала|Оборудование|4</v>
      </c>
      <c t="str" r="S785" s="6">
        <f>A785&amp;"|"&amp;C785&amp;"|"&amp;D785&amp;"|"&amp;G785&amp;"|"&amp;J785</f>
        <v>Ingreda, Молдова|Шкала|Оборудование|1|4</v>
      </c>
      <c t="str" r="T785" s="6">
        <f>A785&amp;"|"&amp;C785&amp;"|"&amp;G785</f>
        <v>Ingreda, Молдова|Шкала|1</v>
      </c>
      <c t="str" r="U785" s="6">
        <f>IF(H785="да",A785&amp;"|"&amp;C785&amp;"|"&amp;D785&amp;"|"&amp;J785,"")</f>
        <v/>
      </c>
      <c t="str" r="V785" s="6">
        <f>IF(C785="План",A785&amp;"|"&amp;J785,"")</f>
        <v/>
      </c>
    </row>
    <row r="786">
      <c r="A786" s="3" t="inlineStr">
        <is>
          <t>Ingreda, Молдова</t>
        </is>
      </c>
      <c r="B786" s="3" t="inlineStr">
        <is>
          <t>Заруб</t>
        </is>
      </c>
      <c r="C786" s="3" t="inlineStr">
        <is>
          <t>Шкала</t>
        </is>
      </c>
      <c r="D786" s="3" t="inlineStr">
        <is>
          <t>Оборудование</t>
        </is>
      </c>
      <c r="E786" s="3" t="inlineStr">
        <is>
          <t>Оборудование — за полугодие</t>
        </is>
      </c>
      <c r="F786" s="3" t="inlineStr">
        <is>
          <t>Базовое вознаграждение за Дилерский договор</t>
        </is>
      </c>
      <c r="G786" s="4" t="n">
        <v>1</v>
      </c>
      <c r="H786" s="4" t="n"/>
      <c r="I786" s="3" t="inlineStr">
        <is>
          <t>190-224</t>
        </is>
      </c>
      <c r="J786" s="4" t="n">
        <v>5</v>
      </c>
      <c r="K786" s="4" t="n"/>
      <c r="L786" s="4" t="n"/>
      <c r="M786" s="8" t="n">
        <v>0.06</v>
      </c>
      <c r="N786" s="4" t="inlineStr">
        <is>
          <t>%</t>
        </is>
      </c>
      <c r="O786" s="3" t="inlineStr">
        <is>
          <t>Ingreda</t>
        </is>
      </c>
      <c r="P786" s="3" t="inlineStr">
        <is>
          <t>I15</t>
        </is>
      </c>
      <c t="str" r="Q786" s="6">
        <f>A786&amp;"|"&amp;C786&amp;"|"&amp;D786&amp;"|"&amp;G786</f>
        <v>Ingreda, Молдова|Шкала|Оборудование|1</v>
      </c>
      <c t="str" r="R786" s="6">
        <f>A786&amp;"|"&amp;C786&amp;"|"&amp;D786&amp;"|"&amp;J786</f>
        <v>Ingreda, Молдова|Шкала|Оборудование|5</v>
      </c>
      <c t="str" r="S786" s="6">
        <f>A786&amp;"|"&amp;C786&amp;"|"&amp;D786&amp;"|"&amp;G786&amp;"|"&amp;J786</f>
        <v>Ingreda, Молдова|Шкала|Оборудование|1|5</v>
      </c>
      <c t="str" r="T786" s="6">
        <f>A786&amp;"|"&amp;C786&amp;"|"&amp;G786</f>
        <v>Ingreda, Молдова|Шкала|1</v>
      </c>
      <c t="str" r="U786" s="6">
        <f>IF(H786="да",A786&amp;"|"&amp;C786&amp;"|"&amp;D786&amp;"|"&amp;J786,"")</f>
        <v/>
      </c>
      <c t="str" r="V786" s="6">
        <f>IF(C786="План",A786&amp;"|"&amp;J786,"")</f>
        <v/>
      </c>
    </row>
    <row r="787">
      <c r="A787" s="3" t="inlineStr">
        <is>
          <t>Ingreda, Молдова</t>
        </is>
      </c>
      <c r="B787" s="3" t="inlineStr">
        <is>
          <t>Заруб</t>
        </is>
      </c>
      <c r="C787" s="3" t="inlineStr">
        <is>
          <t>Шкала</t>
        </is>
      </c>
      <c r="D787" s="3" t="inlineStr">
        <is>
          <t>Оборудование</t>
        </is>
      </c>
      <c r="E787" s="3" t="inlineStr">
        <is>
          <t>Оборудование — за полугодие</t>
        </is>
      </c>
      <c r="F787" s="3" t="inlineStr">
        <is>
          <t>Базовое вознаграждение за Дилерский договор</t>
        </is>
      </c>
      <c r="G787" s="4" t="n">
        <v>1</v>
      </c>
      <c r="H787" s="4" t="n"/>
      <c r="I787" s="3" t="inlineStr">
        <is>
          <t>225 и более</t>
        </is>
      </c>
      <c r="J787" s="4" t="n">
        <v>6</v>
      </c>
      <c r="K787" s="4" t="n"/>
      <c r="L787" s="4" t="n"/>
      <c r="M787" s="8" t="n">
        <v>0.06</v>
      </c>
      <c r="N787" s="4" t="inlineStr">
        <is>
          <t>%</t>
        </is>
      </c>
      <c r="O787" s="3" t="inlineStr">
        <is>
          <t>Ingreda</t>
        </is>
      </c>
      <c r="P787" s="3" t="inlineStr">
        <is>
          <t>J15</t>
        </is>
      </c>
      <c t="str" r="Q787" s="6">
        <f>A787&amp;"|"&amp;C787&amp;"|"&amp;D787&amp;"|"&amp;G787</f>
        <v>Ingreda, Молдова|Шкала|Оборудование|1</v>
      </c>
      <c t="str" r="R787" s="6">
        <f>A787&amp;"|"&amp;C787&amp;"|"&amp;D787&amp;"|"&amp;J787</f>
        <v>Ingreda, Молдова|Шкала|Оборудование|6</v>
      </c>
      <c t="str" r="S787" s="6">
        <f>A787&amp;"|"&amp;C787&amp;"|"&amp;D787&amp;"|"&amp;G787&amp;"|"&amp;J787</f>
        <v>Ingreda, Молдова|Шкала|Оборудование|1|6</v>
      </c>
      <c t="str" r="T787" s="6">
        <f>A787&amp;"|"&amp;C787&amp;"|"&amp;G787</f>
        <v>Ingreda, Молдова|Шкала|1</v>
      </c>
      <c t="str" r="U787" s="6">
        <f>IF(H787="да",A787&amp;"|"&amp;C787&amp;"|"&amp;D787&amp;"|"&amp;J787,"")</f>
        <v/>
      </c>
      <c t="str" r="V787" s="6">
        <f>IF(C787="План",A787&amp;"|"&amp;J787,"")</f>
        <v/>
      </c>
    </row>
    <row r="788">
      <c r="A788" s="3" t="inlineStr">
        <is>
          <t>Ingreda, Молдова</t>
        </is>
      </c>
      <c r="B788" s="3" t="inlineStr">
        <is>
          <t>Заруб</t>
        </is>
      </c>
      <c r="C788" s="3" t="inlineStr">
        <is>
          <t>Шкала</t>
        </is>
      </c>
      <c r="D788" s="3" t="inlineStr">
        <is>
          <t>Оборудование</t>
        </is>
      </c>
      <c r="E788" s="3" t="inlineStr">
        <is>
          <t>Оборудование — за полугодие</t>
        </is>
      </c>
      <c r="F788" s="3" t="inlineStr">
        <is>
          <t>Наличие сервисного центра и гарантийное обслуживание</t>
        </is>
      </c>
      <c r="G788" s="4" t="n">
        <v>2</v>
      </c>
      <c r="H788" s="4" t="n"/>
      <c r="I788" s="3" t="inlineStr">
        <is>
          <t>до 75</t>
        </is>
      </c>
      <c r="J788" s="4" t="n">
        <v>1</v>
      </c>
      <c r="K788" s="4" t="n"/>
      <c r="L788" s="4" t="n"/>
      <c r="M788" s="8" t="n">
        <v>0.01</v>
      </c>
      <c r="N788" s="4" t="inlineStr">
        <is>
          <t>%</t>
        </is>
      </c>
      <c r="O788" s="3" t="inlineStr">
        <is>
          <t>Ingreda</t>
        </is>
      </c>
      <c r="P788" s="3" t="inlineStr">
        <is>
          <t>E16</t>
        </is>
      </c>
      <c t="str" r="Q788" s="6">
        <f>A788&amp;"|"&amp;C788&amp;"|"&amp;D788&amp;"|"&amp;G788</f>
        <v>Ingreda, Молдова|Шкала|Оборудование|2</v>
      </c>
      <c t="str" r="R788" s="6">
        <f>A788&amp;"|"&amp;C788&amp;"|"&amp;D788&amp;"|"&amp;J788</f>
        <v>Ingreda, Молдова|Шкала|Оборудование|1</v>
      </c>
      <c t="str" r="S788" s="6">
        <f>A788&amp;"|"&amp;C788&amp;"|"&amp;D788&amp;"|"&amp;G788&amp;"|"&amp;J788</f>
        <v>Ingreda, Молдова|Шкала|Оборудование|2|1</v>
      </c>
      <c t="str" r="T788" s="6">
        <f>A788&amp;"|"&amp;C788&amp;"|"&amp;G788</f>
        <v>Ingreda, Молдова|Шкала|2</v>
      </c>
      <c t="str" r="U788" s="6">
        <f>IF(H788="да",A788&amp;"|"&amp;C788&amp;"|"&amp;D788&amp;"|"&amp;J788,"")</f>
        <v/>
      </c>
      <c t="str" r="V788" s="6">
        <f>IF(C788="План",A788&amp;"|"&amp;J788,"")</f>
        <v/>
      </c>
    </row>
    <row r="789">
      <c r="A789" s="3" t="inlineStr">
        <is>
          <t>Ingreda, Молдова</t>
        </is>
      </c>
      <c r="B789" s="3" t="inlineStr">
        <is>
          <t>Заруб</t>
        </is>
      </c>
      <c r="C789" s="3" t="inlineStr">
        <is>
          <t>Шкала</t>
        </is>
      </c>
      <c r="D789" s="3" t="inlineStr">
        <is>
          <t>Оборудование</t>
        </is>
      </c>
      <c r="E789" s="3" t="inlineStr">
        <is>
          <t>Оборудование — за полугодие</t>
        </is>
      </c>
      <c r="F789" s="3" t="inlineStr">
        <is>
          <t>Наличие сервисного центра и гарантийное обслуживание</t>
        </is>
      </c>
      <c r="G789" s="4" t="n">
        <v>2</v>
      </c>
      <c r="H789" s="4" t="n"/>
      <c r="I789" s="3" t="inlineStr">
        <is>
          <t>75-114</t>
        </is>
      </c>
      <c r="J789" s="4" t="n">
        <v>2</v>
      </c>
      <c r="K789" s="4" t="n"/>
      <c r="L789" s="4" t="n"/>
      <c r="M789" s="8" t="n">
        <v>0.01</v>
      </c>
      <c r="N789" s="4" t="inlineStr">
        <is>
          <t>%</t>
        </is>
      </c>
      <c r="O789" s="3" t="inlineStr">
        <is>
          <t>Ingreda</t>
        </is>
      </c>
      <c r="P789" s="3" t="inlineStr">
        <is>
          <t>F16</t>
        </is>
      </c>
      <c t="str" r="Q789" s="6">
        <f>A789&amp;"|"&amp;C789&amp;"|"&amp;D789&amp;"|"&amp;G789</f>
        <v>Ingreda, Молдова|Шкала|Оборудование|2</v>
      </c>
      <c t="str" r="R789" s="6">
        <f>A789&amp;"|"&amp;C789&amp;"|"&amp;D789&amp;"|"&amp;J789</f>
        <v>Ingreda, Молдова|Шкала|Оборудование|2</v>
      </c>
      <c t="str" r="S789" s="6">
        <f>A789&amp;"|"&amp;C789&amp;"|"&amp;D789&amp;"|"&amp;G789&amp;"|"&amp;J789</f>
        <v>Ingreda, Молдова|Шкала|Оборудование|2|2</v>
      </c>
      <c t="str" r="T789" s="6">
        <f>A789&amp;"|"&amp;C789&amp;"|"&amp;G789</f>
        <v>Ingreda, Молдова|Шкала|2</v>
      </c>
      <c t="str" r="U789" s="6">
        <f>IF(H789="да",A789&amp;"|"&amp;C789&amp;"|"&amp;D789&amp;"|"&amp;J789,"")</f>
        <v/>
      </c>
      <c t="str" r="V789" s="6">
        <f>IF(C789="План",A789&amp;"|"&amp;J789,"")</f>
        <v/>
      </c>
    </row>
    <row r="790">
      <c r="A790" s="3" t="inlineStr">
        <is>
          <t>Ingreda, Молдова</t>
        </is>
      </c>
      <c r="B790" s="3" t="inlineStr">
        <is>
          <t>Заруб</t>
        </is>
      </c>
      <c r="C790" s="3" t="inlineStr">
        <is>
          <t>Шкала</t>
        </is>
      </c>
      <c r="D790" s="3" t="inlineStr">
        <is>
          <t>Оборудование</t>
        </is>
      </c>
      <c r="E790" s="3" t="inlineStr">
        <is>
          <t>Оборудование — за полугодие</t>
        </is>
      </c>
      <c r="F790" s="3" t="inlineStr">
        <is>
          <t>Наличие сервисного центра и гарантийное обслуживание</t>
        </is>
      </c>
      <c r="G790" s="4" t="n">
        <v>2</v>
      </c>
      <c r="H790" s="4" t="n"/>
      <c r="I790" s="3" t="inlineStr">
        <is>
          <t>115-149</t>
        </is>
      </c>
      <c r="J790" s="4" t="n">
        <v>3</v>
      </c>
      <c r="K790" s="4" t="n"/>
      <c r="L790" s="4" t="n"/>
      <c r="M790" s="8" t="n">
        <v>0.01</v>
      </c>
      <c r="N790" s="4" t="inlineStr">
        <is>
          <t>%</t>
        </is>
      </c>
      <c r="O790" s="3" t="inlineStr">
        <is>
          <t>Ingreda</t>
        </is>
      </c>
      <c r="P790" s="3" t="inlineStr">
        <is>
          <t>G16</t>
        </is>
      </c>
      <c t="str" r="Q790" s="6">
        <f>A790&amp;"|"&amp;C790&amp;"|"&amp;D790&amp;"|"&amp;G790</f>
        <v>Ingreda, Молдова|Шкала|Оборудование|2</v>
      </c>
      <c t="str" r="R790" s="6">
        <f>A790&amp;"|"&amp;C790&amp;"|"&amp;D790&amp;"|"&amp;J790</f>
        <v>Ingreda, Молдова|Шкала|Оборудование|3</v>
      </c>
      <c t="str" r="S790" s="6">
        <f>A790&amp;"|"&amp;C790&amp;"|"&amp;D790&amp;"|"&amp;G790&amp;"|"&amp;J790</f>
        <v>Ingreda, Молдова|Шкала|Оборудование|2|3</v>
      </c>
      <c t="str" r="T790" s="6">
        <f>A790&amp;"|"&amp;C790&amp;"|"&amp;G790</f>
        <v>Ingreda, Молдова|Шкала|2</v>
      </c>
      <c t="str" r="U790" s="6">
        <f>IF(H790="да",A790&amp;"|"&amp;C790&amp;"|"&amp;D790&amp;"|"&amp;J790,"")</f>
        <v/>
      </c>
      <c t="str" r="V790" s="6">
        <f>IF(C790="План",A790&amp;"|"&amp;J790,"")</f>
        <v/>
      </c>
    </row>
    <row r="791">
      <c r="A791" s="3" t="inlineStr">
        <is>
          <t>Ingreda, Молдова</t>
        </is>
      </c>
      <c r="B791" s="3" t="inlineStr">
        <is>
          <t>Заруб</t>
        </is>
      </c>
      <c r="C791" s="3" t="inlineStr">
        <is>
          <t>Шкала</t>
        </is>
      </c>
      <c r="D791" s="3" t="inlineStr">
        <is>
          <t>Оборудование</t>
        </is>
      </c>
      <c r="E791" s="3" t="inlineStr">
        <is>
          <t>Оборудование — за полугодие</t>
        </is>
      </c>
      <c r="F791" s="3" t="inlineStr">
        <is>
          <t>Наличие сервисного центра и гарантийное обслуживание</t>
        </is>
      </c>
      <c r="G791" s="4" t="n">
        <v>2</v>
      </c>
      <c r="H791" s="4" t="n"/>
      <c r="I791" s="3" t="inlineStr">
        <is>
          <t>150-189</t>
        </is>
      </c>
      <c r="J791" s="4" t="n">
        <v>4</v>
      </c>
      <c r="K791" s="4" t="n"/>
      <c r="L791" s="4" t="n"/>
      <c r="M791" s="8" t="n">
        <v>0.01</v>
      </c>
      <c r="N791" s="4" t="inlineStr">
        <is>
          <t>%</t>
        </is>
      </c>
      <c r="O791" s="3" t="inlineStr">
        <is>
          <t>Ingreda</t>
        </is>
      </c>
      <c r="P791" s="3" t="inlineStr">
        <is>
          <t>H16</t>
        </is>
      </c>
      <c t="str" r="Q791" s="6">
        <f>A791&amp;"|"&amp;C791&amp;"|"&amp;D791&amp;"|"&amp;G791</f>
        <v>Ingreda, Молдова|Шкала|Оборудование|2</v>
      </c>
      <c t="str" r="R791" s="6">
        <f>A791&amp;"|"&amp;C791&amp;"|"&amp;D791&amp;"|"&amp;J791</f>
        <v>Ingreda, Молдова|Шкала|Оборудование|4</v>
      </c>
      <c t="str" r="S791" s="6">
        <f>A791&amp;"|"&amp;C791&amp;"|"&amp;D791&amp;"|"&amp;G791&amp;"|"&amp;J791</f>
        <v>Ingreda, Молдова|Шкала|Оборудование|2|4</v>
      </c>
      <c t="str" r="T791" s="6">
        <f>A791&amp;"|"&amp;C791&amp;"|"&amp;G791</f>
        <v>Ingreda, Молдова|Шкала|2</v>
      </c>
      <c t="str" r="U791" s="6">
        <f>IF(H791="да",A791&amp;"|"&amp;C791&amp;"|"&amp;D791&amp;"|"&amp;J791,"")</f>
        <v/>
      </c>
      <c t="str" r="V791" s="6">
        <f>IF(C791="План",A791&amp;"|"&amp;J791,"")</f>
        <v/>
      </c>
    </row>
    <row r="792">
      <c r="A792" s="3" t="inlineStr">
        <is>
          <t>Ingreda, Молдова</t>
        </is>
      </c>
      <c r="B792" s="3" t="inlineStr">
        <is>
          <t>Заруб</t>
        </is>
      </c>
      <c r="C792" s="3" t="inlineStr">
        <is>
          <t>Шкала</t>
        </is>
      </c>
      <c r="D792" s="3" t="inlineStr">
        <is>
          <t>Оборудование</t>
        </is>
      </c>
      <c r="E792" s="3" t="inlineStr">
        <is>
          <t>Оборудование — за полугодие</t>
        </is>
      </c>
      <c r="F792" s="3" t="inlineStr">
        <is>
          <t>Наличие сервисного центра и гарантийное обслуживание</t>
        </is>
      </c>
      <c r="G792" s="4" t="n">
        <v>2</v>
      </c>
      <c r="H792" s="4" t="n"/>
      <c r="I792" s="3" t="inlineStr">
        <is>
          <t>190-224</t>
        </is>
      </c>
      <c r="J792" s="4" t="n">
        <v>5</v>
      </c>
      <c r="K792" s="4" t="n"/>
      <c r="L792" s="4" t="n"/>
      <c r="M792" s="8" t="n">
        <v>0.01</v>
      </c>
      <c r="N792" s="4" t="inlineStr">
        <is>
          <t>%</t>
        </is>
      </c>
      <c r="O792" s="3" t="inlineStr">
        <is>
          <t>Ingreda</t>
        </is>
      </c>
      <c r="P792" s="3" t="inlineStr">
        <is>
          <t>I16</t>
        </is>
      </c>
      <c t="str" r="Q792" s="6">
        <f>A792&amp;"|"&amp;C792&amp;"|"&amp;D792&amp;"|"&amp;G792</f>
        <v>Ingreda, Молдова|Шкала|Оборудование|2</v>
      </c>
      <c t="str" r="R792" s="6">
        <f>A792&amp;"|"&amp;C792&amp;"|"&amp;D792&amp;"|"&amp;J792</f>
        <v>Ingreda, Молдова|Шкала|Оборудование|5</v>
      </c>
      <c t="str" r="S792" s="6">
        <f>A792&amp;"|"&amp;C792&amp;"|"&amp;D792&amp;"|"&amp;G792&amp;"|"&amp;J792</f>
        <v>Ingreda, Молдова|Шкала|Оборудование|2|5</v>
      </c>
      <c t="str" r="T792" s="6">
        <f>A792&amp;"|"&amp;C792&amp;"|"&amp;G792</f>
        <v>Ingreda, Молдова|Шкала|2</v>
      </c>
      <c t="str" r="U792" s="6">
        <f>IF(H792="да",A792&amp;"|"&amp;C792&amp;"|"&amp;D792&amp;"|"&amp;J792,"")</f>
        <v/>
      </c>
      <c t="str" r="V792" s="6">
        <f>IF(C792="План",A792&amp;"|"&amp;J792,"")</f>
        <v/>
      </c>
    </row>
    <row r="793">
      <c r="A793" s="3" t="inlineStr">
        <is>
          <t>Ingreda, Молдова</t>
        </is>
      </c>
      <c r="B793" s="3" t="inlineStr">
        <is>
          <t>Заруб</t>
        </is>
      </c>
      <c r="C793" s="3" t="inlineStr">
        <is>
          <t>Шкала</t>
        </is>
      </c>
      <c r="D793" s="3" t="inlineStr">
        <is>
          <t>Оборудование</t>
        </is>
      </c>
      <c r="E793" s="3" t="inlineStr">
        <is>
          <t>Оборудование — за полугодие</t>
        </is>
      </c>
      <c r="F793" s="3" t="inlineStr">
        <is>
          <t>Наличие сервисного центра и гарантийное обслуживание</t>
        </is>
      </c>
      <c r="G793" s="4" t="n">
        <v>2</v>
      </c>
      <c r="H793" s="4" t="n"/>
      <c r="I793" s="3" t="inlineStr">
        <is>
          <t>225 и более</t>
        </is>
      </c>
      <c r="J793" s="4" t="n">
        <v>6</v>
      </c>
      <c r="K793" s="4" t="n"/>
      <c r="L793" s="4" t="n"/>
      <c r="M793" s="8" t="n">
        <v>0.01</v>
      </c>
      <c r="N793" s="4" t="inlineStr">
        <is>
          <t>%</t>
        </is>
      </c>
      <c r="O793" s="3" t="inlineStr">
        <is>
          <t>Ingreda</t>
        </is>
      </c>
      <c r="P793" s="3" t="inlineStr">
        <is>
          <t>J16</t>
        </is>
      </c>
      <c t="str" r="Q793" s="6">
        <f>A793&amp;"|"&amp;C793&amp;"|"&amp;D793&amp;"|"&amp;G793</f>
        <v>Ingreda, Молдова|Шкала|Оборудование|2</v>
      </c>
      <c t="str" r="R793" s="6">
        <f>A793&amp;"|"&amp;C793&amp;"|"&amp;D793&amp;"|"&amp;J793</f>
        <v>Ingreda, Молдова|Шкала|Оборудование|6</v>
      </c>
      <c t="str" r="S793" s="6">
        <f>A793&amp;"|"&amp;C793&amp;"|"&amp;D793&amp;"|"&amp;G793&amp;"|"&amp;J793</f>
        <v>Ingreda, Молдова|Шкала|Оборудование|2|6</v>
      </c>
      <c t="str" r="T793" s="6">
        <f>A793&amp;"|"&amp;C793&amp;"|"&amp;G793</f>
        <v>Ingreda, Молдова|Шкала|2</v>
      </c>
      <c t="str" r="U793" s="6">
        <f>IF(H793="да",A793&amp;"|"&amp;C793&amp;"|"&amp;D793&amp;"|"&amp;J793,"")</f>
        <v/>
      </c>
      <c t="str" r="V793" s="6">
        <f>IF(C793="План",A793&amp;"|"&amp;J793,"")</f>
        <v/>
      </c>
    </row>
    <row r="794">
      <c r="A794" s="3" t="inlineStr">
        <is>
          <t>Ingreda, Молдова</t>
        </is>
      </c>
      <c r="B794" s="3" t="inlineStr">
        <is>
          <t>Заруб</t>
        </is>
      </c>
      <c r="C794" s="3" t="inlineStr">
        <is>
          <t>Шкала</t>
        </is>
      </c>
      <c r="D794" s="3" t="inlineStr">
        <is>
          <t>Оборудование</t>
        </is>
      </c>
      <c r="E794" s="3" t="inlineStr">
        <is>
          <t>Оборудование — за полугодие</t>
        </is>
      </c>
      <c r="F794" s="3" t="inlineStr">
        <is>
          <t>Объем закупок МП</t>
        </is>
      </c>
      <c r="G794" s="4" t="n">
        <v>3</v>
      </c>
      <c r="H794" s="4" t="n"/>
      <c r="I794" s="3" t="inlineStr">
        <is>
          <t>до 75</t>
        </is>
      </c>
      <c r="J794" s="4" t="n">
        <v>1</v>
      </c>
      <c r="K794" s="4" t="n"/>
      <c r="L794" s="4" t="n"/>
      <c r="M794" s="8" t="n">
        <v>0.07000000000000001</v>
      </c>
      <c r="N794" s="4" t="inlineStr">
        <is>
          <t>%</t>
        </is>
      </c>
      <c r="O794" s="3" t="inlineStr">
        <is>
          <t>Ingreda</t>
        </is>
      </c>
      <c r="P794" s="3" t="inlineStr">
        <is>
          <t>E17</t>
        </is>
      </c>
      <c t="str" r="Q794" s="6">
        <f>A794&amp;"|"&amp;C794&amp;"|"&amp;D794&amp;"|"&amp;G794</f>
        <v>Ingreda, Молдова|Шкала|Оборудование|3</v>
      </c>
      <c t="str" r="R794" s="6">
        <f>A794&amp;"|"&amp;C794&amp;"|"&amp;D794&amp;"|"&amp;J794</f>
        <v>Ingreda, Молдова|Шкала|Оборудование|1</v>
      </c>
      <c t="str" r="S794" s="6">
        <f>A794&amp;"|"&amp;C794&amp;"|"&amp;D794&amp;"|"&amp;G794&amp;"|"&amp;J794</f>
        <v>Ingreda, Молдова|Шкала|Оборудование|3|1</v>
      </c>
      <c t="str" r="T794" s="6">
        <f>A794&amp;"|"&amp;C794&amp;"|"&amp;G794</f>
        <v>Ingreda, Молдова|Шкала|3</v>
      </c>
      <c t="str" r="U794" s="6">
        <f>IF(H794="да",A794&amp;"|"&amp;C794&amp;"|"&amp;D794&amp;"|"&amp;J794,"")</f>
        <v/>
      </c>
      <c t="str" r="V794" s="6">
        <f>IF(C794="План",A794&amp;"|"&amp;J794,"")</f>
        <v/>
      </c>
    </row>
    <row r="795">
      <c r="A795" s="3" t="inlineStr">
        <is>
          <t>Ingreda, Молдова</t>
        </is>
      </c>
      <c r="B795" s="3" t="inlineStr">
        <is>
          <t>Заруб</t>
        </is>
      </c>
      <c r="C795" s="3" t="inlineStr">
        <is>
          <t>Шкала</t>
        </is>
      </c>
      <c r="D795" s="3" t="inlineStr">
        <is>
          <t>Оборудование</t>
        </is>
      </c>
      <c r="E795" s="3" t="inlineStr">
        <is>
          <t>Оборудование — за полугодие</t>
        </is>
      </c>
      <c r="F795" s="3" t="inlineStr">
        <is>
          <t>Объем закупок МП</t>
        </is>
      </c>
      <c r="G795" s="4" t="n">
        <v>3</v>
      </c>
      <c r="H795" s="4" t="n"/>
      <c r="I795" s="3" t="inlineStr">
        <is>
          <t>75-114</t>
        </is>
      </c>
      <c r="J795" s="4" t="n">
        <v>2</v>
      </c>
      <c r="K795" s="4" t="n"/>
      <c r="L795" s="4" t="n"/>
      <c r="M795" s="8" t="n">
        <v>0.09</v>
      </c>
      <c r="N795" s="4" t="inlineStr">
        <is>
          <t>%</t>
        </is>
      </c>
      <c r="O795" s="3" t="inlineStr">
        <is>
          <t>Ingreda</t>
        </is>
      </c>
      <c r="P795" s="3" t="inlineStr">
        <is>
          <t>F17</t>
        </is>
      </c>
      <c t="str" r="Q795" s="6">
        <f>A795&amp;"|"&amp;C795&amp;"|"&amp;D795&amp;"|"&amp;G795</f>
        <v>Ingreda, Молдова|Шкала|Оборудование|3</v>
      </c>
      <c t="str" r="R795" s="6">
        <f>A795&amp;"|"&amp;C795&amp;"|"&amp;D795&amp;"|"&amp;J795</f>
        <v>Ingreda, Молдова|Шкала|Оборудование|2</v>
      </c>
      <c t="str" r="S795" s="6">
        <f>A795&amp;"|"&amp;C795&amp;"|"&amp;D795&amp;"|"&amp;G795&amp;"|"&amp;J795</f>
        <v>Ingreda, Молдова|Шкала|Оборудование|3|2</v>
      </c>
      <c t="str" r="T795" s="6">
        <f>A795&amp;"|"&amp;C795&amp;"|"&amp;G795</f>
        <v>Ingreda, Молдова|Шкала|3</v>
      </c>
      <c t="str" r="U795" s="6">
        <f>IF(H795="да",A795&amp;"|"&amp;C795&amp;"|"&amp;D795&amp;"|"&amp;J795,"")</f>
        <v/>
      </c>
      <c t="str" r="V795" s="6">
        <f>IF(C795="План",A795&amp;"|"&amp;J795,"")</f>
        <v/>
      </c>
    </row>
    <row r="796">
      <c r="A796" s="3" t="inlineStr">
        <is>
          <t>Ingreda, Молдова</t>
        </is>
      </c>
      <c r="B796" s="3" t="inlineStr">
        <is>
          <t>Заруб</t>
        </is>
      </c>
      <c r="C796" s="3" t="inlineStr">
        <is>
          <t>Шкала</t>
        </is>
      </c>
      <c r="D796" s="3" t="inlineStr">
        <is>
          <t>Оборудование</t>
        </is>
      </c>
      <c r="E796" s="3" t="inlineStr">
        <is>
          <t>Оборудование — за полугодие</t>
        </is>
      </c>
      <c r="F796" s="3" t="inlineStr">
        <is>
          <t>Объем закупок МП</t>
        </is>
      </c>
      <c r="G796" s="4" t="n">
        <v>3</v>
      </c>
      <c r="H796" s="4" t="n"/>
      <c r="I796" s="3" t="inlineStr">
        <is>
          <t>115-149</t>
        </is>
      </c>
      <c r="J796" s="4" t="n">
        <v>3</v>
      </c>
      <c r="K796" s="4" t="n"/>
      <c r="L796" s="4" t="n"/>
      <c r="M796" s="8" t="n">
        <v>0.1</v>
      </c>
      <c r="N796" s="4" t="inlineStr">
        <is>
          <t>%</t>
        </is>
      </c>
      <c r="O796" s="3" t="inlineStr">
        <is>
          <t>Ingreda</t>
        </is>
      </c>
      <c r="P796" s="3" t="inlineStr">
        <is>
          <t>G17</t>
        </is>
      </c>
      <c t="str" r="Q796" s="6">
        <f>A796&amp;"|"&amp;C796&amp;"|"&amp;D796&amp;"|"&amp;G796</f>
        <v>Ingreda, Молдова|Шкала|Оборудование|3</v>
      </c>
      <c t="str" r="R796" s="6">
        <f>A796&amp;"|"&amp;C796&amp;"|"&amp;D796&amp;"|"&amp;J796</f>
        <v>Ingreda, Молдова|Шкала|Оборудование|3</v>
      </c>
      <c t="str" r="S796" s="6">
        <f>A796&amp;"|"&amp;C796&amp;"|"&amp;D796&amp;"|"&amp;G796&amp;"|"&amp;J796</f>
        <v>Ingreda, Молдова|Шкала|Оборудование|3|3</v>
      </c>
      <c t="str" r="T796" s="6">
        <f>A796&amp;"|"&amp;C796&amp;"|"&amp;G796</f>
        <v>Ingreda, Молдова|Шкала|3</v>
      </c>
      <c t="str" r="U796" s="6">
        <f>IF(H796="да",A796&amp;"|"&amp;C796&amp;"|"&amp;D796&amp;"|"&amp;J796,"")</f>
        <v/>
      </c>
      <c t="str" r="V796" s="6">
        <f>IF(C796="План",A796&amp;"|"&amp;J796,"")</f>
        <v/>
      </c>
    </row>
    <row r="797">
      <c r="A797" s="3" t="inlineStr">
        <is>
          <t>Ingreda, Молдова</t>
        </is>
      </c>
      <c r="B797" s="3" t="inlineStr">
        <is>
          <t>Заруб</t>
        </is>
      </c>
      <c r="C797" s="3" t="inlineStr">
        <is>
          <t>Шкала</t>
        </is>
      </c>
      <c r="D797" s="3" t="inlineStr">
        <is>
          <t>Оборудование</t>
        </is>
      </c>
      <c r="E797" s="3" t="inlineStr">
        <is>
          <t>Оборудование — за полугодие</t>
        </is>
      </c>
      <c r="F797" s="3" t="inlineStr">
        <is>
          <t>Объем закупок МП</t>
        </is>
      </c>
      <c r="G797" s="4" t="n">
        <v>3</v>
      </c>
      <c r="H797" s="4" t="n"/>
      <c r="I797" s="3" t="inlineStr">
        <is>
          <t>150-189</t>
        </is>
      </c>
      <c r="J797" s="4" t="n">
        <v>4</v>
      </c>
      <c r="K797" s="4" t="n"/>
      <c r="L797" s="4" t="n"/>
      <c r="M797" s="8" t="n">
        <v>0.11</v>
      </c>
      <c r="N797" s="4" t="inlineStr">
        <is>
          <t>%</t>
        </is>
      </c>
      <c r="O797" s="3" t="inlineStr">
        <is>
          <t>Ingreda</t>
        </is>
      </c>
      <c r="P797" s="3" t="inlineStr">
        <is>
          <t>H17</t>
        </is>
      </c>
      <c t="str" r="Q797" s="6">
        <f>A797&amp;"|"&amp;C797&amp;"|"&amp;D797&amp;"|"&amp;G797</f>
        <v>Ingreda, Молдова|Шкала|Оборудование|3</v>
      </c>
      <c t="str" r="R797" s="6">
        <f>A797&amp;"|"&amp;C797&amp;"|"&amp;D797&amp;"|"&amp;J797</f>
        <v>Ingreda, Молдова|Шкала|Оборудование|4</v>
      </c>
      <c t="str" r="S797" s="6">
        <f>A797&amp;"|"&amp;C797&amp;"|"&amp;D797&amp;"|"&amp;G797&amp;"|"&amp;J797</f>
        <v>Ingreda, Молдова|Шкала|Оборудование|3|4</v>
      </c>
      <c t="str" r="T797" s="6">
        <f>A797&amp;"|"&amp;C797&amp;"|"&amp;G797</f>
        <v>Ingreda, Молдова|Шкала|3</v>
      </c>
      <c t="str" r="U797" s="6">
        <f>IF(H797="да",A797&amp;"|"&amp;C797&amp;"|"&amp;D797&amp;"|"&amp;J797,"")</f>
        <v/>
      </c>
      <c t="str" r="V797" s="6">
        <f>IF(C797="План",A797&amp;"|"&amp;J797,"")</f>
        <v/>
      </c>
    </row>
    <row r="798">
      <c r="A798" s="3" t="inlineStr">
        <is>
          <t>Ingreda, Молдова</t>
        </is>
      </c>
      <c r="B798" s="3" t="inlineStr">
        <is>
          <t>Заруб</t>
        </is>
      </c>
      <c r="C798" s="3" t="inlineStr">
        <is>
          <t>Шкала</t>
        </is>
      </c>
      <c r="D798" s="3" t="inlineStr">
        <is>
          <t>Оборудование</t>
        </is>
      </c>
      <c r="E798" s="3" t="inlineStr">
        <is>
          <t>Оборудование — за полугодие</t>
        </is>
      </c>
      <c r="F798" s="3" t="inlineStr">
        <is>
          <t>Объем закупок МП</t>
        </is>
      </c>
      <c r="G798" s="4" t="n">
        <v>3</v>
      </c>
      <c r="H798" s="4" t="n"/>
      <c r="I798" s="3" t="inlineStr">
        <is>
          <t>190-224</t>
        </is>
      </c>
      <c r="J798" s="4" t="n">
        <v>5</v>
      </c>
      <c r="K798" s="4" t="n"/>
      <c r="L798" s="4" t="n"/>
      <c r="M798" s="8" t="n">
        <v>0.12</v>
      </c>
      <c r="N798" s="4" t="inlineStr">
        <is>
          <t>%</t>
        </is>
      </c>
      <c r="O798" s="3" t="inlineStr">
        <is>
          <t>Ingreda</t>
        </is>
      </c>
      <c r="P798" s="3" t="inlineStr">
        <is>
          <t>I17</t>
        </is>
      </c>
      <c t="str" r="Q798" s="6">
        <f>A798&amp;"|"&amp;C798&amp;"|"&amp;D798&amp;"|"&amp;G798</f>
        <v>Ingreda, Молдова|Шкала|Оборудование|3</v>
      </c>
      <c t="str" r="R798" s="6">
        <f>A798&amp;"|"&amp;C798&amp;"|"&amp;D798&amp;"|"&amp;J798</f>
        <v>Ingreda, Молдова|Шкала|Оборудование|5</v>
      </c>
      <c t="str" r="S798" s="6">
        <f>A798&amp;"|"&amp;C798&amp;"|"&amp;D798&amp;"|"&amp;G798&amp;"|"&amp;J798</f>
        <v>Ingreda, Молдова|Шкала|Оборудование|3|5</v>
      </c>
      <c t="str" r="T798" s="6">
        <f>A798&amp;"|"&amp;C798&amp;"|"&amp;G798</f>
        <v>Ingreda, Молдова|Шкала|3</v>
      </c>
      <c t="str" r="U798" s="6">
        <f>IF(H798="да",A798&amp;"|"&amp;C798&amp;"|"&amp;D798&amp;"|"&amp;J798,"")</f>
        <v/>
      </c>
      <c t="str" r="V798" s="6">
        <f>IF(C798="План",A798&amp;"|"&amp;J798,"")</f>
        <v/>
      </c>
    </row>
    <row r="799">
      <c r="A799" s="3" t="inlineStr">
        <is>
          <t>Ingreda, Молдова</t>
        </is>
      </c>
      <c r="B799" s="3" t="inlineStr">
        <is>
          <t>Заруб</t>
        </is>
      </c>
      <c r="C799" s="3" t="inlineStr">
        <is>
          <t>Шкала</t>
        </is>
      </c>
      <c r="D799" s="3" t="inlineStr">
        <is>
          <t>Оборудование</t>
        </is>
      </c>
      <c r="E799" s="3" t="inlineStr">
        <is>
          <t>Оборудование — за полугодие</t>
        </is>
      </c>
      <c r="F799" s="3" t="inlineStr">
        <is>
          <t>Объем закупок МП</t>
        </is>
      </c>
      <c r="G799" s="4" t="n">
        <v>3</v>
      </c>
      <c r="H799" s="4" t="n"/>
      <c r="I799" s="3" t="inlineStr">
        <is>
          <t>225 и более</t>
        </is>
      </c>
      <c r="J799" s="4" t="n">
        <v>6</v>
      </c>
      <c r="K799" s="4" t="n"/>
      <c r="L799" s="4" t="n"/>
      <c r="M799" s="8" t="n">
        <v>0.13</v>
      </c>
      <c r="N799" s="4" t="inlineStr">
        <is>
          <t>%</t>
        </is>
      </c>
      <c r="O799" s="3" t="inlineStr">
        <is>
          <t>Ingreda</t>
        </is>
      </c>
      <c r="P799" s="3" t="inlineStr">
        <is>
          <t>J17</t>
        </is>
      </c>
      <c t="str" r="Q799" s="6">
        <f>A799&amp;"|"&amp;C799&amp;"|"&amp;D799&amp;"|"&amp;G799</f>
        <v>Ingreda, Молдова|Шкала|Оборудование|3</v>
      </c>
      <c t="str" r="R799" s="6">
        <f>A799&amp;"|"&amp;C799&amp;"|"&amp;D799&amp;"|"&amp;J799</f>
        <v>Ingreda, Молдова|Шкала|Оборудование|6</v>
      </c>
      <c t="str" r="S799" s="6">
        <f>A799&amp;"|"&amp;C799&amp;"|"&amp;D799&amp;"|"&amp;G799&amp;"|"&amp;J799</f>
        <v>Ingreda, Молдова|Шкала|Оборудование|3|6</v>
      </c>
      <c t="str" r="T799" s="6">
        <f>A799&amp;"|"&amp;C799&amp;"|"&amp;G799</f>
        <v>Ingreda, Молдова|Шкала|3</v>
      </c>
      <c t="str" r="U799" s="6">
        <f>IF(H799="да",A799&amp;"|"&amp;C799&amp;"|"&amp;D799&amp;"|"&amp;J799,"")</f>
        <v/>
      </c>
      <c t="str" r="V799" s="6">
        <f>IF(C799="План",A799&amp;"|"&amp;J799,"")</f>
        <v/>
      </c>
    </row>
    <row r="800">
      <c r="A800" s="3" t="inlineStr">
        <is>
          <t>Ingreda, Молдова</t>
        </is>
      </c>
      <c r="B800" s="3" t="inlineStr">
        <is>
          <t>Заруб</t>
        </is>
      </c>
      <c r="C800" s="3" t="inlineStr">
        <is>
          <t>Шкала</t>
        </is>
      </c>
      <c r="D800" s="3" t="inlineStr">
        <is>
          <t>Оборудование</t>
        </is>
      </c>
      <c r="E800" s="3" t="inlineStr">
        <is>
          <t>Оборудование — за полугодие</t>
        </is>
      </c>
      <c r="F800" s="3" t="inlineStr">
        <is>
          <t>ИТОГО</t>
        </is>
      </c>
      <c r="G800" s="4" t="n">
        <v>4</v>
      </c>
      <c r="H800" s="4" t="inlineStr">
        <is>
          <t>да</t>
        </is>
      </c>
      <c r="I800" s="3" t="inlineStr">
        <is>
          <t>до 75</t>
        </is>
      </c>
      <c r="J800" s="4" t="n">
        <v>1</v>
      </c>
      <c r="K800" s="4" t="n"/>
      <c r="L800" s="4" t="n"/>
      <c r="M800" s="8" t="n">
        <v>0.14</v>
      </c>
      <c r="N800" s="4" t="inlineStr">
        <is>
          <t>%</t>
        </is>
      </c>
      <c r="O800" s="3" t="inlineStr">
        <is>
          <t>Ingreda</t>
        </is>
      </c>
      <c r="P800" s="3" t="inlineStr">
        <is>
          <t>E18</t>
        </is>
      </c>
      <c t="str" r="Q800" s="6">
        <f>A800&amp;"|"&amp;C800&amp;"|"&amp;D800&amp;"|"&amp;G800</f>
        <v>Ingreda, Молдова|Шкала|Оборудование|4</v>
      </c>
      <c t="str" r="R800" s="6">
        <f>A800&amp;"|"&amp;C800&amp;"|"&amp;D800&amp;"|"&amp;J800</f>
        <v>Ingreda, Молдова|Шкала|Оборудование|1</v>
      </c>
      <c t="str" r="S800" s="6">
        <f>A800&amp;"|"&amp;C800&amp;"|"&amp;D800&amp;"|"&amp;G800&amp;"|"&amp;J800</f>
        <v>Ingreda, Молдова|Шкала|Оборудование|4|1</v>
      </c>
      <c t="str" r="T800" s="6">
        <f>A800&amp;"|"&amp;C800&amp;"|"&amp;G800</f>
        <v>Ingreda, Молдова|Шкала|4</v>
      </c>
      <c t="str" r="U800" s="6">
        <f>IF(H800="да",A800&amp;"|"&amp;C800&amp;"|"&amp;D800&amp;"|"&amp;J800,"")</f>
        <v>Ingreda, Молдова|Шкала|Оборудование|1</v>
      </c>
      <c t="str" r="V800" s="6">
        <f>IF(C800="План",A800&amp;"|"&amp;J800,"")</f>
        <v/>
      </c>
    </row>
    <row r="801">
      <c r="A801" s="3" t="inlineStr">
        <is>
          <t>Ingreda, Молдова</t>
        </is>
      </c>
      <c r="B801" s="3" t="inlineStr">
        <is>
          <t>Заруб</t>
        </is>
      </c>
      <c r="C801" s="3" t="inlineStr">
        <is>
          <t>Шкала</t>
        </is>
      </c>
      <c r="D801" s="3" t="inlineStr">
        <is>
          <t>Оборудование</t>
        </is>
      </c>
      <c r="E801" s="3" t="inlineStr">
        <is>
          <t>Оборудование — за полугодие</t>
        </is>
      </c>
      <c r="F801" s="3" t="inlineStr">
        <is>
          <t>ИТОГО</t>
        </is>
      </c>
      <c r="G801" s="4" t="n">
        <v>4</v>
      </c>
      <c r="H801" s="4" t="inlineStr">
        <is>
          <t>да</t>
        </is>
      </c>
      <c r="I801" s="3" t="inlineStr">
        <is>
          <t>75-114</t>
        </is>
      </c>
      <c r="J801" s="4" t="n">
        <v>2</v>
      </c>
      <c r="K801" s="4" t="n"/>
      <c r="L801" s="4" t="n"/>
      <c r="M801" s="8" t="n">
        <v>0.16</v>
      </c>
      <c r="N801" s="4" t="inlineStr">
        <is>
          <t>%</t>
        </is>
      </c>
      <c r="O801" s="3" t="inlineStr">
        <is>
          <t>Ingreda</t>
        </is>
      </c>
      <c r="P801" s="3" t="inlineStr">
        <is>
          <t>F18</t>
        </is>
      </c>
      <c t="str" r="Q801" s="6">
        <f>A801&amp;"|"&amp;C801&amp;"|"&amp;D801&amp;"|"&amp;G801</f>
        <v>Ingreda, Молдова|Шкала|Оборудование|4</v>
      </c>
      <c t="str" r="R801" s="6">
        <f>A801&amp;"|"&amp;C801&amp;"|"&amp;D801&amp;"|"&amp;J801</f>
        <v>Ingreda, Молдова|Шкала|Оборудование|2</v>
      </c>
      <c t="str" r="S801" s="6">
        <f>A801&amp;"|"&amp;C801&amp;"|"&amp;D801&amp;"|"&amp;G801&amp;"|"&amp;J801</f>
        <v>Ingreda, Молдова|Шкала|Оборудование|4|2</v>
      </c>
      <c t="str" r="T801" s="6">
        <f>A801&amp;"|"&amp;C801&amp;"|"&amp;G801</f>
        <v>Ingreda, Молдова|Шкала|4</v>
      </c>
      <c t="str" r="U801" s="6">
        <f>IF(H801="да",A801&amp;"|"&amp;C801&amp;"|"&amp;D801&amp;"|"&amp;J801,"")</f>
        <v>Ingreda, Молдова|Шкала|Оборудование|2</v>
      </c>
      <c t="str" r="V801" s="6">
        <f>IF(C801="План",A801&amp;"|"&amp;J801,"")</f>
        <v/>
      </c>
    </row>
    <row r="802">
      <c r="A802" s="3" t="inlineStr">
        <is>
          <t>Ingreda, Молдова</t>
        </is>
      </c>
      <c r="B802" s="3" t="inlineStr">
        <is>
          <t>Заруб</t>
        </is>
      </c>
      <c r="C802" s="3" t="inlineStr">
        <is>
          <t>Шкала</t>
        </is>
      </c>
      <c r="D802" s="3" t="inlineStr">
        <is>
          <t>Оборудование</t>
        </is>
      </c>
      <c r="E802" s="3" t="inlineStr">
        <is>
          <t>Оборудование — за полугодие</t>
        </is>
      </c>
      <c r="F802" s="3" t="inlineStr">
        <is>
          <t>ИТОГО</t>
        </is>
      </c>
      <c r="G802" s="4" t="n">
        <v>4</v>
      </c>
      <c r="H802" s="4" t="inlineStr">
        <is>
          <t>да</t>
        </is>
      </c>
      <c r="I802" s="3" t="inlineStr">
        <is>
          <t>115-149</t>
        </is>
      </c>
      <c r="J802" s="4" t="n">
        <v>3</v>
      </c>
      <c r="K802" s="4" t="n"/>
      <c r="L802" s="4" t="n"/>
      <c r="M802" s="8" t="n">
        <v>0.17</v>
      </c>
      <c r="N802" s="4" t="inlineStr">
        <is>
          <t>%</t>
        </is>
      </c>
      <c r="O802" s="3" t="inlineStr">
        <is>
          <t>Ingreda</t>
        </is>
      </c>
      <c r="P802" s="3" t="inlineStr">
        <is>
          <t>G18</t>
        </is>
      </c>
      <c t="str" r="Q802" s="6">
        <f>A802&amp;"|"&amp;C802&amp;"|"&amp;D802&amp;"|"&amp;G802</f>
        <v>Ingreda, Молдова|Шкала|Оборудование|4</v>
      </c>
      <c t="str" r="R802" s="6">
        <f>A802&amp;"|"&amp;C802&amp;"|"&amp;D802&amp;"|"&amp;J802</f>
        <v>Ingreda, Молдова|Шкала|Оборудование|3</v>
      </c>
      <c t="str" r="S802" s="6">
        <f>A802&amp;"|"&amp;C802&amp;"|"&amp;D802&amp;"|"&amp;G802&amp;"|"&amp;J802</f>
        <v>Ingreda, Молдова|Шкала|Оборудование|4|3</v>
      </c>
      <c t="str" r="T802" s="6">
        <f>A802&amp;"|"&amp;C802&amp;"|"&amp;G802</f>
        <v>Ingreda, Молдова|Шкала|4</v>
      </c>
      <c t="str" r="U802" s="6">
        <f>IF(H802="да",A802&amp;"|"&amp;C802&amp;"|"&amp;D802&amp;"|"&amp;J802,"")</f>
        <v>Ingreda, Молдова|Шкала|Оборудование|3</v>
      </c>
      <c t="str" r="V802" s="6">
        <f>IF(C802="План",A802&amp;"|"&amp;J802,"")</f>
        <v/>
      </c>
    </row>
    <row r="803">
      <c r="A803" s="3" t="inlineStr">
        <is>
          <t>Ingreda, Молдова</t>
        </is>
      </c>
      <c r="B803" s="3" t="inlineStr">
        <is>
          <t>Заруб</t>
        </is>
      </c>
      <c r="C803" s="3" t="inlineStr">
        <is>
          <t>Шкала</t>
        </is>
      </c>
      <c r="D803" s="3" t="inlineStr">
        <is>
          <t>Оборудование</t>
        </is>
      </c>
      <c r="E803" s="3" t="inlineStr">
        <is>
          <t>Оборудование — за полугодие</t>
        </is>
      </c>
      <c r="F803" s="3" t="inlineStr">
        <is>
          <t>ИТОГО</t>
        </is>
      </c>
      <c r="G803" s="4" t="n">
        <v>4</v>
      </c>
      <c r="H803" s="4" t="inlineStr">
        <is>
          <t>да</t>
        </is>
      </c>
      <c r="I803" s="3" t="inlineStr">
        <is>
          <t>150-189</t>
        </is>
      </c>
      <c r="J803" s="4" t="n">
        <v>4</v>
      </c>
      <c r="K803" s="4" t="n"/>
      <c r="L803" s="4" t="n"/>
      <c r="M803" s="8" t="n">
        <v>0.18</v>
      </c>
      <c r="N803" s="4" t="inlineStr">
        <is>
          <t>%</t>
        </is>
      </c>
      <c r="O803" s="3" t="inlineStr">
        <is>
          <t>Ingreda</t>
        </is>
      </c>
      <c r="P803" s="3" t="inlineStr">
        <is>
          <t>H18</t>
        </is>
      </c>
      <c t="str" r="Q803" s="6">
        <f>A803&amp;"|"&amp;C803&amp;"|"&amp;D803&amp;"|"&amp;G803</f>
        <v>Ingreda, Молдова|Шкала|Оборудование|4</v>
      </c>
      <c t="str" r="R803" s="6">
        <f>A803&amp;"|"&amp;C803&amp;"|"&amp;D803&amp;"|"&amp;J803</f>
        <v>Ingreda, Молдова|Шкала|Оборудование|4</v>
      </c>
      <c t="str" r="S803" s="6">
        <f>A803&amp;"|"&amp;C803&amp;"|"&amp;D803&amp;"|"&amp;G803&amp;"|"&amp;J803</f>
        <v>Ingreda, Молдова|Шкала|Оборудование|4|4</v>
      </c>
      <c t="str" r="T803" s="6">
        <f>A803&amp;"|"&amp;C803&amp;"|"&amp;G803</f>
        <v>Ingreda, Молдова|Шкала|4</v>
      </c>
      <c t="str" r="U803" s="6">
        <f>IF(H803="да",A803&amp;"|"&amp;C803&amp;"|"&amp;D803&amp;"|"&amp;J803,"")</f>
        <v>Ingreda, Молдова|Шкала|Оборудование|4</v>
      </c>
      <c t="str" r="V803" s="6">
        <f>IF(C803="План",A803&amp;"|"&amp;J803,"")</f>
        <v/>
      </c>
    </row>
    <row r="804">
      <c r="A804" s="3" t="inlineStr">
        <is>
          <t>Ingreda, Молдова</t>
        </is>
      </c>
      <c r="B804" s="3" t="inlineStr">
        <is>
          <t>Заруб</t>
        </is>
      </c>
      <c r="C804" s="3" t="inlineStr">
        <is>
          <t>Шкала</t>
        </is>
      </c>
      <c r="D804" s="3" t="inlineStr">
        <is>
          <t>Оборудование</t>
        </is>
      </c>
      <c r="E804" s="3" t="inlineStr">
        <is>
          <t>Оборудование — за полугодие</t>
        </is>
      </c>
      <c r="F804" s="3" t="inlineStr">
        <is>
          <t>ИТОГО</t>
        </is>
      </c>
      <c r="G804" s="4" t="n">
        <v>4</v>
      </c>
      <c r="H804" s="4" t="inlineStr">
        <is>
          <t>да</t>
        </is>
      </c>
      <c r="I804" s="3" t="inlineStr">
        <is>
          <t>190-224</t>
        </is>
      </c>
      <c r="J804" s="4" t="n">
        <v>5</v>
      </c>
      <c r="K804" s="4" t="n"/>
      <c r="L804" s="4" t="n"/>
      <c r="M804" s="8" t="n">
        <v>0.19</v>
      </c>
      <c r="N804" s="4" t="inlineStr">
        <is>
          <t>%</t>
        </is>
      </c>
      <c r="O804" s="3" t="inlineStr">
        <is>
          <t>Ingreda</t>
        </is>
      </c>
      <c r="P804" s="3" t="inlineStr">
        <is>
          <t>I18</t>
        </is>
      </c>
      <c t="str" r="Q804" s="6">
        <f>A804&amp;"|"&amp;C804&amp;"|"&amp;D804&amp;"|"&amp;G804</f>
        <v>Ingreda, Молдова|Шкала|Оборудование|4</v>
      </c>
      <c t="str" r="R804" s="6">
        <f>A804&amp;"|"&amp;C804&amp;"|"&amp;D804&amp;"|"&amp;J804</f>
        <v>Ingreda, Молдова|Шкала|Оборудование|5</v>
      </c>
      <c t="str" r="S804" s="6">
        <f>A804&amp;"|"&amp;C804&amp;"|"&amp;D804&amp;"|"&amp;G804&amp;"|"&amp;J804</f>
        <v>Ingreda, Молдова|Шкала|Оборудование|4|5</v>
      </c>
      <c t="str" r="T804" s="6">
        <f>A804&amp;"|"&amp;C804&amp;"|"&amp;G804</f>
        <v>Ingreda, Молдова|Шкала|4</v>
      </c>
      <c t="str" r="U804" s="6">
        <f>IF(H804="да",A804&amp;"|"&amp;C804&amp;"|"&amp;D804&amp;"|"&amp;J804,"")</f>
        <v>Ingreda, Молдова|Шкала|Оборудование|5</v>
      </c>
      <c t="str" r="V804" s="6">
        <f>IF(C804="План",A804&amp;"|"&amp;J804,"")</f>
        <v/>
      </c>
    </row>
    <row r="805">
      <c r="A805" s="3" t="inlineStr">
        <is>
          <t>Ingreda, Молдова</t>
        </is>
      </c>
      <c r="B805" s="3" t="inlineStr">
        <is>
          <t>Заруб</t>
        </is>
      </c>
      <c r="C805" s="3" t="inlineStr">
        <is>
          <t>Шкала</t>
        </is>
      </c>
      <c r="D805" s="3" t="inlineStr">
        <is>
          <t>Оборудование</t>
        </is>
      </c>
      <c r="E805" s="3" t="inlineStr">
        <is>
          <t>Оборудование — за полугодие</t>
        </is>
      </c>
      <c r="F805" s="3" t="inlineStr">
        <is>
          <t>ИТОГО</t>
        </is>
      </c>
      <c r="G805" s="4" t="n">
        <v>4</v>
      </c>
      <c r="H805" s="4" t="inlineStr">
        <is>
          <t>да</t>
        </is>
      </c>
      <c r="I805" s="3" t="inlineStr">
        <is>
          <t>225 и более</t>
        </is>
      </c>
      <c r="J805" s="4" t="n">
        <v>6</v>
      </c>
      <c r="K805" s="4" t="n"/>
      <c r="L805" s="4" t="n"/>
      <c r="M805" s="8" t="n">
        <v>0.2</v>
      </c>
      <c r="N805" s="4" t="inlineStr">
        <is>
          <t>%</t>
        </is>
      </c>
      <c r="O805" s="3" t="inlineStr">
        <is>
          <t>Ingreda</t>
        </is>
      </c>
      <c r="P805" s="3" t="inlineStr">
        <is>
          <t>J18</t>
        </is>
      </c>
      <c t="str" r="Q805" s="6">
        <f>A805&amp;"|"&amp;C805&amp;"|"&amp;D805&amp;"|"&amp;G805</f>
        <v>Ingreda, Молдова|Шкала|Оборудование|4</v>
      </c>
      <c t="str" r="R805" s="6">
        <f>A805&amp;"|"&amp;C805&amp;"|"&amp;D805&amp;"|"&amp;J805</f>
        <v>Ingreda, Молдова|Шкала|Оборудование|6</v>
      </c>
      <c t="str" r="S805" s="6">
        <f>A805&amp;"|"&amp;C805&amp;"|"&amp;D805&amp;"|"&amp;G805&amp;"|"&amp;J805</f>
        <v>Ingreda, Молдова|Шкала|Оборудование|4|6</v>
      </c>
      <c t="str" r="T805" s="6">
        <f>A805&amp;"|"&amp;C805&amp;"|"&amp;G805</f>
        <v>Ingreda, Молдова|Шкала|4</v>
      </c>
      <c t="str" r="U805" s="6">
        <f>IF(H805="да",A805&amp;"|"&amp;C805&amp;"|"&amp;D805&amp;"|"&amp;J805,"")</f>
        <v>Ingreda, Молдова|Шкала|Оборудование|6</v>
      </c>
      <c t="str" r="V805" s="6">
        <f>IF(C805="План",A805&amp;"|"&amp;J805,"")</f>
        <v/>
      </c>
    </row>
    <row r="806">
      <c r="A806" s="3" t="inlineStr">
        <is>
          <t>Ingreda, Молдова</t>
        </is>
      </c>
      <c r="B806" s="3" t="inlineStr">
        <is>
          <t>Заруб</t>
        </is>
      </c>
      <c r="C806" s="3" t="inlineStr">
        <is>
          <t>Шкала</t>
        </is>
      </c>
      <c r="D806" s="3" t="inlineStr">
        <is>
          <t>Расходные материалы</t>
        </is>
      </c>
      <c r="E806" s="3" t="inlineStr">
        <is>
          <t>Расходные материалы — за полугодие</t>
        </is>
      </c>
      <c r="F806" s="3" t="inlineStr">
        <is>
          <t>Объем закупок РМ</t>
        </is>
      </c>
      <c r="G806" s="4" t="n">
        <v>1</v>
      </c>
      <c r="H806" s="4" t="n"/>
      <c r="I806" s="3" t="inlineStr">
        <is>
          <t>до 24</t>
        </is>
      </c>
      <c r="J806" s="4" t="n">
        <v>1</v>
      </c>
      <c r="K806" s="4" t="n"/>
      <c r="L806" s="4" t="n"/>
      <c r="M806" s="8" t="n">
        <v>0</v>
      </c>
      <c r="N806" s="4" t="inlineStr">
        <is>
          <t>%</t>
        </is>
      </c>
      <c r="O806" s="3" t="inlineStr">
        <is>
          <t>Ingreda</t>
        </is>
      </c>
      <c r="P806" s="3" t="inlineStr">
        <is>
          <t>E21</t>
        </is>
      </c>
      <c t="str" r="Q806" s="6">
        <f>A806&amp;"|"&amp;C806&amp;"|"&amp;D806&amp;"|"&amp;G806</f>
        <v>Ingreda, Молдова|Шкала|Расходные материалы|1</v>
      </c>
      <c t="str" r="R806" s="6">
        <f>A806&amp;"|"&amp;C806&amp;"|"&amp;D806&amp;"|"&amp;J806</f>
        <v>Ingreda, Молдова|Шкала|Расходные материалы|1</v>
      </c>
      <c t="str" r="S806" s="6">
        <f>A806&amp;"|"&amp;C806&amp;"|"&amp;D806&amp;"|"&amp;G806&amp;"|"&amp;J806</f>
        <v>Ingreda, Молдова|Шкала|Расходные материалы|1|1</v>
      </c>
      <c t="str" r="T806" s="6">
        <f>A806&amp;"|"&amp;C806&amp;"|"&amp;G806</f>
        <v>Ingreda, Молдова|Шкала|1</v>
      </c>
      <c t="str" r="U806" s="6">
        <f>IF(H806="да",A806&amp;"|"&amp;C806&amp;"|"&amp;D806&amp;"|"&amp;J806,"")</f>
        <v/>
      </c>
      <c t="str" r="V806" s="6">
        <f>IF(C806="План",A806&amp;"|"&amp;J806,"")</f>
        <v/>
      </c>
    </row>
    <row r="807">
      <c r="A807" s="3" t="inlineStr">
        <is>
          <t>Ingreda, Молдова</t>
        </is>
      </c>
      <c r="B807" s="3" t="inlineStr">
        <is>
          <t>Заруб</t>
        </is>
      </c>
      <c r="C807" s="3" t="inlineStr">
        <is>
          <t>Шкала</t>
        </is>
      </c>
      <c r="D807" s="3" t="inlineStr">
        <is>
          <t>Расходные материалы</t>
        </is>
      </c>
      <c r="E807" s="3" t="inlineStr">
        <is>
          <t>Расходные материалы — за полугодие</t>
        </is>
      </c>
      <c r="F807" s="3" t="inlineStr">
        <is>
          <t>Объем закупок РМ</t>
        </is>
      </c>
      <c r="G807" s="4" t="n">
        <v>1</v>
      </c>
      <c r="H807" s="4" t="n"/>
      <c r="I807" s="3" t="inlineStr">
        <is>
          <t>25-34</t>
        </is>
      </c>
      <c r="J807" s="4" t="n">
        <v>2</v>
      </c>
      <c r="K807" s="4" t="n"/>
      <c r="L807" s="4" t="n"/>
      <c r="M807" s="8" t="n">
        <v>0.01</v>
      </c>
      <c r="N807" s="4" t="inlineStr">
        <is>
          <t>%</t>
        </is>
      </c>
      <c r="O807" s="3" t="inlineStr">
        <is>
          <t>Ingreda</t>
        </is>
      </c>
      <c r="P807" s="3" t="inlineStr">
        <is>
          <t>F21</t>
        </is>
      </c>
      <c t="str" r="Q807" s="6">
        <f>A807&amp;"|"&amp;C807&amp;"|"&amp;D807&amp;"|"&amp;G807</f>
        <v>Ingreda, Молдова|Шкала|Расходные материалы|1</v>
      </c>
      <c t="str" r="R807" s="6">
        <f>A807&amp;"|"&amp;C807&amp;"|"&amp;D807&amp;"|"&amp;J807</f>
        <v>Ingreda, Молдова|Шкала|Расходные материалы|2</v>
      </c>
      <c t="str" r="S807" s="6">
        <f>A807&amp;"|"&amp;C807&amp;"|"&amp;D807&amp;"|"&amp;G807&amp;"|"&amp;J807</f>
        <v>Ingreda, Молдова|Шкала|Расходные материалы|1|2</v>
      </c>
      <c t="str" r="T807" s="6">
        <f>A807&amp;"|"&amp;C807&amp;"|"&amp;G807</f>
        <v>Ingreda, Молдова|Шкала|1</v>
      </c>
      <c t="str" r="U807" s="6">
        <f>IF(H807="да",A807&amp;"|"&amp;C807&amp;"|"&amp;D807&amp;"|"&amp;J807,"")</f>
        <v/>
      </c>
      <c t="str" r="V807" s="6">
        <f>IF(C807="План",A807&amp;"|"&amp;J807,"")</f>
        <v/>
      </c>
    </row>
    <row r="808">
      <c r="A808" s="3" t="inlineStr">
        <is>
          <t>Ingreda, Молдова</t>
        </is>
      </c>
      <c r="B808" s="3" t="inlineStr">
        <is>
          <t>Заруб</t>
        </is>
      </c>
      <c r="C808" s="3" t="inlineStr">
        <is>
          <t>Шкала</t>
        </is>
      </c>
      <c r="D808" s="3" t="inlineStr">
        <is>
          <t>Расходные материалы</t>
        </is>
      </c>
      <c r="E808" s="3" t="inlineStr">
        <is>
          <t>Расходные материалы — за полугодие</t>
        </is>
      </c>
      <c r="F808" s="3" t="inlineStr">
        <is>
          <t>Объем закупок РМ</t>
        </is>
      </c>
      <c r="G808" s="4" t="n">
        <v>1</v>
      </c>
      <c r="H808" s="4" t="n"/>
      <c r="I808" s="3" t="inlineStr">
        <is>
          <t>35-44</t>
        </is>
      </c>
      <c r="J808" s="4" t="n">
        <v>3</v>
      </c>
      <c r="K808" s="4" t="n"/>
      <c r="L808" s="4" t="n"/>
      <c r="M808" s="8" t="n">
        <v>0.02</v>
      </c>
      <c r="N808" s="4" t="inlineStr">
        <is>
          <t>%</t>
        </is>
      </c>
      <c r="O808" s="3" t="inlineStr">
        <is>
          <t>Ingreda</t>
        </is>
      </c>
      <c r="P808" s="3" t="inlineStr">
        <is>
          <t>G21</t>
        </is>
      </c>
      <c t="str" r="Q808" s="6">
        <f>A808&amp;"|"&amp;C808&amp;"|"&amp;D808&amp;"|"&amp;G808</f>
        <v>Ingreda, Молдова|Шкала|Расходные материалы|1</v>
      </c>
      <c t="str" r="R808" s="6">
        <f>A808&amp;"|"&amp;C808&amp;"|"&amp;D808&amp;"|"&amp;J808</f>
        <v>Ingreda, Молдова|Шкала|Расходные материалы|3</v>
      </c>
      <c t="str" r="S808" s="6">
        <f>A808&amp;"|"&amp;C808&amp;"|"&amp;D808&amp;"|"&amp;G808&amp;"|"&amp;J808</f>
        <v>Ingreda, Молдова|Шкала|Расходные материалы|1|3</v>
      </c>
      <c t="str" r="T808" s="6">
        <f>A808&amp;"|"&amp;C808&amp;"|"&amp;G808</f>
        <v>Ingreda, Молдова|Шкала|1</v>
      </c>
      <c t="str" r="U808" s="6">
        <f>IF(H808="да",A808&amp;"|"&amp;C808&amp;"|"&amp;D808&amp;"|"&amp;J808,"")</f>
        <v/>
      </c>
      <c t="str" r="V808" s="6">
        <f>IF(C808="План",A808&amp;"|"&amp;J808,"")</f>
        <v/>
      </c>
    </row>
    <row r="809">
      <c r="A809" s="3" t="inlineStr">
        <is>
          <t>Ingreda, Молдова</t>
        </is>
      </c>
      <c r="B809" s="3" t="inlineStr">
        <is>
          <t>Заруб</t>
        </is>
      </c>
      <c r="C809" s="3" t="inlineStr">
        <is>
          <t>Шкала</t>
        </is>
      </c>
      <c r="D809" s="3" t="inlineStr">
        <is>
          <t>Расходные материалы</t>
        </is>
      </c>
      <c r="E809" s="3" t="inlineStr">
        <is>
          <t>Расходные материалы — за полугодие</t>
        </is>
      </c>
      <c r="F809" s="3" t="inlineStr">
        <is>
          <t>Объем закупок РМ</t>
        </is>
      </c>
      <c r="G809" s="4" t="n">
        <v>1</v>
      </c>
      <c r="H809" s="4" t="n"/>
      <c r="I809" s="3" t="inlineStr">
        <is>
          <t>45-54</t>
        </is>
      </c>
      <c r="J809" s="4" t="n">
        <v>4</v>
      </c>
      <c r="K809" s="4" t="n"/>
      <c r="L809" s="4" t="n"/>
      <c r="M809" s="8" t="n">
        <v>0.03</v>
      </c>
      <c r="N809" s="4" t="inlineStr">
        <is>
          <t>%</t>
        </is>
      </c>
      <c r="O809" s="3" t="inlineStr">
        <is>
          <t>Ingreda</t>
        </is>
      </c>
      <c r="P809" s="3" t="inlineStr">
        <is>
          <t>H21</t>
        </is>
      </c>
      <c t="str" r="Q809" s="6">
        <f>A809&amp;"|"&amp;C809&amp;"|"&amp;D809&amp;"|"&amp;G809</f>
        <v>Ingreda, Молдова|Шкала|Расходные материалы|1</v>
      </c>
      <c t="str" r="R809" s="6">
        <f>A809&amp;"|"&amp;C809&amp;"|"&amp;D809&amp;"|"&amp;J809</f>
        <v>Ingreda, Молдова|Шкала|Расходные материалы|4</v>
      </c>
      <c t="str" r="S809" s="6">
        <f>A809&amp;"|"&amp;C809&amp;"|"&amp;D809&amp;"|"&amp;G809&amp;"|"&amp;J809</f>
        <v>Ingreda, Молдова|Шкала|Расходные материалы|1|4</v>
      </c>
      <c t="str" r="T809" s="6">
        <f>A809&amp;"|"&amp;C809&amp;"|"&amp;G809</f>
        <v>Ingreda, Молдова|Шкала|1</v>
      </c>
      <c t="str" r="U809" s="6">
        <f>IF(H809="да",A809&amp;"|"&amp;C809&amp;"|"&amp;D809&amp;"|"&amp;J809,"")</f>
        <v/>
      </c>
      <c t="str" r="V809" s="6">
        <f>IF(C809="План",A809&amp;"|"&amp;J809,"")</f>
        <v/>
      </c>
    </row>
    <row r="810">
      <c r="A810" s="3" t="inlineStr">
        <is>
          <t>Ingreda, Молдова</t>
        </is>
      </c>
      <c r="B810" s="3" t="inlineStr">
        <is>
          <t>Заруб</t>
        </is>
      </c>
      <c r="C810" s="3" t="inlineStr">
        <is>
          <t>Шкала</t>
        </is>
      </c>
      <c r="D810" s="3" t="inlineStr">
        <is>
          <t>Расходные материалы</t>
        </is>
      </c>
      <c r="E810" s="3" t="inlineStr">
        <is>
          <t>Расходные материалы — за полугодие</t>
        </is>
      </c>
      <c r="F810" s="3" t="inlineStr">
        <is>
          <t>Объем закупок РМ</t>
        </is>
      </c>
      <c r="G810" s="4" t="n">
        <v>1</v>
      </c>
      <c r="H810" s="4" t="n"/>
      <c r="I810" s="3" t="inlineStr">
        <is>
          <t>55-64</t>
        </is>
      </c>
      <c r="J810" s="4" t="n">
        <v>5</v>
      </c>
      <c r="K810" s="4" t="n"/>
      <c r="L810" s="4" t="n"/>
      <c r="M810" s="8" t="n">
        <v>0.04</v>
      </c>
      <c r="N810" s="4" t="inlineStr">
        <is>
          <t>%</t>
        </is>
      </c>
      <c r="O810" s="3" t="inlineStr">
        <is>
          <t>Ingreda</t>
        </is>
      </c>
      <c r="P810" s="3" t="inlineStr">
        <is>
          <t>I21</t>
        </is>
      </c>
      <c t="str" r="Q810" s="6">
        <f>A810&amp;"|"&amp;C810&amp;"|"&amp;D810&amp;"|"&amp;G810</f>
        <v>Ingreda, Молдова|Шкала|Расходные материалы|1</v>
      </c>
      <c t="str" r="R810" s="6">
        <f>A810&amp;"|"&amp;C810&amp;"|"&amp;D810&amp;"|"&amp;J810</f>
        <v>Ingreda, Молдова|Шкала|Расходные материалы|5</v>
      </c>
      <c t="str" r="S810" s="6">
        <f>A810&amp;"|"&amp;C810&amp;"|"&amp;D810&amp;"|"&amp;G810&amp;"|"&amp;J810</f>
        <v>Ingreda, Молдова|Шкала|Расходные материалы|1|5</v>
      </c>
      <c t="str" r="T810" s="6">
        <f>A810&amp;"|"&amp;C810&amp;"|"&amp;G810</f>
        <v>Ingreda, Молдова|Шкала|1</v>
      </c>
      <c t="str" r="U810" s="6">
        <f>IF(H810="да",A810&amp;"|"&amp;C810&amp;"|"&amp;D810&amp;"|"&amp;J810,"")</f>
        <v/>
      </c>
      <c t="str" r="V810" s="6">
        <f>IF(C810="План",A810&amp;"|"&amp;J810,"")</f>
        <v/>
      </c>
    </row>
    <row r="811">
      <c r="A811" s="3" t="inlineStr">
        <is>
          <t>Ingreda, Молдова</t>
        </is>
      </c>
      <c r="B811" s="3" t="inlineStr">
        <is>
          <t>Заруб</t>
        </is>
      </c>
      <c r="C811" s="3" t="inlineStr">
        <is>
          <t>Шкала</t>
        </is>
      </c>
      <c r="D811" s="3" t="inlineStr">
        <is>
          <t>Расходные материалы</t>
        </is>
      </c>
      <c r="E811" s="3" t="inlineStr">
        <is>
          <t>Расходные материалы — за полугодие</t>
        </is>
      </c>
      <c r="F811" s="3" t="inlineStr">
        <is>
          <t>Объем закупок РМ</t>
        </is>
      </c>
      <c r="G811" s="4" t="n">
        <v>1</v>
      </c>
      <c r="H811" s="4" t="n"/>
      <c r="I811" s="3" t="inlineStr">
        <is>
          <t>65 и более</t>
        </is>
      </c>
      <c r="J811" s="4" t="n">
        <v>6</v>
      </c>
      <c r="K811" s="4" t="n"/>
      <c r="L811" s="4" t="n"/>
      <c r="M811" s="8" t="n">
        <v>0.05</v>
      </c>
      <c r="N811" s="4" t="inlineStr">
        <is>
          <t>%</t>
        </is>
      </c>
      <c r="O811" s="3" t="inlineStr">
        <is>
          <t>Ingreda</t>
        </is>
      </c>
      <c r="P811" s="3" t="inlineStr">
        <is>
          <t>J21</t>
        </is>
      </c>
      <c t="str" r="Q811" s="6">
        <f>A811&amp;"|"&amp;C811&amp;"|"&amp;D811&amp;"|"&amp;G811</f>
        <v>Ingreda, Молдова|Шкала|Расходные материалы|1</v>
      </c>
      <c t="str" r="R811" s="6">
        <f>A811&amp;"|"&amp;C811&amp;"|"&amp;D811&amp;"|"&amp;J811</f>
        <v>Ingreda, Молдова|Шкала|Расходные материалы|6</v>
      </c>
      <c t="str" r="S811" s="6">
        <f>A811&amp;"|"&amp;C811&amp;"|"&amp;D811&amp;"|"&amp;G811&amp;"|"&amp;J811</f>
        <v>Ingreda, Молдова|Шкала|Расходные материалы|1|6</v>
      </c>
      <c t="str" r="T811" s="6">
        <f>A811&amp;"|"&amp;C811&amp;"|"&amp;G811</f>
        <v>Ingreda, Молдова|Шкала|1</v>
      </c>
      <c t="str" r="U811" s="6">
        <f>IF(H811="да",A811&amp;"|"&amp;C811&amp;"|"&amp;D811&amp;"|"&amp;J811,"")</f>
        <v/>
      </c>
      <c t="str" r="V811" s="6">
        <f>IF(C811="План",A811&amp;"|"&amp;J811,"")</f>
        <v/>
      </c>
    </row>
    <row r="812">
      <c r="A812" s="3" t="inlineStr">
        <is>
          <t>Ingreda, Молдова</t>
        </is>
      </c>
      <c r="B812" s="3" t="inlineStr">
        <is>
          <t>Заруб</t>
        </is>
      </c>
      <c r="C812" s="3" t="inlineStr">
        <is>
          <t>Шкала</t>
        </is>
      </c>
      <c r="D812" s="3" t="inlineStr">
        <is>
          <t>Сервис (ЗЧ)</t>
        </is>
      </c>
      <c r="E812" s="3" t="inlineStr">
        <is>
          <t>Сервис (ЗЧ) — абсолютные отгрузки за 12 месяцев</t>
        </is>
      </c>
      <c r="F812" s="3" t="inlineStr">
        <is>
          <t>Скидка по сервису</t>
        </is>
      </c>
      <c r="G812" s="4" t="n">
        <v>1</v>
      </c>
      <c r="H812" s="4" t="inlineStr">
        <is>
          <t>да</t>
        </is>
      </c>
      <c r="I812" s="3" t="inlineStr">
        <is>
          <t>0–7000</t>
        </is>
      </c>
      <c r="J812" s="4" t="n">
        <v>1</v>
      </c>
      <c r="K812" s="4" t="n">
        <v>0</v>
      </c>
      <c r="L812" s="4" t="n">
        <v>7000</v>
      </c>
      <c r="M812" s="8" t="n">
        <v>0.1</v>
      </c>
      <c r="N812" s="4" t="inlineStr">
        <is>
          <t>%</t>
        </is>
      </c>
      <c r="O812" s="3" t="inlineStr">
        <is>
          <t>Ingreda</t>
        </is>
      </c>
      <c r="P812" s="3" t="inlineStr">
        <is>
          <t>F24</t>
        </is>
      </c>
      <c t="str" r="Q812" s="6">
        <f>A812&amp;"|"&amp;C812&amp;"|"&amp;D812&amp;"|"&amp;G812</f>
        <v>Ingreda, Молдова|Шкала|Сервис (ЗЧ)|1</v>
      </c>
      <c t="str" r="R812" s="6">
        <f>A812&amp;"|"&amp;C812&amp;"|"&amp;D812&amp;"|"&amp;J812</f>
        <v>Ingreda, Молдова|Шкала|Сервис (ЗЧ)|1</v>
      </c>
      <c t="str" r="S812" s="6">
        <f>A812&amp;"|"&amp;C812&amp;"|"&amp;D812&amp;"|"&amp;G812&amp;"|"&amp;J812</f>
        <v>Ingreda, Молдова|Шкала|Сервис (ЗЧ)|1|1</v>
      </c>
      <c t="str" r="T812" s="6">
        <f>A812&amp;"|"&amp;C812&amp;"|"&amp;G812</f>
        <v>Ingreda, Молдова|Шкала|1</v>
      </c>
      <c t="str" r="U812" s="6">
        <f>IF(H812="да",A812&amp;"|"&amp;C812&amp;"|"&amp;D812&amp;"|"&amp;J812,"")</f>
        <v>Ingreda, Молдова|Шкала|Сервис (ЗЧ)|1</v>
      </c>
      <c t="str" r="V812" s="6">
        <f>IF(C812="План",A812&amp;"|"&amp;J812,"")</f>
        <v/>
      </c>
    </row>
    <row r="813">
      <c r="A813" s="3" t="inlineStr">
        <is>
          <t>Ingreda, Молдова</t>
        </is>
      </c>
      <c r="B813" s="3" t="inlineStr">
        <is>
          <t>Заруб</t>
        </is>
      </c>
      <c r="C813" s="3" t="inlineStr">
        <is>
          <t>Шкала</t>
        </is>
      </c>
      <c r="D813" s="3" t="inlineStr">
        <is>
          <t>Сервис (ЗЧ)</t>
        </is>
      </c>
      <c r="E813" s="3" t="inlineStr">
        <is>
          <t>Сервис (ЗЧ) — абсолютные отгрузки за 12 месяцев</t>
        </is>
      </c>
      <c r="F813" s="3" t="inlineStr">
        <is>
          <t>Скидка по сервису</t>
        </is>
      </c>
      <c r="G813" s="4" t="n">
        <v>1</v>
      </c>
      <c r="H813" s="4" t="inlineStr">
        <is>
          <t>да</t>
        </is>
      </c>
      <c r="I813" s="3" t="inlineStr">
        <is>
          <t>7001–19000</t>
        </is>
      </c>
      <c r="J813" s="4" t="n">
        <v>2</v>
      </c>
      <c r="K813" s="4" t="n">
        <v>7001</v>
      </c>
      <c r="L813" s="4" t="n">
        <v>19000</v>
      </c>
      <c r="M813" s="8" t="n">
        <v>0.11</v>
      </c>
      <c r="N813" s="4" t="inlineStr">
        <is>
          <t>%</t>
        </is>
      </c>
      <c r="O813" s="3" t="inlineStr">
        <is>
          <t>Ingreda</t>
        </is>
      </c>
      <c r="P813" s="3" t="inlineStr">
        <is>
          <t>F25</t>
        </is>
      </c>
      <c t="str" r="Q813" s="6">
        <f>A813&amp;"|"&amp;C813&amp;"|"&amp;D813&amp;"|"&amp;G813</f>
        <v>Ingreda, Молдова|Шкала|Сервис (ЗЧ)|1</v>
      </c>
      <c t="str" r="R813" s="6">
        <f>A813&amp;"|"&amp;C813&amp;"|"&amp;D813&amp;"|"&amp;J813</f>
        <v>Ingreda, Молдова|Шкала|Сервис (ЗЧ)|2</v>
      </c>
      <c t="str" r="S813" s="6">
        <f>A813&amp;"|"&amp;C813&amp;"|"&amp;D813&amp;"|"&amp;G813&amp;"|"&amp;J813</f>
        <v>Ingreda, Молдова|Шкала|Сервис (ЗЧ)|1|2</v>
      </c>
      <c t="str" r="T813" s="6">
        <f>A813&amp;"|"&amp;C813&amp;"|"&amp;G813</f>
        <v>Ingreda, Молдова|Шкала|1</v>
      </c>
      <c t="str" r="U813" s="6">
        <f>IF(H813="да",A813&amp;"|"&amp;C813&amp;"|"&amp;D813&amp;"|"&amp;J813,"")</f>
        <v>Ingreda, Молдова|Шкала|Сервис (ЗЧ)|2</v>
      </c>
      <c t="str" r="V813" s="6">
        <f>IF(C813="План",A813&amp;"|"&amp;J813,"")</f>
        <v/>
      </c>
    </row>
    <row r="814">
      <c r="A814" s="3" t="inlineStr">
        <is>
          <t>Ingreda, Молдова</t>
        </is>
      </c>
      <c r="B814" s="3" t="inlineStr">
        <is>
          <t>Заруб</t>
        </is>
      </c>
      <c r="C814" s="3" t="inlineStr">
        <is>
          <t>Шкала</t>
        </is>
      </c>
      <c r="D814" s="3" t="inlineStr">
        <is>
          <t>Сервис (ЗЧ)</t>
        </is>
      </c>
      <c r="E814" s="3" t="inlineStr">
        <is>
          <t>Сервис (ЗЧ) — абсолютные отгрузки за 12 месяцев</t>
        </is>
      </c>
      <c r="F814" s="3" t="inlineStr">
        <is>
          <t>Скидка по сервису</t>
        </is>
      </c>
      <c r="G814" s="4" t="n">
        <v>1</v>
      </c>
      <c r="H814" s="4" t="inlineStr">
        <is>
          <t>да</t>
        </is>
      </c>
      <c r="I814" s="3" t="inlineStr">
        <is>
          <t>19001–24000</t>
        </is>
      </c>
      <c r="J814" s="4" t="n">
        <v>3</v>
      </c>
      <c r="K814" s="4" t="n">
        <v>19001</v>
      </c>
      <c r="L814" s="4" t="n">
        <v>24000</v>
      </c>
      <c r="M814" s="8" t="n">
        <v>0.13</v>
      </c>
      <c r="N814" s="4" t="inlineStr">
        <is>
          <t>%</t>
        </is>
      </c>
      <c r="O814" s="3" t="inlineStr">
        <is>
          <t>Ingreda</t>
        </is>
      </c>
      <c r="P814" s="3" t="inlineStr">
        <is>
          <t>F26</t>
        </is>
      </c>
      <c t="str" r="Q814" s="6">
        <f>A814&amp;"|"&amp;C814&amp;"|"&amp;D814&amp;"|"&amp;G814</f>
        <v>Ingreda, Молдова|Шкала|Сервис (ЗЧ)|1</v>
      </c>
      <c t="str" r="R814" s="6">
        <f>A814&amp;"|"&amp;C814&amp;"|"&amp;D814&amp;"|"&amp;J814</f>
        <v>Ingreda, Молдова|Шкала|Сервис (ЗЧ)|3</v>
      </c>
      <c t="str" r="S814" s="6">
        <f>A814&amp;"|"&amp;C814&amp;"|"&amp;D814&amp;"|"&amp;G814&amp;"|"&amp;J814</f>
        <v>Ingreda, Молдова|Шкала|Сервис (ЗЧ)|1|3</v>
      </c>
      <c t="str" r="T814" s="6">
        <f>A814&amp;"|"&amp;C814&amp;"|"&amp;G814</f>
        <v>Ingreda, Молдова|Шкала|1</v>
      </c>
      <c t="str" r="U814" s="6">
        <f>IF(H814="да",A814&amp;"|"&amp;C814&amp;"|"&amp;D814&amp;"|"&amp;J814,"")</f>
        <v>Ingreda, Молдова|Шкала|Сервис (ЗЧ)|3</v>
      </c>
      <c t="str" r="V814" s="6">
        <f>IF(C814="План",A814&amp;"|"&amp;J814,"")</f>
        <v/>
      </c>
    </row>
    <row r="815">
      <c r="A815" s="3" t="inlineStr">
        <is>
          <t>Ingreda, Молдова</t>
        </is>
      </c>
      <c r="B815" s="3" t="inlineStr">
        <is>
          <t>Заруб</t>
        </is>
      </c>
      <c r="C815" s="3" t="inlineStr">
        <is>
          <t>Шкала</t>
        </is>
      </c>
      <c r="D815" s="3" t="inlineStr">
        <is>
          <t>Сервис (ЗЧ)</t>
        </is>
      </c>
      <c r="E815" s="3" t="inlineStr">
        <is>
          <t>Сервис (ЗЧ) — абсолютные отгрузки за 12 месяцев</t>
        </is>
      </c>
      <c r="F815" s="3" t="inlineStr">
        <is>
          <t>Скидка по сервису</t>
        </is>
      </c>
      <c r="G815" s="4" t="n">
        <v>1</v>
      </c>
      <c r="H815" s="4" t="inlineStr">
        <is>
          <t>да</t>
        </is>
      </c>
      <c r="I815" s="3" t="inlineStr">
        <is>
          <t>24001–28000</t>
        </is>
      </c>
      <c r="J815" s="4" t="n">
        <v>4</v>
      </c>
      <c r="K815" s="4" t="n">
        <v>24001</v>
      </c>
      <c r="L815" s="4" t="n">
        <v>28000</v>
      </c>
      <c r="M815" s="8" t="n">
        <v>0.14</v>
      </c>
      <c r="N815" s="4" t="inlineStr">
        <is>
          <t>%</t>
        </is>
      </c>
      <c r="O815" s="3" t="inlineStr">
        <is>
          <t>Ingreda</t>
        </is>
      </c>
      <c r="P815" s="3" t="inlineStr">
        <is>
          <t>F27</t>
        </is>
      </c>
      <c t="str" r="Q815" s="6">
        <f>A815&amp;"|"&amp;C815&amp;"|"&amp;D815&amp;"|"&amp;G815</f>
        <v>Ingreda, Молдова|Шкала|Сервис (ЗЧ)|1</v>
      </c>
      <c t="str" r="R815" s="6">
        <f>A815&amp;"|"&amp;C815&amp;"|"&amp;D815&amp;"|"&amp;J815</f>
        <v>Ingreda, Молдова|Шкала|Сервис (ЗЧ)|4</v>
      </c>
      <c t="str" r="S815" s="6">
        <f>A815&amp;"|"&amp;C815&amp;"|"&amp;D815&amp;"|"&amp;G815&amp;"|"&amp;J815</f>
        <v>Ingreda, Молдова|Шкала|Сервис (ЗЧ)|1|4</v>
      </c>
      <c t="str" r="T815" s="6">
        <f>A815&amp;"|"&amp;C815&amp;"|"&amp;G815</f>
        <v>Ingreda, Молдова|Шкала|1</v>
      </c>
      <c t="str" r="U815" s="6">
        <f>IF(H815="да",A815&amp;"|"&amp;C815&amp;"|"&amp;D815&amp;"|"&amp;J815,"")</f>
        <v>Ingreda, Молдова|Шкала|Сервис (ЗЧ)|4</v>
      </c>
      <c t="str" r="V815" s="6">
        <f>IF(C815="План",A815&amp;"|"&amp;J815,"")</f>
        <v/>
      </c>
    </row>
    <row r="816">
      <c r="A816" s="3" t="inlineStr">
        <is>
          <t>Ingreda, Молдова</t>
        </is>
      </c>
      <c r="B816" s="3" t="inlineStr">
        <is>
          <t>Заруб</t>
        </is>
      </c>
      <c r="C816" s="3" t="inlineStr">
        <is>
          <t>Шкала</t>
        </is>
      </c>
      <c r="D816" s="3" t="inlineStr">
        <is>
          <t>Сервис (ЗЧ)</t>
        </is>
      </c>
      <c r="E816" s="3" t="inlineStr">
        <is>
          <t>Сервис (ЗЧ) — абсолютные отгрузки за 12 месяцев</t>
        </is>
      </c>
      <c r="F816" s="3" t="inlineStr">
        <is>
          <t>Скидка по сервису</t>
        </is>
      </c>
      <c r="G816" s="4" t="n">
        <v>1</v>
      </c>
      <c r="H816" s="4" t="inlineStr">
        <is>
          <t>да</t>
        </is>
      </c>
      <c r="I816" s="3" t="inlineStr">
        <is>
          <t>28001–40000</t>
        </is>
      </c>
      <c r="J816" s="4" t="n">
        <v>5</v>
      </c>
      <c r="K816" s="4" t="n">
        <v>28001</v>
      </c>
      <c r="L816" s="4" t="n">
        <v>40000</v>
      </c>
      <c r="M816" s="8" t="n">
        <v>0.15</v>
      </c>
      <c r="N816" s="4" t="inlineStr">
        <is>
          <t>%</t>
        </is>
      </c>
      <c r="O816" s="3" t="inlineStr">
        <is>
          <t>Ingreda</t>
        </is>
      </c>
      <c r="P816" s="3" t="inlineStr">
        <is>
          <t>F28</t>
        </is>
      </c>
      <c t="str" r="Q816" s="6">
        <f>A816&amp;"|"&amp;C816&amp;"|"&amp;D816&amp;"|"&amp;G816</f>
        <v>Ingreda, Молдова|Шкала|Сервис (ЗЧ)|1</v>
      </c>
      <c t="str" r="R816" s="6">
        <f>A816&amp;"|"&amp;C816&amp;"|"&amp;D816&amp;"|"&amp;J816</f>
        <v>Ingreda, Молдова|Шкала|Сервис (ЗЧ)|5</v>
      </c>
      <c t="str" r="S816" s="6">
        <f>A816&amp;"|"&amp;C816&amp;"|"&amp;D816&amp;"|"&amp;G816&amp;"|"&amp;J816</f>
        <v>Ingreda, Молдова|Шкала|Сервис (ЗЧ)|1|5</v>
      </c>
      <c t="str" r="T816" s="6">
        <f>A816&amp;"|"&amp;C816&amp;"|"&amp;G816</f>
        <v>Ingreda, Молдова|Шкала|1</v>
      </c>
      <c t="str" r="U816" s="6">
        <f>IF(H816="да",A816&amp;"|"&amp;C816&amp;"|"&amp;D816&amp;"|"&amp;J816,"")</f>
        <v>Ingreda, Молдова|Шкала|Сервис (ЗЧ)|5</v>
      </c>
      <c t="str" r="V816" s="6">
        <f>IF(C816="План",A816&amp;"|"&amp;J816,"")</f>
        <v/>
      </c>
    </row>
    <row r="817">
      <c r="A817" s="3" t="inlineStr">
        <is>
          <t>Ingreda, Молдова</t>
        </is>
      </c>
      <c r="B817" s="3" t="inlineStr">
        <is>
          <t>Заруб</t>
        </is>
      </c>
      <c r="C817" s="3" t="inlineStr">
        <is>
          <t>Шкала</t>
        </is>
      </c>
      <c r="D817" s="3" t="inlineStr">
        <is>
          <t>Сервис (ЗЧ)</t>
        </is>
      </c>
      <c r="E817" s="3" t="inlineStr">
        <is>
          <t>Сервис (ЗЧ) — абсолютные отгрузки за 12 месяцев</t>
        </is>
      </c>
      <c r="F817" s="3" t="inlineStr">
        <is>
          <t>Скидка по сервису</t>
        </is>
      </c>
      <c r="G817" s="4" t="n">
        <v>1</v>
      </c>
      <c r="H817" s="4" t="inlineStr">
        <is>
          <t>да</t>
        </is>
      </c>
      <c r="I817" s="3" t="inlineStr">
        <is>
          <t>40001–48000</t>
        </is>
      </c>
      <c r="J817" s="4" t="n">
        <v>6</v>
      </c>
      <c r="K817" s="4" t="n">
        <v>40001</v>
      </c>
      <c r="L817" s="4" t="n">
        <v>48000</v>
      </c>
      <c r="M817" s="8" t="n">
        <v>0.16</v>
      </c>
      <c r="N817" s="4" t="inlineStr">
        <is>
          <t>%</t>
        </is>
      </c>
      <c r="O817" s="3" t="inlineStr">
        <is>
          <t>Ingreda</t>
        </is>
      </c>
      <c r="P817" s="3" t="inlineStr">
        <is>
          <t>F29</t>
        </is>
      </c>
      <c t="str" r="Q817" s="6">
        <f>A817&amp;"|"&amp;C817&amp;"|"&amp;D817&amp;"|"&amp;G817</f>
        <v>Ingreda, Молдова|Шкала|Сервис (ЗЧ)|1</v>
      </c>
      <c t="str" r="R817" s="6">
        <f>A817&amp;"|"&amp;C817&amp;"|"&amp;D817&amp;"|"&amp;J817</f>
        <v>Ingreda, Молдова|Шкала|Сервис (ЗЧ)|6</v>
      </c>
      <c t="str" r="S817" s="6">
        <f>A817&amp;"|"&amp;C817&amp;"|"&amp;D817&amp;"|"&amp;G817&amp;"|"&amp;J817</f>
        <v>Ingreda, Молдова|Шкала|Сервис (ЗЧ)|1|6</v>
      </c>
      <c t="str" r="T817" s="6">
        <f>A817&amp;"|"&amp;C817&amp;"|"&amp;G817</f>
        <v>Ingreda, Молдова|Шкала|1</v>
      </c>
      <c t="str" r="U817" s="6">
        <f>IF(H817="да",A817&amp;"|"&amp;C817&amp;"|"&amp;D817&amp;"|"&amp;J817,"")</f>
        <v>Ingreda, Молдова|Шкала|Сервис (ЗЧ)|6</v>
      </c>
      <c t="str" r="V817" s="6">
        <f>IF(C817="План",A817&amp;"|"&amp;J817,"")</f>
        <v/>
      </c>
    </row>
    <row r="818">
      <c r="A818" s="3" t="inlineStr">
        <is>
          <t>Ingreda, Молдова</t>
        </is>
      </c>
      <c r="B818" s="3" t="inlineStr">
        <is>
          <t>Заруб</t>
        </is>
      </c>
      <c r="C818" s="3" t="inlineStr">
        <is>
          <t>Шкала</t>
        </is>
      </c>
      <c r="D818" s="3" t="inlineStr">
        <is>
          <t>Сервис (ЗЧ)</t>
        </is>
      </c>
      <c r="E818" s="3" t="inlineStr">
        <is>
          <t>Сервис (ЗЧ) — абсолютные отгрузки за 12 месяцев</t>
        </is>
      </c>
      <c r="F818" s="3" t="inlineStr">
        <is>
          <t>Скидка по сервису</t>
        </is>
      </c>
      <c r="G818" s="4" t="n">
        <v>1</v>
      </c>
      <c r="H818" s="4" t="inlineStr">
        <is>
          <t>да</t>
        </is>
      </c>
      <c r="I818" s="3" t="inlineStr">
        <is>
          <t>48001–60000</t>
        </is>
      </c>
      <c r="J818" s="4" t="n">
        <v>7</v>
      </c>
      <c r="K818" s="4" t="n">
        <v>48001</v>
      </c>
      <c r="L818" s="4" t="n">
        <v>60000</v>
      </c>
      <c r="M818" s="8" t="n">
        <v>0.17</v>
      </c>
      <c r="N818" s="4" t="inlineStr">
        <is>
          <t>%</t>
        </is>
      </c>
      <c r="O818" s="3" t="inlineStr">
        <is>
          <t>Ingreda</t>
        </is>
      </c>
      <c r="P818" s="3" t="inlineStr">
        <is>
          <t>F30</t>
        </is>
      </c>
      <c t="str" r="Q818" s="6">
        <f>A818&amp;"|"&amp;C818&amp;"|"&amp;D818&amp;"|"&amp;G818</f>
        <v>Ingreda, Молдова|Шкала|Сервис (ЗЧ)|1</v>
      </c>
      <c t="str" r="R818" s="6">
        <f>A818&amp;"|"&amp;C818&amp;"|"&amp;D818&amp;"|"&amp;J818</f>
        <v>Ingreda, Молдова|Шкала|Сервис (ЗЧ)|7</v>
      </c>
      <c t="str" r="S818" s="6">
        <f>A818&amp;"|"&amp;C818&amp;"|"&amp;D818&amp;"|"&amp;G818&amp;"|"&amp;J818</f>
        <v>Ingreda, Молдова|Шкала|Сервис (ЗЧ)|1|7</v>
      </c>
      <c t="str" r="T818" s="6">
        <f>A818&amp;"|"&amp;C818&amp;"|"&amp;G818</f>
        <v>Ingreda, Молдова|Шкала|1</v>
      </c>
      <c t="str" r="U818" s="6">
        <f>IF(H818="да",A818&amp;"|"&amp;C818&amp;"|"&amp;D818&amp;"|"&amp;J818,"")</f>
        <v>Ingreda, Молдова|Шкала|Сервис (ЗЧ)|7</v>
      </c>
      <c t="str" r="V818" s="6">
        <f>IF(C818="План",A818&amp;"|"&amp;J818,"")</f>
        <v/>
      </c>
    </row>
    <row r="819">
      <c r="A819" s="3" t="inlineStr">
        <is>
          <t>Ingreda, Молдова</t>
        </is>
      </c>
      <c r="B819" s="3" t="inlineStr">
        <is>
          <t>Заруб</t>
        </is>
      </c>
      <c r="C819" s="3" t="inlineStr">
        <is>
          <t>Шкала</t>
        </is>
      </c>
      <c r="D819" s="3" t="inlineStr">
        <is>
          <t>Сервис (ЗЧ)</t>
        </is>
      </c>
      <c r="E819" s="3" t="inlineStr">
        <is>
          <t>Сервис (ЗЧ) — абсолютные отгрузки за 12 месяцев</t>
        </is>
      </c>
      <c r="F819" s="3" t="inlineStr">
        <is>
          <t>Скидка по сервису</t>
        </is>
      </c>
      <c r="G819" s="4" t="n">
        <v>1</v>
      </c>
      <c r="H819" s="4" t="inlineStr">
        <is>
          <t>да</t>
        </is>
      </c>
      <c r="I819" s="3" t="inlineStr">
        <is>
          <t>60001–75000</t>
        </is>
      </c>
      <c r="J819" s="4" t="n">
        <v>8</v>
      </c>
      <c r="K819" s="4" t="n">
        <v>60001</v>
      </c>
      <c r="L819" s="4" t="n">
        <v>75000</v>
      </c>
      <c r="M819" s="8" t="n">
        <v>0.18</v>
      </c>
      <c r="N819" s="4" t="inlineStr">
        <is>
          <t>%</t>
        </is>
      </c>
      <c r="O819" s="3" t="inlineStr">
        <is>
          <t>Ingreda</t>
        </is>
      </c>
      <c r="P819" s="3" t="inlineStr">
        <is>
          <t>F31</t>
        </is>
      </c>
      <c t="str" r="Q819" s="6">
        <f>A819&amp;"|"&amp;C819&amp;"|"&amp;D819&amp;"|"&amp;G819</f>
        <v>Ingreda, Молдова|Шкала|Сервис (ЗЧ)|1</v>
      </c>
      <c t="str" r="R819" s="6">
        <f>A819&amp;"|"&amp;C819&amp;"|"&amp;D819&amp;"|"&amp;J819</f>
        <v>Ingreda, Молдова|Шкала|Сервис (ЗЧ)|8</v>
      </c>
      <c t="str" r="S819" s="6">
        <f>A819&amp;"|"&amp;C819&amp;"|"&amp;D819&amp;"|"&amp;G819&amp;"|"&amp;J819</f>
        <v>Ingreda, Молдова|Шкала|Сервис (ЗЧ)|1|8</v>
      </c>
      <c t="str" r="T819" s="6">
        <f>A819&amp;"|"&amp;C819&amp;"|"&amp;G819</f>
        <v>Ingreda, Молдова|Шкала|1</v>
      </c>
      <c t="str" r="U819" s="6">
        <f>IF(H819="да",A819&amp;"|"&amp;C819&amp;"|"&amp;D819&amp;"|"&amp;J819,"")</f>
        <v>Ingreda, Молдова|Шкала|Сервис (ЗЧ)|8</v>
      </c>
      <c t="str" r="V819" s="6">
        <f>IF(C819="План",A819&amp;"|"&amp;J819,"")</f>
        <v/>
      </c>
    </row>
    <row r="820">
      <c r="A820" s="3" t="inlineStr">
        <is>
          <t>Ingreda, Молдова</t>
        </is>
      </c>
      <c r="B820" s="3" t="inlineStr">
        <is>
          <t>Заруб</t>
        </is>
      </c>
      <c r="C820" s="3" t="inlineStr">
        <is>
          <t>Шкала</t>
        </is>
      </c>
      <c r="D820" s="3" t="inlineStr">
        <is>
          <t>Сервис (ЗЧ)</t>
        </is>
      </c>
      <c r="E820" s="3" t="inlineStr">
        <is>
          <t>Сервис (ЗЧ) — абсолютные отгрузки за 12 месяцев</t>
        </is>
      </c>
      <c r="F820" s="3" t="inlineStr">
        <is>
          <t>Скидка по сервису</t>
        </is>
      </c>
      <c r="G820" s="4" t="n">
        <v>1</v>
      </c>
      <c r="H820" s="4" t="inlineStr">
        <is>
          <t>да</t>
        </is>
      </c>
      <c r="I820" s="3" t="inlineStr">
        <is>
          <t>75001–90000</t>
        </is>
      </c>
      <c r="J820" s="4" t="n">
        <v>9</v>
      </c>
      <c r="K820" s="4" t="n">
        <v>75001</v>
      </c>
      <c r="L820" s="4" t="n">
        <v>90000</v>
      </c>
      <c r="M820" s="8" t="n">
        <v>0.19</v>
      </c>
      <c r="N820" s="4" t="inlineStr">
        <is>
          <t>%</t>
        </is>
      </c>
      <c r="O820" s="3" t="inlineStr">
        <is>
          <t>Ingreda</t>
        </is>
      </c>
      <c r="P820" s="3" t="inlineStr">
        <is>
          <t>F32</t>
        </is>
      </c>
      <c t="str" r="Q820" s="6">
        <f>A820&amp;"|"&amp;C820&amp;"|"&amp;D820&amp;"|"&amp;G820</f>
        <v>Ingreda, Молдова|Шкала|Сервис (ЗЧ)|1</v>
      </c>
      <c t="str" r="R820" s="6">
        <f>A820&amp;"|"&amp;C820&amp;"|"&amp;D820&amp;"|"&amp;J820</f>
        <v>Ingreda, Молдова|Шкала|Сервис (ЗЧ)|9</v>
      </c>
      <c t="str" r="S820" s="6">
        <f>A820&amp;"|"&amp;C820&amp;"|"&amp;D820&amp;"|"&amp;G820&amp;"|"&amp;J820</f>
        <v>Ingreda, Молдова|Шкала|Сервис (ЗЧ)|1|9</v>
      </c>
      <c t="str" r="T820" s="6">
        <f>A820&amp;"|"&amp;C820&amp;"|"&amp;G820</f>
        <v>Ingreda, Молдова|Шкала|1</v>
      </c>
      <c t="str" r="U820" s="6">
        <f>IF(H820="да",A820&amp;"|"&amp;C820&amp;"|"&amp;D820&amp;"|"&amp;J820,"")</f>
        <v>Ingreda, Молдова|Шкала|Сервис (ЗЧ)|9</v>
      </c>
      <c t="str" r="V820" s="6">
        <f>IF(C820="План",A820&amp;"|"&amp;J820,"")</f>
        <v/>
      </c>
    </row>
    <row r="821">
      <c r="A821" s="3" t="inlineStr">
        <is>
          <t>Ingreda, Молдова</t>
        </is>
      </c>
      <c r="B821" s="3" t="inlineStr">
        <is>
          <t>Заруб</t>
        </is>
      </c>
      <c r="C821" s="3" t="inlineStr">
        <is>
          <t>Шкала</t>
        </is>
      </c>
      <c r="D821" s="3" t="inlineStr">
        <is>
          <t>Сервис (ЗЧ)</t>
        </is>
      </c>
      <c r="E821" s="3" t="inlineStr">
        <is>
          <t>Сервис (ЗЧ) — абсолютные отгрузки за 12 месяцев</t>
        </is>
      </c>
      <c r="F821" s="3" t="inlineStr">
        <is>
          <t>Скидка по сервису</t>
        </is>
      </c>
      <c r="G821" s="4" t="n">
        <v>1</v>
      </c>
      <c r="H821" s="4" t="inlineStr">
        <is>
          <t>да</t>
        </is>
      </c>
      <c r="I821" s="3" t="inlineStr">
        <is>
          <t>90001–105000</t>
        </is>
      </c>
      <c r="J821" s="4" t="n">
        <v>10</v>
      </c>
      <c r="K821" s="4" t="n">
        <v>90001</v>
      </c>
      <c r="L821" s="4" t="n">
        <v>105000</v>
      </c>
      <c r="M821" s="8" t="n">
        <v>0.2</v>
      </c>
      <c r="N821" s="4" t="inlineStr">
        <is>
          <t>%</t>
        </is>
      </c>
      <c r="O821" s="3" t="inlineStr">
        <is>
          <t>Ingreda</t>
        </is>
      </c>
      <c r="P821" s="3" t="inlineStr">
        <is>
          <t>F33</t>
        </is>
      </c>
      <c t="str" r="Q821" s="6">
        <f>A821&amp;"|"&amp;C821&amp;"|"&amp;D821&amp;"|"&amp;G821</f>
        <v>Ingreda, Молдова|Шкала|Сервис (ЗЧ)|1</v>
      </c>
      <c t="str" r="R821" s="6">
        <f>A821&amp;"|"&amp;C821&amp;"|"&amp;D821&amp;"|"&amp;J821</f>
        <v>Ingreda, Молдова|Шкала|Сервис (ЗЧ)|10</v>
      </c>
      <c t="str" r="S821" s="6">
        <f>A821&amp;"|"&amp;C821&amp;"|"&amp;D821&amp;"|"&amp;G821&amp;"|"&amp;J821</f>
        <v>Ingreda, Молдова|Шкала|Сервис (ЗЧ)|1|10</v>
      </c>
      <c t="str" r="T821" s="6">
        <f>A821&amp;"|"&amp;C821&amp;"|"&amp;G821</f>
        <v>Ingreda, Молдова|Шкала|1</v>
      </c>
      <c t="str" r="U821" s="6">
        <f>IF(H821="да",A821&amp;"|"&amp;C821&amp;"|"&amp;D821&amp;"|"&amp;J821,"")</f>
        <v>Ingreda, Молдова|Шкала|Сервис (ЗЧ)|10</v>
      </c>
      <c t="str" r="V821" s="6">
        <f>IF(C821="План",A821&amp;"|"&amp;J821,"")</f>
        <v/>
      </c>
    </row>
    <row r="822">
      <c r="A822" s="3" t="inlineStr">
        <is>
          <t>Ingreda, Молдова</t>
        </is>
      </c>
      <c r="B822" s="3" t="inlineStr">
        <is>
          <t>Заруб</t>
        </is>
      </c>
      <c r="C822" s="3" t="inlineStr">
        <is>
          <t>Шкала</t>
        </is>
      </c>
      <c r="D822" s="3" t="inlineStr">
        <is>
          <t>Сервис (ЗЧ)</t>
        </is>
      </c>
      <c r="E822" s="3" t="inlineStr">
        <is>
          <t>Сервис (ЗЧ) — абсолютные отгрузки за 12 месяцев</t>
        </is>
      </c>
      <c r="F822" s="3" t="inlineStr">
        <is>
          <t>Скидка по сервису</t>
        </is>
      </c>
      <c r="G822" s="4" t="n">
        <v>1</v>
      </c>
      <c r="H822" s="4" t="inlineStr">
        <is>
          <t>да</t>
        </is>
      </c>
      <c r="I822" s="3" t="inlineStr">
        <is>
          <t>105001–115000</t>
        </is>
      </c>
      <c r="J822" s="4" t="n">
        <v>11</v>
      </c>
      <c r="K822" s="4" t="n">
        <v>105001</v>
      </c>
      <c r="L822" s="4" t="n">
        <v>115000</v>
      </c>
      <c r="M822" s="8" t="n">
        <v>0.21</v>
      </c>
      <c r="N822" s="4" t="inlineStr">
        <is>
          <t>%</t>
        </is>
      </c>
      <c r="O822" s="3" t="inlineStr">
        <is>
          <t>Ingreda</t>
        </is>
      </c>
      <c r="P822" s="3" t="inlineStr">
        <is>
          <t>F34</t>
        </is>
      </c>
      <c t="str" r="Q822" s="6">
        <f>A822&amp;"|"&amp;C822&amp;"|"&amp;D822&amp;"|"&amp;G822</f>
        <v>Ingreda, Молдова|Шкала|Сервис (ЗЧ)|1</v>
      </c>
      <c t="str" r="R822" s="6">
        <f>A822&amp;"|"&amp;C822&amp;"|"&amp;D822&amp;"|"&amp;J822</f>
        <v>Ingreda, Молдова|Шкала|Сервис (ЗЧ)|11</v>
      </c>
      <c t="str" r="S822" s="6">
        <f>A822&amp;"|"&amp;C822&amp;"|"&amp;D822&amp;"|"&amp;G822&amp;"|"&amp;J822</f>
        <v>Ingreda, Молдова|Шкала|Сервис (ЗЧ)|1|11</v>
      </c>
      <c t="str" r="T822" s="6">
        <f>A822&amp;"|"&amp;C822&amp;"|"&amp;G822</f>
        <v>Ingreda, Молдова|Шкала|1</v>
      </c>
      <c t="str" r="U822" s="6">
        <f>IF(H822="да",A822&amp;"|"&amp;C822&amp;"|"&amp;D822&amp;"|"&amp;J822,"")</f>
        <v>Ingreda, Молдова|Шкала|Сервис (ЗЧ)|11</v>
      </c>
      <c t="str" r="V822" s="6">
        <f>IF(C822="План",A822&amp;"|"&amp;J822,"")</f>
        <v/>
      </c>
    </row>
    <row r="823">
      <c r="A823" s="3" t="inlineStr">
        <is>
          <t>Ingreda, Молдова</t>
        </is>
      </c>
      <c r="B823" s="3" t="inlineStr">
        <is>
          <t>Заруб</t>
        </is>
      </c>
      <c r="C823" s="3" t="inlineStr">
        <is>
          <t>Шкала</t>
        </is>
      </c>
      <c r="D823" s="3" t="inlineStr">
        <is>
          <t>Сервис (ЗЧ)</t>
        </is>
      </c>
      <c r="E823" s="3" t="inlineStr">
        <is>
          <t>Сервис (ЗЧ) — абсолютные отгрузки за 12 месяцев</t>
        </is>
      </c>
      <c r="F823" s="3" t="inlineStr">
        <is>
          <t>Скидка по сервису</t>
        </is>
      </c>
      <c r="G823" s="4" t="n">
        <v>1</v>
      </c>
      <c r="H823" s="4" t="inlineStr">
        <is>
          <t>да</t>
        </is>
      </c>
      <c r="I823" s="3" t="inlineStr">
        <is>
          <t>115001+</t>
        </is>
      </c>
      <c r="J823" s="4" t="n">
        <v>12</v>
      </c>
      <c r="K823" s="4" t="n">
        <v>115001</v>
      </c>
      <c r="L823" s="4" t="n">
        <v>0</v>
      </c>
      <c r="M823" s="8" t="n">
        <v>0.22</v>
      </c>
      <c r="N823" s="4" t="inlineStr">
        <is>
          <t>%</t>
        </is>
      </c>
      <c r="O823" s="3" t="inlineStr">
        <is>
          <t>Ingreda</t>
        </is>
      </c>
      <c r="P823" s="3" t="inlineStr">
        <is>
          <t>F35</t>
        </is>
      </c>
      <c t="str" r="Q823" s="6">
        <f>A823&amp;"|"&amp;C823&amp;"|"&amp;D823&amp;"|"&amp;G823</f>
        <v>Ingreda, Молдова|Шкала|Сервис (ЗЧ)|1</v>
      </c>
      <c t="str" r="R823" s="6">
        <f>A823&amp;"|"&amp;C823&amp;"|"&amp;D823&amp;"|"&amp;J823</f>
        <v>Ingreda, Молдова|Шкала|Сервис (ЗЧ)|12</v>
      </c>
      <c t="str" r="S823" s="6">
        <f>A823&amp;"|"&amp;C823&amp;"|"&amp;D823&amp;"|"&amp;G823&amp;"|"&amp;J823</f>
        <v>Ingreda, Молдова|Шкала|Сервис (ЗЧ)|1|12</v>
      </c>
      <c t="str" r="T823" s="6">
        <f>A823&amp;"|"&amp;C823&amp;"|"&amp;G823</f>
        <v>Ingreda, Молдова|Шкала|1</v>
      </c>
      <c t="str" r="U823" s="6">
        <f>IF(H823="да",A823&amp;"|"&amp;C823&amp;"|"&amp;D823&amp;"|"&amp;J823,"")</f>
        <v>Ingreda, Молдова|Шкала|Сервис (ЗЧ)|12</v>
      </c>
      <c t="str" r="V823" s="6">
        <f>IF(C823="План",A823&amp;"|"&amp;J823,"")</f>
        <v/>
      </c>
    </row>
    <row r="824">
      <c r="A824" s="3" t="inlineStr">
        <is>
          <t>CLIPSOMAC, Алжир</t>
        </is>
      </c>
      <c r="B824" s="3" t="inlineStr">
        <is>
          <t>Заруб</t>
        </is>
      </c>
      <c r="C824" s="3" t="inlineStr">
        <is>
          <t>План</t>
        </is>
      </c>
      <c r="D824" s="3" t="inlineStr">
        <is>
          <t>Итого по дилеру</t>
        </is>
      </c>
      <c r="E824" s="3" t="inlineStr">
        <is>
          <t>План и бонусы</t>
        </is>
      </c>
      <c r="F824" s="3" t="inlineStr">
        <is>
          <t>Выручка 2023</t>
        </is>
      </c>
      <c r="G824" s="4" t="n">
        <v>1</v>
      </c>
      <c r="H824" s="4" t="n"/>
      <c r="I824" s="3" t="n"/>
      <c r="J824" s="4" t="n">
        <v>1</v>
      </c>
      <c r="K824" s="4" t="n"/>
      <c r="L824" s="4" t="n"/>
      <c r="M824" s="5" t="n">
        <v>275045.51</v>
      </c>
      <c r="N824" s="4" t="inlineStr">
        <is>
          <t>EUR</t>
        </is>
      </c>
      <c r="O824" s="3" t="inlineStr">
        <is>
          <t>CLIPSOMAC</t>
        </is>
      </c>
      <c r="P824" s="3" t="inlineStr">
        <is>
          <t>D4</t>
        </is>
      </c>
      <c t="str" r="Q824" s="6">
        <f>A824&amp;"|"&amp;C824&amp;"|"&amp;D824&amp;"|"&amp;G824</f>
        <v>CLIPSOMAC, Алжир|План|Итого по дилеру|1</v>
      </c>
      <c t="str" r="R824" s="6">
        <f>A824&amp;"|"&amp;C824&amp;"|"&amp;D824&amp;"|"&amp;J824</f>
        <v>CLIPSOMAC, Алжир|План|Итого по дилеру|1</v>
      </c>
      <c t="str" r="S824" s="6">
        <f>A824&amp;"|"&amp;C824&amp;"|"&amp;D824&amp;"|"&amp;G824&amp;"|"&amp;J824</f>
        <v>CLIPSOMAC, Алжир|План|Итого по дилеру|1|1</v>
      </c>
      <c t="str" r="T824" s="6">
        <f>A824&amp;"|"&amp;C824&amp;"|"&amp;G824</f>
        <v>CLIPSOMAC, Алжир|План|1</v>
      </c>
      <c t="str" r="U824" s="6">
        <f>IF(H824="да",A824&amp;"|"&amp;C824&amp;"|"&amp;D824&amp;"|"&amp;J824,"")</f>
        <v/>
      </c>
      <c t="str" r="V824" s="6">
        <f>IF(C824="План",A824&amp;"|"&amp;J824,"")</f>
        <v>CLIPSOMAC, Алжир|1</v>
      </c>
    </row>
    <row r="825">
      <c r="A825" s="3" t="inlineStr">
        <is>
          <t>CLIPSOMAC, Алжир</t>
        </is>
      </c>
      <c r="B825" s="3" t="inlineStr">
        <is>
          <t>Заруб</t>
        </is>
      </c>
      <c r="C825" s="3" t="inlineStr">
        <is>
          <t>План</t>
        </is>
      </c>
      <c r="D825" s="3" t="inlineStr">
        <is>
          <t>Итого по дилеру</t>
        </is>
      </c>
      <c r="E825" s="3" t="inlineStr">
        <is>
          <t>План и бонусы</t>
        </is>
      </c>
      <c r="F825" s="3" t="inlineStr">
        <is>
          <t>Выручка 2024</t>
        </is>
      </c>
      <c r="G825" s="4" t="n">
        <v>1</v>
      </c>
      <c r="H825" s="4" t="n"/>
      <c r="I825" s="3" t="n"/>
      <c r="J825" s="4" t="n">
        <v>2</v>
      </c>
      <c r="K825" s="4" t="n"/>
      <c r="L825" s="4" t="n"/>
      <c r="M825" s="5" t="n">
        <v>162908.8199999999</v>
      </c>
      <c r="N825" s="4" t="inlineStr">
        <is>
          <t>EUR</t>
        </is>
      </c>
      <c r="O825" s="3" t="inlineStr">
        <is>
          <t>CLIPSOMAC</t>
        </is>
      </c>
      <c r="P825" s="3" t="inlineStr">
        <is>
          <t>E4</t>
        </is>
      </c>
      <c t="str" r="Q825" s="6">
        <f>A825&amp;"|"&amp;C825&amp;"|"&amp;D825&amp;"|"&amp;G825</f>
        <v>CLIPSOMAC, Алжир|План|Итого по дилеру|1</v>
      </c>
      <c t="str" r="R825" s="6">
        <f>A825&amp;"|"&amp;C825&amp;"|"&amp;D825&amp;"|"&amp;J825</f>
        <v>CLIPSOMAC, Алжир|План|Итого по дилеру|2</v>
      </c>
      <c t="str" r="S825" s="6">
        <f>A825&amp;"|"&amp;C825&amp;"|"&amp;D825&amp;"|"&amp;G825&amp;"|"&amp;J825</f>
        <v>CLIPSOMAC, Алжир|План|Итого по дилеру|1|2</v>
      </c>
      <c t="str" r="T825" s="6">
        <f>A825&amp;"|"&amp;C825&amp;"|"&amp;G825</f>
        <v>CLIPSOMAC, Алжир|План|1</v>
      </c>
      <c t="str" r="U825" s="6">
        <f>IF(H825="да",A825&amp;"|"&amp;C825&amp;"|"&amp;D825&amp;"|"&amp;J825,"")</f>
        <v/>
      </c>
      <c t="str" r="V825" s="6">
        <f>IF(C825="План",A825&amp;"|"&amp;J825,"")</f>
        <v>CLIPSOMAC, Алжир|2</v>
      </c>
    </row>
    <row r="826">
      <c r="A826" s="3" t="inlineStr">
        <is>
          <t>CLIPSOMAC, Алжир</t>
        </is>
      </c>
      <c r="B826" s="3" t="inlineStr">
        <is>
          <t>Заруб</t>
        </is>
      </c>
      <c r="C826" s="3" t="inlineStr">
        <is>
          <t>План</t>
        </is>
      </c>
      <c r="D826" s="3" t="inlineStr">
        <is>
          <t>Итого по дилеру</t>
        </is>
      </c>
      <c r="E826" s="3" t="inlineStr">
        <is>
          <t>План и бонусы</t>
        </is>
      </c>
      <c r="F826" s="3" t="inlineStr">
        <is>
          <t>План 2025</t>
        </is>
      </c>
      <c r="G826" s="4" t="n">
        <v>1</v>
      </c>
      <c r="H826" s="4" t="n"/>
      <c r="I826" s="3" t="n"/>
      <c r="J826" s="4" t="n">
        <v>3</v>
      </c>
      <c r="K826" s="4" t="n"/>
      <c r="L826" s="4" t="n"/>
      <c r="M826" s="5" t="n">
        <v>338375.4599999999</v>
      </c>
      <c r="N826" s="4" t="inlineStr">
        <is>
          <t>EUR</t>
        </is>
      </c>
      <c r="O826" s="3" t="inlineStr">
        <is>
          <t>CLIPSOMAC</t>
        </is>
      </c>
      <c r="P826" s="3" t="inlineStr">
        <is>
          <t>F4</t>
        </is>
      </c>
      <c t="str" r="Q826" s="6">
        <f>A826&amp;"|"&amp;C826&amp;"|"&amp;D826&amp;"|"&amp;G826</f>
        <v>CLIPSOMAC, Алжир|План|Итого по дилеру|1</v>
      </c>
      <c t="str" r="R826" s="6">
        <f>A826&amp;"|"&amp;C826&amp;"|"&amp;D826&amp;"|"&amp;J826</f>
        <v>CLIPSOMAC, Алжир|План|Итого по дилеру|3</v>
      </c>
      <c t="str" r="S826" s="6">
        <f>A826&amp;"|"&amp;C826&amp;"|"&amp;D826&amp;"|"&amp;G826&amp;"|"&amp;J826</f>
        <v>CLIPSOMAC, Алжир|План|Итого по дилеру|1|3</v>
      </c>
      <c t="str" r="T826" s="6">
        <f>A826&amp;"|"&amp;C826&amp;"|"&amp;G826</f>
        <v>CLIPSOMAC, Алжир|План|1</v>
      </c>
      <c t="str" r="U826" s="6">
        <f>IF(H826="да",A826&amp;"|"&amp;C826&amp;"|"&amp;D826&amp;"|"&amp;J826,"")</f>
        <v/>
      </c>
      <c t="str" r="V826" s="6">
        <f>IF(C826="План",A826&amp;"|"&amp;J826,"")</f>
        <v>CLIPSOMAC, Алжир|3</v>
      </c>
    </row>
    <row r="827">
      <c r="A827" s="3" t="inlineStr">
        <is>
          <t>CLIPSOMAC, Алжир</t>
        </is>
      </c>
      <c r="B827" s="3" t="inlineStr">
        <is>
          <t>Заруб</t>
        </is>
      </c>
      <c r="C827" s="3" t="inlineStr">
        <is>
          <t>План</t>
        </is>
      </c>
      <c r="D827" s="3" t="inlineStr">
        <is>
          <t>Итого по дилеру</t>
        </is>
      </c>
      <c r="E827" s="3" t="inlineStr">
        <is>
          <t>План и бонусы</t>
        </is>
      </c>
      <c r="F827" s="3" t="inlineStr">
        <is>
          <t>Прирост П/Ф</t>
        </is>
      </c>
      <c r="G827" s="4" t="n">
        <v>1</v>
      </c>
      <c r="H827" s="4" t="n"/>
      <c r="I827" s="3" t="n"/>
      <c r="J827" s="4" t="n">
        <v>4</v>
      </c>
      <c r="K827" s="4" t="n"/>
      <c r="L827" s="4" t="n"/>
      <c r="M827" s="7" t="n">
        <v>1.077084960777446</v>
      </c>
      <c r="N827" s="4" t="inlineStr">
        <is>
          <t>%</t>
        </is>
      </c>
      <c r="O827" s="3" t="inlineStr">
        <is>
          <t>CLIPSOMAC</t>
        </is>
      </c>
      <c r="P827" s="3" t="inlineStr">
        <is>
          <t>G4</t>
        </is>
      </c>
      <c t="str" r="Q827" s="6">
        <f>A827&amp;"|"&amp;C827&amp;"|"&amp;D827&amp;"|"&amp;G827</f>
        <v>CLIPSOMAC, Алжир|План|Итого по дилеру|1</v>
      </c>
      <c t="str" r="R827" s="6">
        <f>A827&amp;"|"&amp;C827&amp;"|"&amp;D827&amp;"|"&amp;J827</f>
        <v>CLIPSOMAC, Алжир|План|Итого по дилеру|4</v>
      </c>
      <c t="str" r="S827" s="6">
        <f>A827&amp;"|"&amp;C827&amp;"|"&amp;D827&amp;"|"&amp;G827&amp;"|"&amp;J827</f>
        <v>CLIPSOMAC, Алжир|План|Итого по дилеру|1|4</v>
      </c>
      <c t="str" r="T827" s="6">
        <f>A827&amp;"|"&amp;C827&amp;"|"&amp;G827</f>
        <v>CLIPSOMAC, Алжир|План|1</v>
      </c>
      <c t="str" r="U827" s="6">
        <f>IF(H827="да",A827&amp;"|"&amp;C827&amp;"|"&amp;D827&amp;"|"&amp;J827,"")</f>
        <v/>
      </c>
      <c t="str" r="V827" s="6">
        <f>IF(C827="План",A827&amp;"|"&amp;J827,"")</f>
        <v>CLIPSOMAC, Алжир|4</v>
      </c>
    </row>
    <row r="828">
      <c r="A828" s="3" t="inlineStr">
        <is>
          <t>CLIPSOMAC, Алжир</t>
        </is>
      </c>
      <c r="B828" s="3" t="inlineStr">
        <is>
          <t>Заруб</t>
        </is>
      </c>
      <c r="C828" s="3" t="inlineStr">
        <is>
          <t>План</t>
        </is>
      </c>
      <c r="D828" s="3" t="inlineStr">
        <is>
          <t>Оборудование</t>
        </is>
      </c>
      <c r="E828" s="3" t="inlineStr">
        <is>
          <t>План и бонусы</t>
        </is>
      </c>
      <c r="F828" s="3" t="inlineStr">
        <is>
          <t>Выручка 2024</t>
        </is>
      </c>
      <c r="G828" s="4" t="n">
        <v>2</v>
      </c>
      <c r="H828" s="4" t="n"/>
      <c r="I828" s="3" t="n"/>
      <c r="J828" s="4" t="n">
        <v>2</v>
      </c>
      <c r="K828" s="4" t="n"/>
      <c r="L828" s="4" t="n"/>
      <c r="M828" s="5" t="n">
        <v>50117</v>
      </c>
      <c r="N828" s="4" t="inlineStr">
        <is>
          <t>EUR</t>
        </is>
      </c>
      <c r="O828" s="3" t="inlineStr">
        <is>
          <t>CLIPSOMAC</t>
        </is>
      </c>
      <c r="P828" s="3" t="inlineStr">
        <is>
          <t>E5</t>
        </is>
      </c>
      <c t="str" r="Q828" s="6">
        <f>A828&amp;"|"&amp;C828&amp;"|"&amp;D828&amp;"|"&amp;G828</f>
        <v>CLIPSOMAC, Алжир|План|Оборудование|2</v>
      </c>
      <c t="str" r="R828" s="6">
        <f>A828&amp;"|"&amp;C828&amp;"|"&amp;D828&amp;"|"&amp;J828</f>
        <v>CLIPSOMAC, Алжир|План|Оборудование|2</v>
      </c>
      <c t="str" r="S828" s="6">
        <f>A828&amp;"|"&amp;C828&amp;"|"&amp;D828&amp;"|"&amp;G828&amp;"|"&amp;J828</f>
        <v>CLIPSOMAC, Алжир|План|Оборудование|2|2</v>
      </c>
      <c t="str" r="T828" s="6">
        <f>A828&amp;"|"&amp;C828&amp;"|"&amp;G828</f>
        <v>CLIPSOMAC, Алжир|План|2</v>
      </c>
      <c t="str" r="U828" s="6">
        <f>IF(H828="да",A828&amp;"|"&amp;C828&amp;"|"&amp;D828&amp;"|"&amp;J828,"")</f>
        <v/>
      </c>
      <c t="str" r="V828" s="6">
        <f>IF(C828="План",A828&amp;"|"&amp;J828,"")</f>
        <v>CLIPSOMAC, Алжир|2</v>
      </c>
    </row>
    <row r="829">
      <c r="A829" s="3" t="inlineStr">
        <is>
          <t>CLIPSOMAC, Алжир</t>
        </is>
      </c>
      <c r="B829" s="3" t="inlineStr">
        <is>
          <t>Заруб</t>
        </is>
      </c>
      <c r="C829" s="3" t="inlineStr">
        <is>
          <t>План</t>
        </is>
      </c>
      <c r="D829" s="3" t="inlineStr">
        <is>
          <t>Оборудование</t>
        </is>
      </c>
      <c r="E829" s="3" t="inlineStr">
        <is>
          <t>План и бонусы</t>
        </is>
      </c>
      <c r="F829" s="3" t="inlineStr">
        <is>
          <t>Скидка в 1 кв. 2025 ф.г.*</t>
        </is>
      </c>
      <c r="G829" s="4" t="n">
        <v>2</v>
      </c>
      <c r="H829" s="4" t="n"/>
      <c r="I829" s="3" t="n"/>
      <c r="J829" s="4" t="n">
        <v>5</v>
      </c>
      <c r="K829" s="4" t="n"/>
      <c r="L829" s="4" t="n"/>
      <c r="M829" s="8" t="n">
        <v>0.16</v>
      </c>
      <c r="N829" s="4" t="inlineStr">
        <is>
          <t>%</t>
        </is>
      </c>
      <c r="O829" s="3" t="inlineStr">
        <is>
          <t>CLIPSOMAC</t>
        </is>
      </c>
      <c r="P829" s="3" t="inlineStr">
        <is>
          <t>H5</t>
        </is>
      </c>
      <c t="str" r="Q829" s="6">
        <f>A829&amp;"|"&amp;C829&amp;"|"&amp;D829&amp;"|"&amp;G829</f>
        <v>CLIPSOMAC, Алжир|План|Оборудование|2</v>
      </c>
      <c t="str" r="R829" s="6">
        <f>A829&amp;"|"&amp;C829&amp;"|"&amp;D829&amp;"|"&amp;J829</f>
        <v>CLIPSOMAC, Алжир|План|Оборудование|5</v>
      </c>
      <c t="str" r="S829" s="6">
        <f>A829&amp;"|"&amp;C829&amp;"|"&amp;D829&amp;"|"&amp;G829&amp;"|"&amp;J829</f>
        <v>CLIPSOMAC, Алжир|План|Оборудование|2|5</v>
      </c>
      <c t="str" r="T829" s="6">
        <f>A829&amp;"|"&amp;C829&amp;"|"&amp;G829</f>
        <v>CLIPSOMAC, Алжир|План|2</v>
      </c>
      <c t="str" r="U829" s="6">
        <f>IF(H829="да",A829&amp;"|"&amp;C829&amp;"|"&amp;D829&amp;"|"&amp;J829,"")</f>
        <v/>
      </c>
      <c t="str" r="V829" s="6">
        <f>IF(C829="План",A829&amp;"|"&amp;J829,"")</f>
        <v>CLIPSOMAC, Алжир|5</v>
      </c>
    </row>
    <row r="830">
      <c r="A830" s="3" t="inlineStr">
        <is>
          <t>CLIPSOMAC, Алжир</t>
        </is>
      </c>
      <c r="B830" s="3" t="inlineStr">
        <is>
          <t>Заруб</t>
        </is>
      </c>
      <c r="C830" s="3" t="inlineStr">
        <is>
          <t>План</t>
        </is>
      </c>
      <c r="D830" s="3" t="inlineStr">
        <is>
          <t>Расходные материалы</t>
        </is>
      </c>
      <c r="E830" s="3" t="inlineStr">
        <is>
          <t>План и бонусы</t>
        </is>
      </c>
      <c r="F830" s="3" t="inlineStr">
        <is>
          <t>Выручка 2023</t>
        </is>
      </c>
      <c r="G830" s="4" t="n">
        <v>3</v>
      </c>
      <c r="H830" s="4" t="n"/>
      <c r="I830" s="3" t="n"/>
      <c r="J830" s="4" t="n">
        <v>1</v>
      </c>
      <c r="K830" s="4" t="n"/>
      <c r="L830" s="4" t="n"/>
      <c r="M830" s="5" t="n">
        <v>275045.51</v>
      </c>
      <c r="N830" s="4" t="inlineStr">
        <is>
          <t>EUR</t>
        </is>
      </c>
      <c r="O830" s="3" t="inlineStr">
        <is>
          <t>CLIPSOMAC</t>
        </is>
      </c>
      <c r="P830" s="3" t="inlineStr">
        <is>
          <t>D6</t>
        </is>
      </c>
      <c t="str" r="Q830" s="6">
        <f>A830&amp;"|"&amp;C830&amp;"|"&amp;D830&amp;"|"&amp;G830</f>
        <v>CLIPSOMAC, Алжир|План|Расходные материалы|3</v>
      </c>
      <c t="str" r="R830" s="6">
        <f>A830&amp;"|"&amp;C830&amp;"|"&amp;D830&amp;"|"&amp;J830</f>
        <v>CLIPSOMAC, Алжир|План|Расходные материалы|1</v>
      </c>
      <c t="str" r="S830" s="6">
        <f>A830&amp;"|"&amp;C830&amp;"|"&amp;D830&amp;"|"&amp;G830&amp;"|"&amp;J830</f>
        <v>CLIPSOMAC, Алжир|План|Расходные материалы|3|1</v>
      </c>
      <c t="str" r="T830" s="6">
        <f>A830&amp;"|"&amp;C830&amp;"|"&amp;G830</f>
        <v>CLIPSOMAC, Алжир|План|3</v>
      </c>
      <c t="str" r="U830" s="6">
        <f>IF(H830="да",A830&amp;"|"&amp;C830&amp;"|"&amp;D830&amp;"|"&amp;J830,"")</f>
        <v/>
      </c>
      <c t="str" r="V830" s="6">
        <f>IF(C830="План",A830&amp;"|"&amp;J830,"")</f>
        <v>CLIPSOMAC, Алжир|1</v>
      </c>
    </row>
    <row r="831">
      <c r="A831" s="3" t="inlineStr">
        <is>
          <t>CLIPSOMAC, Алжир</t>
        </is>
      </c>
      <c r="B831" s="3" t="inlineStr">
        <is>
          <t>Заруб</t>
        </is>
      </c>
      <c r="C831" s="3" t="inlineStr">
        <is>
          <t>План</t>
        </is>
      </c>
      <c r="D831" s="3" t="inlineStr">
        <is>
          <t>Расходные материалы</t>
        </is>
      </c>
      <c r="E831" s="3" t="inlineStr">
        <is>
          <t>План и бонусы</t>
        </is>
      </c>
      <c r="F831" s="3" t="inlineStr">
        <is>
          <t>Выручка 2024</t>
        </is>
      </c>
      <c r="G831" s="4" t="n">
        <v>3</v>
      </c>
      <c r="H831" s="4" t="n"/>
      <c r="I831" s="3" t="n"/>
      <c r="J831" s="4" t="n">
        <v>2</v>
      </c>
      <c r="K831" s="4" t="n"/>
      <c r="L831" s="4" t="n"/>
      <c r="M831" s="5" t="n">
        <v>112791.82</v>
      </c>
      <c r="N831" s="4" t="inlineStr">
        <is>
          <t>EUR</t>
        </is>
      </c>
      <c r="O831" s="3" t="inlineStr">
        <is>
          <t>CLIPSOMAC</t>
        </is>
      </c>
      <c r="P831" s="3" t="inlineStr">
        <is>
          <t>E6</t>
        </is>
      </c>
      <c t="str" r="Q831" s="6">
        <f>A831&amp;"|"&amp;C831&amp;"|"&amp;D831&amp;"|"&amp;G831</f>
        <v>CLIPSOMAC, Алжир|План|Расходные материалы|3</v>
      </c>
      <c t="str" r="R831" s="6">
        <f>A831&amp;"|"&amp;C831&amp;"|"&amp;D831&amp;"|"&amp;J831</f>
        <v>CLIPSOMAC, Алжир|План|Расходные материалы|2</v>
      </c>
      <c t="str" r="S831" s="6">
        <f>A831&amp;"|"&amp;C831&amp;"|"&amp;D831&amp;"|"&amp;G831&amp;"|"&amp;J831</f>
        <v>CLIPSOMAC, Алжир|План|Расходные материалы|3|2</v>
      </c>
      <c t="str" r="T831" s="6">
        <f>A831&amp;"|"&amp;C831&amp;"|"&amp;G831</f>
        <v>CLIPSOMAC, Алжир|План|3</v>
      </c>
      <c t="str" r="U831" s="6">
        <f>IF(H831="да",A831&amp;"|"&amp;C831&amp;"|"&amp;D831&amp;"|"&amp;J831,"")</f>
        <v/>
      </c>
      <c t="str" r="V831" s="6">
        <f>IF(C831="План",A831&amp;"|"&amp;J831,"")</f>
        <v>CLIPSOMAC, Алжир|2</v>
      </c>
    </row>
    <row r="832">
      <c r="A832" s="3" t="inlineStr">
        <is>
          <t>CLIPSOMAC, Алжир</t>
        </is>
      </c>
      <c r="B832" s="3" t="inlineStr">
        <is>
          <t>Заруб</t>
        </is>
      </c>
      <c r="C832" s="3" t="inlineStr">
        <is>
          <t>План</t>
        </is>
      </c>
      <c r="D832" s="3" t="inlineStr">
        <is>
          <t>Расходные материалы</t>
        </is>
      </c>
      <c r="E832" s="3" t="inlineStr">
        <is>
          <t>План и бонусы</t>
        </is>
      </c>
      <c r="F832" s="3" t="inlineStr">
        <is>
          <t>План 2025</t>
        </is>
      </c>
      <c r="G832" s="4" t="n">
        <v>3</v>
      </c>
      <c r="H832" s="4" t="n"/>
      <c r="I832" s="3" t="n"/>
      <c r="J832" s="4" t="n">
        <v>3</v>
      </c>
      <c r="K832" s="4" t="n"/>
      <c r="L832" s="4" t="n"/>
      <c r="M832" s="5" t="n">
        <v>338375.4599999999</v>
      </c>
      <c r="N832" s="4" t="inlineStr">
        <is>
          <t>EUR</t>
        </is>
      </c>
      <c r="O832" s="3" t="inlineStr">
        <is>
          <t>CLIPSOMAC</t>
        </is>
      </c>
      <c r="P832" s="3" t="inlineStr">
        <is>
          <t>F6</t>
        </is>
      </c>
      <c t="str" r="Q832" s="6">
        <f>A832&amp;"|"&amp;C832&amp;"|"&amp;D832&amp;"|"&amp;G832</f>
        <v>CLIPSOMAC, Алжир|План|Расходные материалы|3</v>
      </c>
      <c t="str" r="R832" s="6">
        <f>A832&amp;"|"&amp;C832&amp;"|"&amp;D832&amp;"|"&amp;J832</f>
        <v>CLIPSOMAC, Алжир|План|Расходные материалы|3</v>
      </c>
      <c t="str" r="S832" s="6">
        <f>A832&amp;"|"&amp;C832&amp;"|"&amp;D832&amp;"|"&amp;G832&amp;"|"&amp;J832</f>
        <v>CLIPSOMAC, Алжир|План|Расходные материалы|3|3</v>
      </c>
      <c t="str" r="T832" s="6">
        <f>A832&amp;"|"&amp;C832&amp;"|"&amp;G832</f>
        <v>CLIPSOMAC, Алжир|План|3</v>
      </c>
      <c t="str" r="U832" s="6">
        <f>IF(H832="да",A832&amp;"|"&amp;C832&amp;"|"&amp;D832&amp;"|"&amp;J832,"")</f>
        <v/>
      </c>
      <c t="str" r="V832" s="6">
        <f>IF(C832="План",A832&amp;"|"&amp;J832,"")</f>
        <v>CLIPSOMAC, Алжир|3</v>
      </c>
    </row>
    <row r="833">
      <c r="A833" s="3" t="inlineStr">
        <is>
          <t>CLIPSOMAC, Алжир</t>
        </is>
      </c>
      <c r="B833" s="3" t="inlineStr">
        <is>
          <t>Заруб</t>
        </is>
      </c>
      <c r="C833" s="3" t="inlineStr">
        <is>
          <t>Шкала</t>
        </is>
      </c>
      <c r="D833" s="3" t="inlineStr">
        <is>
          <t>Оборудование</t>
        </is>
      </c>
      <c r="E833" s="3" t="inlineStr">
        <is>
          <t>Оборудование — за полугодие</t>
        </is>
      </c>
      <c r="F833" s="3" t="inlineStr">
        <is>
          <t>Базовое вознаграждение за Дилерский договор</t>
        </is>
      </c>
      <c r="G833" s="4" t="n">
        <v>1</v>
      </c>
      <c r="H833" s="4" t="n"/>
      <c r="I833" s="3" t="inlineStr">
        <is>
          <t>до 75</t>
        </is>
      </c>
      <c r="J833" s="4" t="n">
        <v>1</v>
      </c>
      <c r="K833" s="4" t="n"/>
      <c r="L833" s="4" t="n"/>
      <c r="M833" s="8" t="n">
        <v>0.06</v>
      </c>
      <c r="N833" s="4" t="inlineStr">
        <is>
          <t>%</t>
        </is>
      </c>
      <c r="O833" s="3" t="inlineStr">
        <is>
          <t>CLIPSOMAC</t>
        </is>
      </c>
      <c r="P833" s="3" t="inlineStr">
        <is>
          <t>E14</t>
        </is>
      </c>
      <c t="str" r="Q833" s="6">
        <f>A833&amp;"|"&amp;C833&amp;"|"&amp;D833&amp;"|"&amp;G833</f>
        <v>CLIPSOMAC, Алжир|Шкала|Оборудование|1</v>
      </c>
      <c t="str" r="R833" s="6">
        <f>A833&amp;"|"&amp;C833&amp;"|"&amp;D833&amp;"|"&amp;J833</f>
        <v>CLIPSOMAC, Алжир|Шкала|Оборудование|1</v>
      </c>
      <c t="str" r="S833" s="6">
        <f>A833&amp;"|"&amp;C833&amp;"|"&amp;D833&amp;"|"&amp;G833&amp;"|"&amp;J833</f>
        <v>CLIPSOMAC, Алжир|Шкала|Оборудование|1|1</v>
      </c>
      <c t="str" r="T833" s="6">
        <f>A833&amp;"|"&amp;C833&amp;"|"&amp;G833</f>
        <v>CLIPSOMAC, Алжир|Шкала|1</v>
      </c>
      <c t="str" r="U833" s="6">
        <f>IF(H833="да",A833&amp;"|"&amp;C833&amp;"|"&amp;D833&amp;"|"&amp;J833,"")</f>
        <v/>
      </c>
      <c t="str" r="V833" s="6">
        <f>IF(C833="План",A833&amp;"|"&amp;J833,"")</f>
        <v/>
      </c>
    </row>
    <row r="834">
      <c r="A834" s="3" t="inlineStr">
        <is>
          <t>CLIPSOMAC, Алжир</t>
        </is>
      </c>
      <c r="B834" s="3" t="inlineStr">
        <is>
          <t>Заруб</t>
        </is>
      </c>
      <c r="C834" s="3" t="inlineStr">
        <is>
          <t>Шкала</t>
        </is>
      </c>
      <c r="D834" s="3" t="inlineStr">
        <is>
          <t>Оборудование</t>
        </is>
      </c>
      <c r="E834" s="3" t="inlineStr">
        <is>
          <t>Оборудование — за полугодие</t>
        </is>
      </c>
      <c r="F834" s="3" t="inlineStr">
        <is>
          <t>Базовое вознаграждение за Дилерский договор</t>
        </is>
      </c>
      <c r="G834" s="4" t="n">
        <v>1</v>
      </c>
      <c r="H834" s="4" t="n"/>
      <c r="I834" s="3" t="inlineStr">
        <is>
          <t>75-114</t>
        </is>
      </c>
      <c r="J834" s="4" t="n">
        <v>2</v>
      </c>
      <c r="K834" s="4" t="n"/>
      <c r="L834" s="4" t="n"/>
      <c r="M834" s="8" t="n">
        <v>0.06</v>
      </c>
      <c r="N834" s="4" t="inlineStr">
        <is>
          <t>%</t>
        </is>
      </c>
      <c r="O834" s="3" t="inlineStr">
        <is>
          <t>CLIPSOMAC</t>
        </is>
      </c>
      <c r="P834" s="3" t="inlineStr">
        <is>
          <t>F14</t>
        </is>
      </c>
      <c t="str" r="Q834" s="6">
        <f>A834&amp;"|"&amp;C834&amp;"|"&amp;D834&amp;"|"&amp;G834</f>
        <v>CLIPSOMAC, Алжир|Шкала|Оборудование|1</v>
      </c>
      <c t="str" r="R834" s="6">
        <f>A834&amp;"|"&amp;C834&amp;"|"&amp;D834&amp;"|"&amp;J834</f>
        <v>CLIPSOMAC, Алжир|Шкала|Оборудование|2</v>
      </c>
      <c t="str" r="S834" s="6">
        <f>A834&amp;"|"&amp;C834&amp;"|"&amp;D834&amp;"|"&amp;G834&amp;"|"&amp;J834</f>
        <v>CLIPSOMAC, Алжир|Шкала|Оборудование|1|2</v>
      </c>
      <c t="str" r="T834" s="6">
        <f>A834&amp;"|"&amp;C834&amp;"|"&amp;G834</f>
        <v>CLIPSOMAC, Алжир|Шкала|1</v>
      </c>
      <c t="str" r="U834" s="6">
        <f>IF(H834="да",A834&amp;"|"&amp;C834&amp;"|"&amp;D834&amp;"|"&amp;J834,"")</f>
        <v/>
      </c>
      <c t="str" r="V834" s="6">
        <f>IF(C834="План",A834&amp;"|"&amp;J834,"")</f>
        <v/>
      </c>
    </row>
    <row r="835">
      <c r="A835" s="3" t="inlineStr">
        <is>
          <t>CLIPSOMAC, Алжир</t>
        </is>
      </c>
      <c r="B835" s="3" t="inlineStr">
        <is>
          <t>Заруб</t>
        </is>
      </c>
      <c r="C835" s="3" t="inlineStr">
        <is>
          <t>Шкала</t>
        </is>
      </c>
      <c r="D835" s="3" t="inlineStr">
        <is>
          <t>Оборудование</t>
        </is>
      </c>
      <c r="E835" s="3" t="inlineStr">
        <is>
          <t>Оборудование — за полугодие</t>
        </is>
      </c>
      <c r="F835" s="3" t="inlineStr">
        <is>
          <t>Базовое вознаграждение за Дилерский договор</t>
        </is>
      </c>
      <c r="G835" s="4" t="n">
        <v>1</v>
      </c>
      <c r="H835" s="4" t="n"/>
      <c r="I835" s="3" t="inlineStr">
        <is>
          <t>115-149</t>
        </is>
      </c>
      <c r="J835" s="4" t="n">
        <v>3</v>
      </c>
      <c r="K835" s="4" t="n"/>
      <c r="L835" s="4" t="n"/>
      <c r="M835" s="8" t="n">
        <v>0.06</v>
      </c>
      <c r="N835" s="4" t="inlineStr">
        <is>
          <t>%</t>
        </is>
      </c>
      <c r="O835" s="3" t="inlineStr">
        <is>
          <t>CLIPSOMAC</t>
        </is>
      </c>
      <c r="P835" s="3" t="inlineStr">
        <is>
          <t>G14</t>
        </is>
      </c>
      <c t="str" r="Q835" s="6">
        <f>A835&amp;"|"&amp;C835&amp;"|"&amp;D835&amp;"|"&amp;G835</f>
        <v>CLIPSOMAC, Алжир|Шкала|Оборудование|1</v>
      </c>
      <c t="str" r="R835" s="6">
        <f>A835&amp;"|"&amp;C835&amp;"|"&amp;D835&amp;"|"&amp;J835</f>
        <v>CLIPSOMAC, Алжир|Шкала|Оборудование|3</v>
      </c>
      <c t="str" r="S835" s="6">
        <f>A835&amp;"|"&amp;C835&amp;"|"&amp;D835&amp;"|"&amp;G835&amp;"|"&amp;J835</f>
        <v>CLIPSOMAC, Алжир|Шкала|Оборудование|1|3</v>
      </c>
      <c t="str" r="T835" s="6">
        <f>A835&amp;"|"&amp;C835&amp;"|"&amp;G835</f>
        <v>CLIPSOMAC, Алжир|Шкала|1</v>
      </c>
      <c t="str" r="U835" s="6">
        <f>IF(H835="да",A835&amp;"|"&amp;C835&amp;"|"&amp;D835&amp;"|"&amp;J835,"")</f>
        <v/>
      </c>
      <c t="str" r="V835" s="6">
        <f>IF(C835="План",A835&amp;"|"&amp;J835,"")</f>
        <v/>
      </c>
    </row>
    <row r="836">
      <c r="A836" s="3" t="inlineStr">
        <is>
          <t>CLIPSOMAC, Алжир</t>
        </is>
      </c>
      <c r="B836" s="3" t="inlineStr">
        <is>
          <t>Заруб</t>
        </is>
      </c>
      <c r="C836" s="3" t="inlineStr">
        <is>
          <t>Шкала</t>
        </is>
      </c>
      <c r="D836" s="3" t="inlineStr">
        <is>
          <t>Оборудование</t>
        </is>
      </c>
      <c r="E836" s="3" t="inlineStr">
        <is>
          <t>Оборудование — за полугодие</t>
        </is>
      </c>
      <c r="F836" s="3" t="inlineStr">
        <is>
          <t>Базовое вознаграждение за Дилерский договор</t>
        </is>
      </c>
      <c r="G836" s="4" t="n">
        <v>1</v>
      </c>
      <c r="H836" s="4" t="n"/>
      <c r="I836" s="3" t="inlineStr">
        <is>
          <t>150-189</t>
        </is>
      </c>
      <c r="J836" s="4" t="n">
        <v>4</v>
      </c>
      <c r="K836" s="4" t="n"/>
      <c r="L836" s="4" t="n"/>
      <c r="M836" s="8" t="n">
        <v>0.06</v>
      </c>
      <c r="N836" s="4" t="inlineStr">
        <is>
          <t>%</t>
        </is>
      </c>
      <c r="O836" s="3" t="inlineStr">
        <is>
          <t>CLIPSOMAC</t>
        </is>
      </c>
      <c r="P836" s="3" t="inlineStr">
        <is>
          <t>H14</t>
        </is>
      </c>
      <c t="str" r="Q836" s="6">
        <f>A836&amp;"|"&amp;C836&amp;"|"&amp;D836&amp;"|"&amp;G836</f>
        <v>CLIPSOMAC, Алжир|Шкала|Оборудование|1</v>
      </c>
      <c t="str" r="R836" s="6">
        <f>A836&amp;"|"&amp;C836&amp;"|"&amp;D836&amp;"|"&amp;J836</f>
        <v>CLIPSOMAC, Алжир|Шкала|Оборудование|4</v>
      </c>
      <c t="str" r="S836" s="6">
        <f>A836&amp;"|"&amp;C836&amp;"|"&amp;D836&amp;"|"&amp;G836&amp;"|"&amp;J836</f>
        <v>CLIPSOMAC, Алжир|Шкала|Оборудование|1|4</v>
      </c>
      <c t="str" r="T836" s="6">
        <f>A836&amp;"|"&amp;C836&amp;"|"&amp;G836</f>
        <v>CLIPSOMAC, Алжир|Шкала|1</v>
      </c>
      <c t="str" r="U836" s="6">
        <f>IF(H836="да",A836&amp;"|"&amp;C836&amp;"|"&amp;D836&amp;"|"&amp;J836,"")</f>
        <v/>
      </c>
      <c t="str" r="V836" s="6">
        <f>IF(C836="План",A836&amp;"|"&amp;J836,"")</f>
        <v/>
      </c>
    </row>
    <row r="837">
      <c r="A837" s="3" t="inlineStr">
        <is>
          <t>CLIPSOMAC, Алжир</t>
        </is>
      </c>
      <c r="B837" s="3" t="inlineStr">
        <is>
          <t>Заруб</t>
        </is>
      </c>
      <c r="C837" s="3" t="inlineStr">
        <is>
          <t>Шкала</t>
        </is>
      </c>
      <c r="D837" s="3" t="inlineStr">
        <is>
          <t>Оборудование</t>
        </is>
      </c>
      <c r="E837" s="3" t="inlineStr">
        <is>
          <t>Оборудование — за полугодие</t>
        </is>
      </c>
      <c r="F837" s="3" t="inlineStr">
        <is>
          <t>Базовое вознаграждение за Дилерский договор</t>
        </is>
      </c>
      <c r="G837" s="4" t="n">
        <v>1</v>
      </c>
      <c r="H837" s="4" t="n"/>
      <c r="I837" s="3" t="inlineStr">
        <is>
          <t>190-224</t>
        </is>
      </c>
      <c r="J837" s="4" t="n">
        <v>5</v>
      </c>
      <c r="K837" s="4" t="n"/>
      <c r="L837" s="4" t="n"/>
      <c r="M837" s="8" t="n">
        <v>0.06</v>
      </c>
      <c r="N837" s="4" t="inlineStr">
        <is>
          <t>%</t>
        </is>
      </c>
      <c r="O837" s="3" t="inlineStr">
        <is>
          <t>CLIPSOMAC</t>
        </is>
      </c>
      <c r="P837" s="3" t="inlineStr">
        <is>
          <t>I14</t>
        </is>
      </c>
      <c t="str" r="Q837" s="6">
        <f>A837&amp;"|"&amp;C837&amp;"|"&amp;D837&amp;"|"&amp;G837</f>
        <v>CLIPSOMAC, Алжир|Шкала|Оборудование|1</v>
      </c>
      <c t="str" r="R837" s="6">
        <f>A837&amp;"|"&amp;C837&amp;"|"&amp;D837&amp;"|"&amp;J837</f>
        <v>CLIPSOMAC, Алжир|Шкала|Оборудование|5</v>
      </c>
      <c t="str" r="S837" s="6">
        <f>A837&amp;"|"&amp;C837&amp;"|"&amp;D837&amp;"|"&amp;G837&amp;"|"&amp;J837</f>
        <v>CLIPSOMAC, Алжир|Шкала|Оборудование|1|5</v>
      </c>
      <c t="str" r="T837" s="6">
        <f>A837&amp;"|"&amp;C837&amp;"|"&amp;G837</f>
        <v>CLIPSOMAC, Алжир|Шкала|1</v>
      </c>
      <c t="str" r="U837" s="6">
        <f>IF(H837="да",A837&amp;"|"&amp;C837&amp;"|"&amp;D837&amp;"|"&amp;J837,"")</f>
        <v/>
      </c>
      <c t="str" r="V837" s="6">
        <f>IF(C837="План",A837&amp;"|"&amp;J837,"")</f>
        <v/>
      </c>
    </row>
    <row r="838">
      <c r="A838" s="3" t="inlineStr">
        <is>
          <t>CLIPSOMAC, Алжир</t>
        </is>
      </c>
      <c r="B838" s="3" t="inlineStr">
        <is>
          <t>Заруб</t>
        </is>
      </c>
      <c r="C838" s="3" t="inlineStr">
        <is>
          <t>Шкала</t>
        </is>
      </c>
      <c r="D838" s="3" t="inlineStr">
        <is>
          <t>Оборудование</t>
        </is>
      </c>
      <c r="E838" s="3" t="inlineStr">
        <is>
          <t>Оборудование — за полугодие</t>
        </is>
      </c>
      <c r="F838" s="3" t="inlineStr">
        <is>
          <t>Базовое вознаграждение за Дилерский договор</t>
        </is>
      </c>
      <c r="G838" s="4" t="n">
        <v>1</v>
      </c>
      <c r="H838" s="4" t="n"/>
      <c r="I838" s="3" t="inlineStr">
        <is>
          <t>225 и более</t>
        </is>
      </c>
      <c r="J838" s="4" t="n">
        <v>6</v>
      </c>
      <c r="K838" s="4" t="n"/>
      <c r="L838" s="4" t="n"/>
      <c r="M838" s="8" t="n">
        <v>0.06</v>
      </c>
      <c r="N838" s="4" t="inlineStr">
        <is>
          <t>%</t>
        </is>
      </c>
      <c r="O838" s="3" t="inlineStr">
        <is>
          <t>CLIPSOMAC</t>
        </is>
      </c>
      <c r="P838" s="3" t="inlineStr">
        <is>
          <t>J14</t>
        </is>
      </c>
      <c t="str" r="Q838" s="6">
        <f>A838&amp;"|"&amp;C838&amp;"|"&amp;D838&amp;"|"&amp;G838</f>
        <v>CLIPSOMAC, Алжир|Шкала|Оборудование|1</v>
      </c>
      <c t="str" r="R838" s="6">
        <f>A838&amp;"|"&amp;C838&amp;"|"&amp;D838&amp;"|"&amp;J838</f>
        <v>CLIPSOMAC, Алжир|Шкала|Оборудование|6</v>
      </c>
      <c t="str" r="S838" s="6">
        <f>A838&amp;"|"&amp;C838&amp;"|"&amp;D838&amp;"|"&amp;G838&amp;"|"&amp;J838</f>
        <v>CLIPSOMAC, Алжир|Шкала|Оборудование|1|6</v>
      </c>
      <c t="str" r="T838" s="6">
        <f>A838&amp;"|"&amp;C838&amp;"|"&amp;G838</f>
        <v>CLIPSOMAC, Алжир|Шкала|1</v>
      </c>
      <c t="str" r="U838" s="6">
        <f>IF(H838="да",A838&amp;"|"&amp;C838&amp;"|"&amp;D838&amp;"|"&amp;J838,"")</f>
        <v/>
      </c>
      <c t="str" r="V838" s="6">
        <f>IF(C838="План",A838&amp;"|"&amp;J838,"")</f>
        <v/>
      </c>
    </row>
    <row r="839">
      <c r="A839" s="3" t="inlineStr">
        <is>
          <t>CLIPSOMAC, Алжир</t>
        </is>
      </c>
      <c r="B839" s="3" t="inlineStr">
        <is>
          <t>Заруб</t>
        </is>
      </c>
      <c r="C839" s="3" t="inlineStr">
        <is>
          <t>Шкала</t>
        </is>
      </c>
      <c r="D839" s="3" t="inlineStr">
        <is>
          <t>Оборудование</t>
        </is>
      </c>
      <c r="E839" s="3" t="inlineStr">
        <is>
          <t>Оборудование — за полугодие</t>
        </is>
      </c>
      <c r="F839" s="3" t="inlineStr">
        <is>
          <t>Наличие сервисного центра и гарантийное обслуживание</t>
        </is>
      </c>
      <c r="G839" s="4" t="n">
        <v>2</v>
      </c>
      <c r="H839" s="4" t="n"/>
      <c r="I839" s="3" t="inlineStr">
        <is>
          <t>до 75</t>
        </is>
      </c>
      <c r="J839" s="4" t="n">
        <v>1</v>
      </c>
      <c r="K839" s="4" t="n"/>
      <c r="L839" s="4" t="n"/>
      <c r="M839" s="8" t="n">
        <v>0.01</v>
      </c>
      <c r="N839" s="4" t="inlineStr">
        <is>
          <t>%</t>
        </is>
      </c>
      <c r="O839" s="3" t="inlineStr">
        <is>
          <t>CLIPSOMAC</t>
        </is>
      </c>
      <c r="P839" s="3" t="inlineStr">
        <is>
          <t>E15</t>
        </is>
      </c>
      <c t="str" r="Q839" s="6">
        <f>A839&amp;"|"&amp;C839&amp;"|"&amp;D839&amp;"|"&amp;G839</f>
        <v>CLIPSOMAC, Алжир|Шкала|Оборудование|2</v>
      </c>
      <c t="str" r="R839" s="6">
        <f>A839&amp;"|"&amp;C839&amp;"|"&amp;D839&amp;"|"&amp;J839</f>
        <v>CLIPSOMAC, Алжир|Шкала|Оборудование|1</v>
      </c>
      <c t="str" r="S839" s="6">
        <f>A839&amp;"|"&amp;C839&amp;"|"&amp;D839&amp;"|"&amp;G839&amp;"|"&amp;J839</f>
        <v>CLIPSOMAC, Алжир|Шкала|Оборудование|2|1</v>
      </c>
      <c t="str" r="T839" s="6">
        <f>A839&amp;"|"&amp;C839&amp;"|"&amp;G839</f>
        <v>CLIPSOMAC, Алжир|Шкала|2</v>
      </c>
      <c t="str" r="U839" s="6">
        <f>IF(H839="да",A839&amp;"|"&amp;C839&amp;"|"&amp;D839&amp;"|"&amp;J839,"")</f>
        <v/>
      </c>
      <c t="str" r="V839" s="6">
        <f>IF(C839="План",A839&amp;"|"&amp;J839,"")</f>
        <v/>
      </c>
    </row>
    <row r="840">
      <c r="A840" s="3" t="inlineStr">
        <is>
          <t>CLIPSOMAC, Алжир</t>
        </is>
      </c>
      <c r="B840" s="3" t="inlineStr">
        <is>
          <t>Заруб</t>
        </is>
      </c>
      <c r="C840" s="3" t="inlineStr">
        <is>
          <t>Шкала</t>
        </is>
      </c>
      <c r="D840" s="3" t="inlineStr">
        <is>
          <t>Оборудование</t>
        </is>
      </c>
      <c r="E840" s="3" t="inlineStr">
        <is>
          <t>Оборудование — за полугодие</t>
        </is>
      </c>
      <c r="F840" s="3" t="inlineStr">
        <is>
          <t>Наличие сервисного центра и гарантийное обслуживание</t>
        </is>
      </c>
      <c r="G840" s="4" t="n">
        <v>2</v>
      </c>
      <c r="H840" s="4" t="n"/>
      <c r="I840" s="3" t="inlineStr">
        <is>
          <t>75-114</t>
        </is>
      </c>
      <c r="J840" s="4" t="n">
        <v>2</v>
      </c>
      <c r="K840" s="4" t="n"/>
      <c r="L840" s="4" t="n"/>
      <c r="M840" s="8" t="n">
        <v>0.01</v>
      </c>
      <c r="N840" s="4" t="inlineStr">
        <is>
          <t>%</t>
        </is>
      </c>
      <c r="O840" s="3" t="inlineStr">
        <is>
          <t>CLIPSOMAC</t>
        </is>
      </c>
      <c r="P840" s="3" t="inlineStr">
        <is>
          <t>F15</t>
        </is>
      </c>
      <c t="str" r="Q840" s="6">
        <f>A840&amp;"|"&amp;C840&amp;"|"&amp;D840&amp;"|"&amp;G840</f>
        <v>CLIPSOMAC, Алжир|Шкала|Оборудование|2</v>
      </c>
      <c t="str" r="R840" s="6">
        <f>A840&amp;"|"&amp;C840&amp;"|"&amp;D840&amp;"|"&amp;J840</f>
        <v>CLIPSOMAC, Алжир|Шкала|Оборудование|2</v>
      </c>
      <c t="str" r="S840" s="6">
        <f>A840&amp;"|"&amp;C840&amp;"|"&amp;D840&amp;"|"&amp;G840&amp;"|"&amp;J840</f>
        <v>CLIPSOMAC, Алжир|Шкала|Оборудование|2|2</v>
      </c>
      <c t="str" r="T840" s="6">
        <f>A840&amp;"|"&amp;C840&amp;"|"&amp;G840</f>
        <v>CLIPSOMAC, Алжир|Шкала|2</v>
      </c>
      <c t="str" r="U840" s="6">
        <f>IF(H840="да",A840&amp;"|"&amp;C840&amp;"|"&amp;D840&amp;"|"&amp;J840,"")</f>
        <v/>
      </c>
      <c t="str" r="V840" s="6">
        <f>IF(C840="План",A840&amp;"|"&amp;J840,"")</f>
        <v/>
      </c>
    </row>
    <row r="841">
      <c r="A841" s="3" t="inlineStr">
        <is>
          <t>CLIPSOMAC, Алжир</t>
        </is>
      </c>
      <c r="B841" s="3" t="inlineStr">
        <is>
          <t>Заруб</t>
        </is>
      </c>
      <c r="C841" s="3" t="inlineStr">
        <is>
          <t>Шкала</t>
        </is>
      </c>
      <c r="D841" s="3" t="inlineStr">
        <is>
          <t>Оборудование</t>
        </is>
      </c>
      <c r="E841" s="3" t="inlineStr">
        <is>
          <t>Оборудование — за полугодие</t>
        </is>
      </c>
      <c r="F841" s="3" t="inlineStr">
        <is>
          <t>Наличие сервисного центра и гарантийное обслуживание</t>
        </is>
      </c>
      <c r="G841" s="4" t="n">
        <v>2</v>
      </c>
      <c r="H841" s="4" t="n"/>
      <c r="I841" s="3" t="inlineStr">
        <is>
          <t>115-149</t>
        </is>
      </c>
      <c r="J841" s="4" t="n">
        <v>3</v>
      </c>
      <c r="K841" s="4" t="n"/>
      <c r="L841" s="4" t="n"/>
      <c r="M841" s="8" t="n">
        <v>0.01</v>
      </c>
      <c r="N841" s="4" t="inlineStr">
        <is>
          <t>%</t>
        </is>
      </c>
      <c r="O841" s="3" t="inlineStr">
        <is>
          <t>CLIPSOMAC</t>
        </is>
      </c>
      <c r="P841" s="3" t="inlineStr">
        <is>
          <t>G15</t>
        </is>
      </c>
      <c t="str" r="Q841" s="6">
        <f>A841&amp;"|"&amp;C841&amp;"|"&amp;D841&amp;"|"&amp;G841</f>
        <v>CLIPSOMAC, Алжир|Шкала|Оборудование|2</v>
      </c>
      <c t="str" r="R841" s="6">
        <f>A841&amp;"|"&amp;C841&amp;"|"&amp;D841&amp;"|"&amp;J841</f>
        <v>CLIPSOMAC, Алжир|Шкала|Оборудование|3</v>
      </c>
      <c t="str" r="S841" s="6">
        <f>A841&amp;"|"&amp;C841&amp;"|"&amp;D841&amp;"|"&amp;G841&amp;"|"&amp;J841</f>
        <v>CLIPSOMAC, Алжир|Шкала|Оборудование|2|3</v>
      </c>
      <c t="str" r="T841" s="6">
        <f>A841&amp;"|"&amp;C841&amp;"|"&amp;G841</f>
        <v>CLIPSOMAC, Алжир|Шкала|2</v>
      </c>
      <c t="str" r="U841" s="6">
        <f>IF(H841="да",A841&amp;"|"&amp;C841&amp;"|"&amp;D841&amp;"|"&amp;J841,"")</f>
        <v/>
      </c>
      <c t="str" r="V841" s="6">
        <f>IF(C841="План",A841&amp;"|"&amp;J841,"")</f>
        <v/>
      </c>
    </row>
    <row r="842">
      <c r="A842" s="3" t="inlineStr">
        <is>
          <t>CLIPSOMAC, Алжир</t>
        </is>
      </c>
      <c r="B842" s="3" t="inlineStr">
        <is>
          <t>Заруб</t>
        </is>
      </c>
      <c r="C842" s="3" t="inlineStr">
        <is>
          <t>Шкала</t>
        </is>
      </c>
      <c r="D842" s="3" t="inlineStr">
        <is>
          <t>Оборудование</t>
        </is>
      </c>
      <c r="E842" s="3" t="inlineStr">
        <is>
          <t>Оборудование — за полугодие</t>
        </is>
      </c>
      <c r="F842" s="3" t="inlineStr">
        <is>
          <t>Наличие сервисного центра и гарантийное обслуживание</t>
        </is>
      </c>
      <c r="G842" s="4" t="n">
        <v>2</v>
      </c>
      <c r="H842" s="4" t="n"/>
      <c r="I842" s="3" t="inlineStr">
        <is>
          <t>150-189</t>
        </is>
      </c>
      <c r="J842" s="4" t="n">
        <v>4</v>
      </c>
      <c r="K842" s="4" t="n"/>
      <c r="L842" s="4" t="n"/>
      <c r="M842" s="8" t="n">
        <v>0.01</v>
      </c>
      <c r="N842" s="4" t="inlineStr">
        <is>
          <t>%</t>
        </is>
      </c>
      <c r="O842" s="3" t="inlineStr">
        <is>
          <t>CLIPSOMAC</t>
        </is>
      </c>
      <c r="P842" s="3" t="inlineStr">
        <is>
          <t>H15</t>
        </is>
      </c>
      <c t="str" r="Q842" s="6">
        <f>A842&amp;"|"&amp;C842&amp;"|"&amp;D842&amp;"|"&amp;G842</f>
        <v>CLIPSOMAC, Алжир|Шкала|Оборудование|2</v>
      </c>
      <c t="str" r="R842" s="6">
        <f>A842&amp;"|"&amp;C842&amp;"|"&amp;D842&amp;"|"&amp;J842</f>
        <v>CLIPSOMAC, Алжир|Шкала|Оборудование|4</v>
      </c>
      <c t="str" r="S842" s="6">
        <f>A842&amp;"|"&amp;C842&amp;"|"&amp;D842&amp;"|"&amp;G842&amp;"|"&amp;J842</f>
        <v>CLIPSOMAC, Алжир|Шкала|Оборудование|2|4</v>
      </c>
      <c t="str" r="T842" s="6">
        <f>A842&amp;"|"&amp;C842&amp;"|"&amp;G842</f>
        <v>CLIPSOMAC, Алжир|Шкала|2</v>
      </c>
      <c t="str" r="U842" s="6">
        <f>IF(H842="да",A842&amp;"|"&amp;C842&amp;"|"&amp;D842&amp;"|"&amp;J842,"")</f>
        <v/>
      </c>
      <c t="str" r="V842" s="6">
        <f>IF(C842="План",A842&amp;"|"&amp;J842,"")</f>
        <v/>
      </c>
    </row>
    <row r="843">
      <c r="A843" s="3" t="inlineStr">
        <is>
          <t>CLIPSOMAC, Алжир</t>
        </is>
      </c>
      <c r="B843" s="3" t="inlineStr">
        <is>
          <t>Заруб</t>
        </is>
      </c>
      <c r="C843" s="3" t="inlineStr">
        <is>
          <t>Шкала</t>
        </is>
      </c>
      <c r="D843" s="3" t="inlineStr">
        <is>
          <t>Оборудование</t>
        </is>
      </c>
      <c r="E843" s="3" t="inlineStr">
        <is>
          <t>Оборудование — за полугодие</t>
        </is>
      </c>
      <c r="F843" s="3" t="inlineStr">
        <is>
          <t>Наличие сервисного центра и гарантийное обслуживание</t>
        </is>
      </c>
      <c r="G843" s="4" t="n">
        <v>2</v>
      </c>
      <c r="H843" s="4" t="n"/>
      <c r="I843" s="3" t="inlineStr">
        <is>
          <t>190-224</t>
        </is>
      </c>
      <c r="J843" s="4" t="n">
        <v>5</v>
      </c>
      <c r="K843" s="4" t="n"/>
      <c r="L843" s="4" t="n"/>
      <c r="M843" s="8" t="n">
        <v>0.01</v>
      </c>
      <c r="N843" s="4" t="inlineStr">
        <is>
          <t>%</t>
        </is>
      </c>
      <c r="O843" s="3" t="inlineStr">
        <is>
          <t>CLIPSOMAC</t>
        </is>
      </c>
      <c r="P843" s="3" t="inlineStr">
        <is>
          <t>I15</t>
        </is>
      </c>
      <c t="str" r="Q843" s="6">
        <f>A843&amp;"|"&amp;C843&amp;"|"&amp;D843&amp;"|"&amp;G843</f>
        <v>CLIPSOMAC, Алжир|Шкала|Оборудование|2</v>
      </c>
      <c t="str" r="R843" s="6">
        <f>A843&amp;"|"&amp;C843&amp;"|"&amp;D843&amp;"|"&amp;J843</f>
        <v>CLIPSOMAC, Алжир|Шкала|Оборудование|5</v>
      </c>
      <c t="str" r="S843" s="6">
        <f>A843&amp;"|"&amp;C843&amp;"|"&amp;D843&amp;"|"&amp;G843&amp;"|"&amp;J843</f>
        <v>CLIPSOMAC, Алжир|Шкала|Оборудование|2|5</v>
      </c>
      <c t="str" r="T843" s="6">
        <f>A843&amp;"|"&amp;C843&amp;"|"&amp;G843</f>
        <v>CLIPSOMAC, Алжир|Шкала|2</v>
      </c>
      <c t="str" r="U843" s="6">
        <f>IF(H843="да",A843&amp;"|"&amp;C843&amp;"|"&amp;D843&amp;"|"&amp;J843,"")</f>
        <v/>
      </c>
      <c t="str" r="V843" s="6">
        <f>IF(C843="План",A843&amp;"|"&amp;J843,"")</f>
        <v/>
      </c>
    </row>
    <row r="844">
      <c r="A844" s="3" t="inlineStr">
        <is>
          <t>CLIPSOMAC, Алжир</t>
        </is>
      </c>
      <c r="B844" s="3" t="inlineStr">
        <is>
          <t>Заруб</t>
        </is>
      </c>
      <c r="C844" s="3" t="inlineStr">
        <is>
          <t>Шкала</t>
        </is>
      </c>
      <c r="D844" s="3" t="inlineStr">
        <is>
          <t>Оборудование</t>
        </is>
      </c>
      <c r="E844" s="3" t="inlineStr">
        <is>
          <t>Оборудование — за полугодие</t>
        </is>
      </c>
      <c r="F844" s="3" t="inlineStr">
        <is>
          <t>Наличие сервисного центра и гарантийное обслуживание</t>
        </is>
      </c>
      <c r="G844" s="4" t="n">
        <v>2</v>
      </c>
      <c r="H844" s="4" t="n"/>
      <c r="I844" s="3" t="inlineStr">
        <is>
          <t>225 и более</t>
        </is>
      </c>
      <c r="J844" s="4" t="n">
        <v>6</v>
      </c>
      <c r="K844" s="4" t="n"/>
      <c r="L844" s="4" t="n"/>
      <c r="M844" s="8" t="n">
        <v>0.01</v>
      </c>
      <c r="N844" s="4" t="inlineStr">
        <is>
          <t>%</t>
        </is>
      </c>
      <c r="O844" s="3" t="inlineStr">
        <is>
          <t>CLIPSOMAC</t>
        </is>
      </c>
      <c r="P844" s="3" t="inlineStr">
        <is>
          <t>J15</t>
        </is>
      </c>
      <c t="str" r="Q844" s="6">
        <f>A844&amp;"|"&amp;C844&amp;"|"&amp;D844&amp;"|"&amp;G844</f>
        <v>CLIPSOMAC, Алжир|Шкала|Оборудование|2</v>
      </c>
      <c t="str" r="R844" s="6">
        <f>A844&amp;"|"&amp;C844&amp;"|"&amp;D844&amp;"|"&amp;J844</f>
        <v>CLIPSOMAC, Алжир|Шкала|Оборудование|6</v>
      </c>
      <c t="str" r="S844" s="6">
        <f>A844&amp;"|"&amp;C844&amp;"|"&amp;D844&amp;"|"&amp;G844&amp;"|"&amp;J844</f>
        <v>CLIPSOMAC, Алжир|Шкала|Оборудование|2|6</v>
      </c>
      <c t="str" r="T844" s="6">
        <f>A844&amp;"|"&amp;C844&amp;"|"&amp;G844</f>
        <v>CLIPSOMAC, Алжир|Шкала|2</v>
      </c>
      <c t="str" r="U844" s="6">
        <f>IF(H844="да",A844&amp;"|"&amp;C844&amp;"|"&amp;D844&amp;"|"&amp;J844,"")</f>
        <v/>
      </c>
      <c t="str" r="V844" s="6">
        <f>IF(C844="План",A844&amp;"|"&amp;J844,"")</f>
        <v/>
      </c>
    </row>
    <row r="845">
      <c r="A845" s="3" t="inlineStr">
        <is>
          <t>CLIPSOMAC, Алжир</t>
        </is>
      </c>
      <c r="B845" s="3" t="inlineStr">
        <is>
          <t>Заруб</t>
        </is>
      </c>
      <c r="C845" s="3" t="inlineStr">
        <is>
          <t>Шкала</t>
        </is>
      </c>
      <c r="D845" s="3" t="inlineStr">
        <is>
          <t>Оборудование</t>
        </is>
      </c>
      <c r="E845" s="3" t="inlineStr">
        <is>
          <t>Оборудование — за полугодие</t>
        </is>
      </c>
      <c r="F845" s="3" t="inlineStr">
        <is>
          <t>Объем закупок МП</t>
        </is>
      </c>
      <c r="G845" s="4" t="n">
        <v>3</v>
      </c>
      <c r="H845" s="4" t="n"/>
      <c r="I845" s="3" t="inlineStr">
        <is>
          <t>до 75</t>
        </is>
      </c>
      <c r="J845" s="4" t="n">
        <v>1</v>
      </c>
      <c r="K845" s="4" t="n"/>
      <c r="L845" s="4" t="n"/>
      <c r="M845" s="8" t="n">
        <v>0</v>
      </c>
      <c r="N845" s="4" t="inlineStr">
        <is>
          <t>%</t>
        </is>
      </c>
      <c r="O845" s="3" t="inlineStr">
        <is>
          <t>CLIPSOMAC</t>
        </is>
      </c>
      <c r="P845" s="3" t="inlineStr">
        <is>
          <t>E16</t>
        </is>
      </c>
      <c t="str" r="Q845" s="6">
        <f>A845&amp;"|"&amp;C845&amp;"|"&amp;D845&amp;"|"&amp;G845</f>
        <v>CLIPSOMAC, Алжир|Шкала|Оборудование|3</v>
      </c>
      <c t="str" r="R845" s="6">
        <f>A845&amp;"|"&amp;C845&amp;"|"&amp;D845&amp;"|"&amp;J845</f>
        <v>CLIPSOMAC, Алжир|Шкала|Оборудование|1</v>
      </c>
      <c t="str" r="S845" s="6">
        <f>A845&amp;"|"&amp;C845&amp;"|"&amp;D845&amp;"|"&amp;G845&amp;"|"&amp;J845</f>
        <v>CLIPSOMAC, Алжир|Шкала|Оборудование|3|1</v>
      </c>
      <c t="str" r="T845" s="6">
        <f>A845&amp;"|"&amp;C845&amp;"|"&amp;G845</f>
        <v>CLIPSOMAC, Алжир|Шкала|3</v>
      </c>
      <c t="str" r="U845" s="6">
        <f>IF(H845="да",A845&amp;"|"&amp;C845&amp;"|"&amp;D845&amp;"|"&amp;J845,"")</f>
        <v/>
      </c>
      <c t="str" r="V845" s="6">
        <f>IF(C845="План",A845&amp;"|"&amp;J845,"")</f>
        <v/>
      </c>
    </row>
    <row r="846">
      <c r="A846" s="3" t="inlineStr">
        <is>
          <t>CLIPSOMAC, Алжир</t>
        </is>
      </c>
      <c r="B846" s="3" t="inlineStr">
        <is>
          <t>Заруб</t>
        </is>
      </c>
      <c r="C846" s="3" t="inlineStr">
        <is>
          <t>Шкала</t>
        </is>
      </c>
      <c r="D846" s="3" t="inlineStr">
        <is>
          <t>Оборудование</t>
        </is>
      </c>
      <c r="E846" s="3" t="inlineStr">
        <is>
          <t>Оборудование — за полугодие</t>
        </is>
      </c>
      <c r="F846" s="3" t="inlineStr">
        <is>
          <t>Объем закупок МП</t>
        </is>
      </c>
      <c r="G846" s="4" t="n">
        <v>3</v>
      </c>
      <c r="H846" s="4" t="n"/>
      <c r="I846" s="3" t="inlineStr">
        <is>
          <t>75-114</t>
        </is>
      </c>
      <c r="J846" s="4" t="n">
        <v>2</v>
      </c>
      <c r="K846" s="4" t="n"/>
      <c r="L846" s="4" t="n"/>
      <c r="M846" s="8" t="n">
        <v>0.09</v>
      </c>
      <c r="N846" s="4" t="inlineStr">
        <is>
          <t>%</t>
        </is>
      </c>
      <c r="O846" s="3" t="inlineStr">
        <is>
          <t>CLIPSOMAC</t>
        </is>
      </c>
      <c r="P846" s="3" t="inlineStr">
        <is>
          <t>F16</t>
        </is>
      </c>
      <c t="str" r="Q846" s="6">
        <f>A846&amp;"|"&amp;C846&amp;"|"&amp;D846&amp;"|"&amp;G846</f>
        <v>CLIPSOMAC, Алжир|Шкала|Оборудование|3</v>
      </c>
      <c t="str" r="R846" s="6">
        <f>A846&amp;"|"&amp;C846&amp;"|"&amp;D846&amp;"|"&amp;J846</f>
        <v>CLIPSOMAC, Алжир|Шкала|Оборудование|2</v>
      </c>
      <c t="str" r="S846" s="6">
        <f>A846&amp;"|"&amp;C846&amp;"|"&amp;D846&amp;"|"&amp;G846&amp;"|"&amp;J846</f>
        <v>CLIPSOMAC, Алжир|Шкала|Оборудование|3|2</v>
      </c>
      <c t="str" r="T846" s="6">
        <f>A846&amp;"|"&amp;C846&amp;"|"&amp;G846</f>
        <v>CLIPSOMAC, Алжир|Шкала|3</v>
      </c>
      <c t="str" r="U846" s="6">
        <f>IF(H846="да",A846&amp;"|"&amp;C846&amp;"|"&amp;D846&amp;"|"&amp;J846,"")</f>
        <v/>
      </c>
      <c t="str" r="V846" s="6">
        <f>IF(C846="План",A846&amp;"|"&amp;J846,"")</f>
        <v/>
      </c>
    </row>
    <row r="847">
      <c r="A847" s="3" t="inlineStr">
        <is>
          <t>CLIPSOMAC, Алжир</t>
        </is>
      </c>
      <c r="B847" s="3" t="inlineStr">
        <is>
          <t>Заруб</t>
        </is>
      </c>
      <c r="C847" s="3" t="inlineStr">
        <is>
          <t>Шкала</t>
        </is>
      </c>
      <c r="D847" s="3" t="inlineStr">
        <is>
          <t>Оборудование</t>
        </is>
      </c>
      <c r="E847" s="3" t="inlineStr">
        <is>
          <t>Оборудование — за полугодие</t>
        </is>
      </c>
      <c r="F847" s="3" t="inlineStr">
        <is>
          <t>Объем закупок МП</t>
        </is>
      </c>
      <c r="G847" s="4" t="n">
        <v>3</v>
      </c>
      <c r="H847" s="4" t="n"/>
      <c r="I847" s="3" t="inlineStr">
        <is>
          <t>115-149</t>
        </is>
      </c>
      <c r="J847" s="4" t="n">
        <v>3</v>
      </c>
      <c r="K847" s="4" t="n"/>
      <c r="L847" s="4" t="n"/>
      <c r="M847" s="8" t="n">
        <v>0.1</v>
      </c>
      <c r="N847" s="4" t="inlineStr">
        <is>
          <t>%</t>
        </is>
      </c>
      <c r="O847" s="3" t="inlineStr">
        <is>
          <t>CLIPSOMAC</t>
        </is>
      </c>
      <c r="P847" s="3" t="inlineStr">
        <is>
          <t>G16</t>
        </is>
      </c>
      <c t="str" r="Q847" s="6">
        <f>A847&amp;"|"&amp;C847&amp;"|"&amp;D847&amp;"|"&amp;G847</f>
        <v>CLIPSOMAC, Алжир|Шкала|Оборудование|3</v>
      </c>
      <c t="str" r="R847" s="6">
        <f>A847&amp;"|"&amp;C847&amp;"|"&amp;D847&amp;"|"&amp;J847</f>
        <v>CLIPSOMAC, Алжир|Шкала|Оборудование|3</v>
      </c>
      <c t="str" r="S847" s="6">
        <f>A847&amp;"|"&amp;C847&amp;"|"&amp;D847&amp;"|"&amp;G847&amp;"|"&amp;J847</f>
        <v>CLIPSOMAC, Алжир|Шкала|Оборудование|3|3</v>
      </c>
      <c t="str" r="T847" s="6">
        <f>A847&amp;"|"&amp;C847&amp;"|"&amp;G847</f>
        <v>CLIPSOMAC, Алжир|Шкала|3</v>
      </c>
      <c t="str" r="U847" s="6">
        <f>IF(H847="да",A847&amp;"|"&amp;C847&amp;"|"&amp;D847&amp;"|"&amp;J847,"")</f>
        <v/>
      </c>
      <c t="str" r="V847" s="6">
        <f>IF(C847="План",A847&amp;"|"&amp;J847,"")</f>
        <v/>
      </c>
    </row>
    <row r="848">
      <c r="A848" s="3" t="inlineStr">
        <is>
          <t>CLIPSOMAC, Алжир</t>
        </is>
      </c>
      <c r="B848" s="3" t="inlineStr">
        <is>
          <t>Заруб</t>
        </is>
      </c>
      <c r="C848" s="3" t="inlineStr">
        <is>
          <t>Шкала</t>
        </is>
      </c>
      <c r="D848" s="3" t="inlineStr">
        <is>
          <t>Оборудование</t>
        </is>
      </c>
      <c r="E848" s="3" t="inlineStr">
        <is>
          <t>Оборудование — за полугодие</t>
        </is>
      </c>
      <c r="F848" s="3" t="inlineStr">
        <is>
          <t>Объем закупок МП</t>
        </is>
      </c>
      <c r="G848" s="4" t="n">
        <v>3</v>
      </c>
      <c r="H848" s="4" t="n"/>
      <c r="I848" s="3" t="inlineStr">
        <is>
          <t>150-189</t>
        </is>
      </c>
      <c r="J848" s="4" t="n">
        <v>4</v>
      </c>
      <c r="K848" s="4" t="n"/>
      <c r="L848" s="4" t="n"/>
      <c r="M848" s="8" t="n">
        <v>0.11</v>
      </c>
      <c r="N848" s="4" t="inlineStr">
        <is>
          <t>%</t>
        </is>
      </c>
      <c r="O848" s="3" t="inlineStr">
        <is>
          <t>CLIPSOMAC</t>
        </is>
      </c>
      <c r="P848" s="3" t="inlineStr">
        <is>
          <t>H16</t>
        </is>
      </c>
      <c t="str" r="Q848" s="6">
        <f>A848&amp;"|"&amp;C848&amp;"|"&amp;D848&amp;"|"&amp;G848</f>
        <v>CLIPSOMAC, Алжир|Шкала|Оборудование|3</v>
      </c>
      <c t="str" r="R848" s="6">
        <f>A848&amp;"|"&amp;C848&amp;"|"&amp;D848&amp;"|"&amp;J848</f>
        <v>CLIPSOMAC, Алжир|Шкала|Оборудование|4</v>
      </c>
      <c t="str" r="S848" s="6">
        <f>A848&amp;"|"&amp;C848&amp;"|"&amp;D848&amp;"|"&amp;G848&amp;"|"&amp;J848</f>
        <v>CLIPSOMAC, Алжир|Шкала|Оборудование|3|4</v>
      </c>
      <c t="str" r="T848" s="6">
        <f>A848&amp;"|"&amp;C848&amp;"|"&amp;G848</f>
        <v>CLIPSOMAC, Алжир|Шкала|3</v>
      </c>
      <c t="str" r="U848" s="6">
        <f>IF(H848="да",A848&amp;"|"&amp;C848&amp;"|"&amp;D848&amp;"|"&amp;J848,"")</f>
        <v/>
      </c>
      <c t="str" r="V848" s="6">
        <f>IF(C848="План",A848&amp;"|"&amp;J848,"")</f>
        <v/>
      </c>
    </row>
    <row r="849">
      <c r="A849" s="3" t="inlineStr">
        <is>
          <t>CLIPSOMAC, Алжир</t>
        </is>
      </c>
      <c r="B849" s="3" t="inlineStr">
        <is>
          <t>Заруб</t>
        </is>
      </c>
      <c r="C849" s="3" t="inlineStr">
        <is>
          <t>Шкала</t>
        </is>
      </c>
      <c r="D849" s="3" t="inlineStr">
        <is>
          <t>Оборудование</t>
        </is>
      </c>
      <c r="E849" s="3" t="inlineStr">
        <is>
          <t>Оборудование — за полугодие</t>
        </is>
      </c>
      <c r="F849" s="3" t="inlineStr">
        <is>
          <t>Объем закупок МП</t>
        </is>
      </c>
      <c r="G849" s="4" t="n">
        <v>3</v>
      </c>
      <c r="H849" s="4" t="n"/>
      <c r="I849" s="3" t="inlineStr">
        <is>
          <t>190-224</t>
        </is>
      </c>
      <c r="J849" s="4" t="n">
        <v>5</v>
      </c>
      <c r="K849" s="4" t="n"/>
      <c r="L849" s="4" t="n"/>
      <c r="M849" s="8" t="n">
        <v>0.12</v>
      </c>
      <c r="N849" s="4" t="inlineStr">
        <is>
          <t>%</t>
        </is>
      </c>
      <c r="O849" s="3" t="inlineStr">
        <is>
          <t>CLIPSOMAC</t>
        </is>
      </c>
      <c r="P849" s="3" t="inlineStr">
        <is>
          <t>I16</t>
        </is>
      </c>
      <c t="str" r="Q849" s="6">
        <f>A849&amp;"|"&amp;C849&amp;"|"&amp;D849&amp;"|"&amp;G849</f>
        <v>CLIPSOMAC, Алжир|Шкала|Оборудование|3</v>
      </c>
      <c t="str" r="R849" s="6">
        <f>A849&amp;"|"&amp;C849&amp;"|"&amp;D849&amp;"|"&amp;J849</f>
        <v>CLIPSOMAC, Алжир|Шкала|Оборудование|5</v>
      </c>
      <c t="str" r="S849" s="6">
        <f>A849&amp;"|"&amp;C849&amp;"|"&amp;D849&amp;"|"&amp;G849&amp;"|"&amp;J849</f>
        <v>CLIPSOMAC, Алжир|Шкала|Оборудование|3|5</v>
      </c>
      <c t="str" r="T849" s="6">
        <f>A849&amp;"|"&amp;C849&amp;"|"&amp;G849</f>
        <v>CLIPSOMAC, Алжир|Шкала|3</v>
      </c>
      <c t="str" r="U849" s="6">
        <f>IF(H849="да",A849&amp;"|"&amp;C849&amp;"|"&amp;D849&amp;"|"&amp;J849,"")</f>
        <v/>
      </c>
      <c t="str" r="V849" s="6">
        <f>IF(C849="План",A849&amp;"|"&amp;J849,"")</f>
        <v/>
      </c>
    </row>
    <row r="850">
      <c r="A850" s="3" t="inlineStr">
        <is>
          <t>CLIPSOMAC, Алжир</t>
        </is>
      </c>
      <c r="B850" s="3" t="inlineStr">
        <is>
          <t>Заруб</t>
        </is>
      </c>
      <c r="C850" s="3" t="inlineStr">
        <is>
          <t>Шкала</t>
        </is>
      </c>
      <c r="D850" s="3" t="inlineStr">
        <is>
          <t>Оборудование</t>
        </is>
      </c>
      <c r="E850" s="3" t="inlineStr">
        <is>
          <t>Оборудование — за полугодие</t>
        </is>
      </c>
      <c r="F850" s="3" t="inlineStr">
        <is>
          <t>Объем закупок МП</t>
        </is>
      </c>
      <c r="G850" s="4" t="n">
        <v>3</v>
      </c>
      <c r="H850" s="4" t="n"/>
      <c r="I850" s="3" t="inlineStr">
        <is>
          <t>225 и более</t>
        </is>
      </c>
      <c r="J850" s="4" t="n">
        <v>6</v>
      </c>
      <c r="K850" s="4" t="n"/>
      <c r="L850" s="4" t="n"/>
      <c r="M850" s="8" t="n">
        <v>0.13</v>
      </c>
      <c r="N850" s="4" t="inlineStr">
        <is>
          <t>%</t>
        </is>
      </c>
      <c r="O850" s="3" t="inlineStr">
        <is>
          <t>CLIPSOMAC</t>
        </is>
      </c>
      <c r="P850" s="3" t="inlineStr">
        <is>
          <t>J16</t>
        </is>
      </c>
      <c t="str" r="Q850" s="6">
        <f>A850&amp;"|"&amp;C850&amp;"|"&amp;D850&amp;"|"&amp;G850</f>
        <v>CLIPSOMAC, Алжир|Шкала|Оборудование|3</v>
      </c>
      <c t="str" r="R850" s="6">
        <f>A850&amp;"|"&amp;C850&amp;"|"&amp;D850&amp;"|"&amp;J850</f>
        <v>CLIPSOMAC, Алжир|Шкала|Оборудование|6</v>
      </c>
      <c t="str" r="S850" s="6">
        <f>A850&amp;"|"&amp;C850&amp;"|"&amp;D850&amp;"|"&amp;G850&amp;"|"&amp;J850</f>
        <v>CLIPSOMAC, Алжир|Шкала|Оборудование|3|6</v>
      </c>
      <c t="str" r="T850" s="6">
        <f>A850&amp;"|"&amp;C850&amp;"|"&amp;G850</f>
        <v>CLIPSOMAC, Алжир|Шкала|3</v>
      </c>
      <c t="str" r="U850" s="6">
        <f>IF(H850="да",A850&amp;"|"&amp;C850&amp;"|"&amp;D850&amp;"|"&amp;J850,"")</f>
        <v/>
      </c>
      <c t="str" r="V850" s="6">
        <f>IF(C850="План",A850&amp;"|"&amp;J850,"")</f>
        <v/>
      </c>
    </row>
    <row r="851">
      <c r="A851" s="3" t="inlineStr">
        <is>
          <t>CLIPSOMAC, Алжир</t>
        </is>
      </c>
      <c r="B851" s="3" t="inlineStr">
        <is>
          <t>Заруб</t>
        </is>
      </c>
      <c r="C851" s="3" t="inlineStr">
        <is>
          <t>Шкала</t>
        </is>
      </c>
      <c r="D851" s="3" t="inlineStr">
        <is>
          <t>Оборудование</t>
        </is>
      </c>
      <c r="E851" s="3" t="inlineStr">
        <is>
          <t>Оборудование — за полугодие</t>
        </is>
      </c>
      <c r="F851" s="3" t="inlineStr">
        <is>
          <t>ИТОГО</t>
        </is>
      </c>
      <c r="G851" s="4" t="n">
        <v>4</v>
      </c>
      <c r="H851" s="4" t="inlineStr">
        <is>
          <t>да</t>
        </is>
      </c>
      <c r="I851" s="3" t="inlineStr">
        <is>
          <t>до 75</t>
        </is>
      </c>
      <c r="J851" s="4" t="n">
        <v>1</v>
      </c>
      <c r="K851" s="4" t="n"/>
      <c r="L851" s="4" t="n"/>
      <c r="M851" s="8" t="n">
        <v>0.14</v>
      </c>
      <c r="N851" s="4" t="inlineStr">
        <is>
          <t>%</t>
        </is>
      </c>
      <c r="O851" s="3" t="inlineStr">
        <is>
          <t>CLIPSOMAC</t>
        </is>
      </c>
      <c r="P851" s="3" t="inlineStr">
        <is>
          <t>E17</t>
        </is>
      </c>
      <c t="str" r="Q851" s="6">
        <f>A851&amp;"|"&amp;C851&amp;"|"&amp;D851&amp;"|"&amp;G851</f>
        <v>CLIPSOMAC, Алжир|Шкала|Оборудование|4</v>
      </c>
      <c t="str" r="R851" s="6">
        <f>A851&amp;"|"&amp;C851&amp;"|"&amp;D851&amp;"|"&amp;J851</f>
        <v>CLIPSOMAC, Алжир|Шкала|Оборудование|1</v>
      </c>
      <c t="str" r="S851" s="6">
        <f>A851&amp;"|"&amp;C851&amp;"|"&amp;D851&amp;"|"&amp;G851&amp;"|"&amp;J851</f>
        <v>CLIPSOMAC, Алжир|Шкала|Оборудование|4|1</v>
      </c>
      <c t="str" r="T851" s="6">
        <f>A851&amp;"|"&amp;C851&amp;"|"&amp;G851</f>
        <v>CLIPSOMAC, Алжир|Шкала|4</v>
      </c>
      <c t="str" r="U851" s="6">
        <f>IF(H851="да",A851&amp;"|"&amp;C851&amp;"|"&amp;D851&amp;"|"&amp;J851,"")</f>
        <v>CLIPSOMAC, Алжир|Шкала|Оборудование|1</v>
      </c>
      <c t="str" r="V851" s="6">
        <f>IF(C851="План",A851&amp;"|"&amp;J851,"")</f>
        <v/>
      </c>
    </row>
    <row r="852">
      <c r="A852" s="3" t="inlineStr">
        <is>
          <t>CLIPSOMAC, Алжир</t>
        </is>
      </c>
      <c r="B852" s="3" t="inlineStr">
        <is>
          <t>Заруб</t>
        </is>
      </c>
      <c r="C852" s="3" t="inlineStr">
        <is>
          <t>Шкала</t>
        </is>
      </c>
      <c r="D852" s="3" t="inlineStr">
        <is>
          <t>Оборудование</t>
        </is>
      </c>
      <c r="E852" s="3" t="inlineStr">
        <is>
          <t>Оборудование — за полугодие</t>
        </is>
      </c>
      <c r="F852" s="3" t="inlineStr">
        <is>
          <t>ИТОГО</t>
        </is>
      </c>
      <c r="G852" s="4" t="n">
        <v>4</v>
      </c>
      <c r="H852" s="4" t="inlineStr">
        <is>
          <t>да</t>
        </is>
      </c>
      <c r="I852" s="3" t="inlineStr">
        <is>
          <t>75-114</t>
        </is>
      </c>
      <c r="J852" s="4" t="n">
        <v>2</v>
      </c>
      <c r="K852" s="4" t="n"/>
      <c r="L852" s="4" t="n"/>
      <c r="M852" s="8" t="n">
        <v>0.16</v>
      </c>
      <c r="N852" s="4" t="inlineStr">
        <is>
          <t>%</t>
        </is>
      </c>
      <c r="O852" s="3" t="inlineStr">
        <is>
          <t>CLIPSOMAC</t>
        </is>
      </c>
      <c r="P852" s="3" t="inlineStr">
        <is>
          <t>F17</t>
        </is>
      </c>
      <c t="str" r="Q852" s="6">
        <f>A852&amp;"|"&amp;C852&amp;"|"&amp;D852&amp;"|"&amp;G852</f>
        <v>CLIPSOMAC, Алжир|Шкала|Оборудование|4</v>
      </c>
      <c t="str" r="R852" s="6">
        <f>A852&amp;"|"&amp;C852&amp;"|"&amp;D852&amp;"|"&amp;J852</f>
        <v>CLIPSOMAC, Алжир|Шкала|Оборудование|2</v>
      </c>
      <c t="str" r="S852" s="6">
        <f>A852&amp;"|"&amp;C852&amp;"|"&amp;D852&amp;"|"&amp;G852&amp;"|"&amp;J852</f>
        <v>CLIPSOMAC, Алжир|Шкала|Оборудование|4|2</v>
      </c>
      <c t="str" r="T852" s="6">
        <f>A852&amp;"|"&amp;C852&amp;"|"&amp;G852</f>
        <v>CLIPSOMAC, Алжир|Шкала|4</v>
      </c>
      <c t="str" r="U852" s="6">
        <f>IF(H852="да",A852&amp;"|"&amp;C852&amp;"|"&amp;D852&amp;"|"&amp;J852,"")</f>
        <v>CLIPSOMAC, Алжир|Шкала|Оборудование|2</v>
      </c>
      <c t="str" r="V852" s="6">
        <f>IF(C852="План",A852&amp;"|"&amp;J852,"")</f>
        <v/>
      </c>
    </row>
    <row r="853">
      <c r="A853" s="3" t="inlineStr">
        <is>
          <t>CLIPSOMAC, Алжир</t>
        </is>
      </c>
      <c r="B853" s="3" t="inlineStr">
        <is>
          <t>Заруб</t>
        </is>
      </c>
      <c r="C853" s="3" t="inlineStr">
        <is>
          <t>Шкала</t>
        </is>
      </c>
      <c r="D853" s="3" t="inlineStr">
        <is>
          <t>Оборудование</t>
        </is>
      </c>
      <c r="E853" s="3" t="inlineStr">
        <is>
          <t>Оборудование — за полугодие</t>
        </is>
      </c>
      <c r="F853" s="3" t="inlineStr">
        <is>
          <t>ИТОГО</t>
        </is>
      </c>
      <c r="G853" s="4" t="n">
        <v>4</v>
      </c>
      <c r="H853" s="4" t="inlineStr">
        <is>
          <t>да</t>
        </is>
      </c>
      <c r="I853" s="3" t="inlineStr">
        <is>
          <t>115-149</t>
        </is>
      </c>
      <c r="J853" s="4" t="n">
        <v>3</v>
      </c>
      <c r="K853" s="4" t="n"/>
      <c r="L853" s="4" t="n"/>
      <c r="M853" s="8" t="n">
        <v>0.17</v>
      </c>
      <c r="N853" s="4" t="inlineStr">
        <is>
          <t>%</t>
        </is>
      </c>
      <c r="O853" s="3" t="inlineStr">
        <is>
          <t>CLIPSOMAC</t>
        </is>
      </c>
      <c r="P853" s="3" t="inlineStr">
        <is>
          <t>G17</t>
        </is>
      </c>
      <c t="str" r="Q853" s="6">
        <f>A853&amp;"|"&amp;C853&amp;"|"&amp;D853&amp;"|"&amp;G853</f>
        <v>CLIPSOMAC, Алжир|Шкала|Оборудование|4</v>
      </c>
      <c t="str" r="R853" s="6">
        <f>A853&amp;"|"&amp;C853&amp;"|"&amp;D853&amp;"|"&amp;J853</f>
        <v>CLIPSOMAC, Алжир|Шкала|Оборудование|3</v>
      </c>
      <c t="str" r="S853" s="6">
        <f>A853&amp;"|"&amp;C853&amp;"|"&amp;D853&amp;"|"&amp;G853&amp;"|"&amp;J853</f>
        <v>CLIPSOMAC, Алжир|Шкала|Оборудование|4|3</v>
      </c>
      <c t="str" r="T853" s="6">
        <f>A853&amp;"|"&amp;C853&amp;"|"&amp;G853</f>
        <v>CLIPSOMAC, Алжир|Шкала|4</v>
      </c>
      <c t="str" r="U853" s="6">
        <f>IF(H853="да",A853&amp;"|"&amp;C853&amp;"|"&amp;D853&amp;"|"&amp;J853,"")</f>
        <v>CLIPSOMAC, Алжир|Шкала|Оборудование|3</v>
      </c>
      <c t="str" r="V853" s="6">
        <f>IF(C853="План",A853&amp;"|"&amp;J853,"")</f>
        <v/>
      </c>
    </row>
    <row r="854">
      <c r="A854" s="3" t="inlineStr">
        <is>
          <t>CLIPSOMAC, Алжир</t>
        </is>
      </c>
      <c r="B854" s="3" t="inlineStr">
        <is>
          <t>Заруб</t>
        </is>
      </c>
      <c r="C854" s="3" t="inlineStr">
        <is>
          <t>Шкала</t>
        </is>
      </c>
      <c r="D854" s="3" t="inlineStr">
        <is>
          <t>Оборудование</t>
        </is>
      </c>
      <c r="E854" s="3" t="inlineStr">
        <is>
          <t>Оборудование — за полугодие</t>
        </is>
      </c>
      <c r="F854" s="3" t="inlineStr">
        <is>
          <t>ИТОГО</t>
        </is>
      </c>
      <c r="G854" s="4" t="n">
        <v>4</v>
      </c>
      <c r="H854" s="4" t="inlineStr">
        <is>
          <t>да</t>
        </is>
      </c>
      <c r="I854" s="3" t="inlineStr">
        <is>
          <t>150-189</t>
        </is>
      </c>
      <c r="J854" s="4" t="n">
        <v>4</v>
      </c>
      <c r="K854" s="4" t="n"/>
      <c r="L854" s="4" t="n"/>
      <c r="M854" s="8" t="n">
        <v>0.18</v>
      </c>
      <c r="N854" s="4" t="inlineStr">
        <is>
          <t>%</t>
        </is>
      </c>
      <c r="O854" s="3" t="inlineStr">
        <is>
          <t>CLIPSOMAC</t>
        </is>
      </c>
      <c r="P854" s="3" t="inlineStr">
        <is>
          <t>H17</t>
        </is>
      </c>
      <c t="str" r="Q854" s="6">
        <f>A854&amp;"|"&amp;C854&amp;"|"&amp;D854&amp;"|"&amp;G854</f>
        <v>CLIPSOMAC, Алжир|Шкала|Оборудование|4</v>
      </c>
      <c t="str" r="R854" s="6">
        <f>A854&amp;"|"&amp;C854&amp;"|"&amp;D854&amp;"|"&amp;J854</f>
        <v>CLIPSOMAC, Алжир|Шкала|Оборудование|4</v>
      </c>
      <c t="str" r="S854" s="6">
        <f>A854&amp;"|"&amp;C854&amp;"|"&amp;D854&amp;"|"&amp;G854&amp;"|"&amp;J854</f>
        <v>CLIPSOMAC, Алжир|Шкала|Оборудование|4|4</v>
      </c>
      <c t="str" r="T854" s="6">
        <f>A854&amp;"|"&amp;C854&amp;"|"&amp;G854</f>
        <v>CLIPSOMAC, Алжир|Шкала|4</v>
      </c>
      <c t="str" r="U854" s="6">
        <f>IF(H854="да",A854&amp;"|"&amp;C854&amp;"|"&amp;D854&amp;"|"&amp;J854,"")</f>
        <v>CLIPSOMAC, Алжир|Шкала|Оборудование|4</v>
      </c>
      <c t="str" r="V854" s="6">
        <f>IF(C854="План",A854&amp;"|"&amp;J854,"")</f>
        <v/>
      </c>
    </row>
    <row r="855">
      <c r="A855" s="3" t="inlineStr">
        <is>
          <t>CLIPSOMAC, Алжир</t>
        </is>
      </c>
      <c r="B855" s="3" t="inlineStr">
        <is>
          <t>Заруб</t>
        </is>
      </c>
      <c r="C855" s="3" t="inlineStr">
        <is>
          <t>Шкала</t>
        </is>
      </c>
      <c r="D855" s="3" t="inlineStr">
        <is>
          <t>Оборудование</t>
        </is>
      </c>
      <c r="E855" s="3" t="inlineStr">
        <is>
          <t>Оборудование — за полугодие</t>
        </is>
      </c>
      <c r="F855" s="3" t="inlineStr">
        <is>
          <t>ИТОГО</t>
        </is>
      </c>
      <c r="G855" s="4" t="n">
        <v>4</v>
      </c>
      <c r="H855" s="4" t="inlineStr">
        <is>
          <t>да</t>
        </is>
      </c>
      <c r="I855" s="3" t="inlineStr">
        <is>
          <t>190-224</t>
        </is>
      </c>
      <c r="J855" s="4" t="n">
        <v>5</v>
      </c>
      <c r="K855" s="4" t="n"/>
      <c r="L855" s="4" t="n"/>
      <c r="M855" s="8" t="n">
        <v>0.19</v>
      </c>
      <c r="N855" s="4" t="inlineStr">
        <is>
          <t>%</t>
        </is>
      </c>
      <c r="O855" s="3" t="inlineStr">
        <is>
          <t>CLIPSOMAC</t>
        </is>
      </c>
      <c r="P855" s="3" t="inlineStr">
        <is>
          <t>I17</t>
        </is>
      </c>
      <c t="str" r="Q855" s="6">
        <f>A855&amp;"|"&amp;C855&amp;"|"&amp;D855&amp;"|"&amp;G855</f>
        <v>CLIPSOMAC, Алжир|Шкала|Оборудование|4</v>
      </c>
      <c t="str" r="R855" s="6">
        <f>A855&amp;"|"&amp;C855&amp;"|"&amp;D855&amp;"|"&amp;J855</f>
        <v>CLIPSOMAC, Алжир|Шкала|Оборудование|5</v>
      </c>
      <c t="str" r="S855" s="6">
        <f>A855&amp;"|"&amp;C855&amp;"|"&amp;D855&amp;"|"&amp;G855&amp;"|"&amp;J855</f>
        <v>CLIPSOMAC, Алжир|Шкала|Оборудование|4|5</v>
      </c>
      <c t="str" r="T855" s="6">
        <f>A855&amp;"|"&amp;C855&amp;"|"&amp;G855</f>
        <v>CLIPSOMAC, Алжир|Шкала|4</v>
      </c>
      <c t="str" r="U855" s="6">
        <f>IF(H855="да",A855&amp;"|"&amp;C855&amp;"|"&amp;D855&amp;"|"&amp;J855,"")</f>
        <v>CLIPSOMAC, Алжир|Шкала|Оборудование|5</v>
      </c>
      <c t="str" r="V855" s="6">
        <f>IF(C855="План",A855&amp;"|"&amp;J855,"")</f>
        <v/>
      </c>
    </row>
    <row r="856">
      <c r="A856" s="3" t="inlineStr">
        <is>
          <t>CLIPSOMAC, Алжир</t>
        </is>
      </c>
      <c r="B856" s="3" t="inlineStr">
        <is>
          <t>Заруб</t>
        </is>
      </c>
      <c r="C856" s="3" t="inlineStr">
        <is>
          <t>Шкала</t>
        </is>
      </c>
      <c r="D856" s="3" t="inlineStr">
        <is>
          <t>Оборудование</t>
        </is>
      </c>
      <c r="E856" s="3" t="inlineStr">
        <is>
          <t>Оборудование — за полугодие</t>
        </is>
      </c>
      <c r="F856" s="3" t="inlineStr">
        <is>
          <t>ИТОГО</t>
        </is>
      </c>
      <c r="G856" s="4" t="n">
        <v>4</v>
      </c>
      <c r="H856" s="4" t="inlineStr">
        <is>
          <t>да</t>
        </is>
      </c>
      <c r="I856" s="3" t="inlineStr">
        <is>
          <t>225 и более</t>
        </is>
      </c>
      <c r="J856" s="4" t="n">
        <v>6</v>
      </c>
      <c r="K856" s="4" t="n"/>
      <c r="L856" s="4" t="n"/>
      <c r="M856" s="8" t="n">
        <v>0.2</v>
      </c>
      <c r="N856" s="4" t="inlineStr">
        <is>
          <t>%</t>
        </is>
      </c>
      <c r="O856" s="3" t="inlineStr">
        <is>
          <t>CLIPSOMAC</t>
        </is>
      </c>
      <c r="P856" s="3" t="inlineStr">
        <is>
          <t>J17</t>
        </is>
      </c>
      <c t="str" r="Q856" s="6">
        <f>A856&amp;"|"&amp;C856&amp;"|"&amp;D856&amp;"|"&amp;G856</f>
        <v>CLIPSOMAC, Алжир|Шкала|Оборудование|4</v>
      </c>
      <c t="str" r="R856" s="6">
        <f>A856&amp;"|"&amp;C856&amp;"|"&amp;D856&amp;"|"&amp;J856</f>
        <v>CLIPSOMAC, Алжир|Шкала|Оборудование|6</v>
      </c>
      <c t="str" r="S856" s="6">
        <f>A856&amp;"|"&amp;C856&amp;"|"&amp;D856&amp;"|"&amp;G856&amp;"|"&amp;J856</f>
        <v>CLIPSOMAC, Алжир|Шкала|Оборудование|4|6</v>
      </c>
      <c t="str" r="T856" s="6">
        <f>A856&amp;"|"&amp;C856&amp;"|"&amp;G856</f>
        <v>CLIPSOMAC, Алжир|Шкала|4</v>
      </c>
      <c t="str" r="U856" s="6">
        <f>IF(H856="да",A856&amp;"|"&amp;C856&amp;"|"&amp;D856&amp;"|"&amp;J856,"")</f>
        <v>CLIPSOMAC, Алжир|Шкала|Оборудование|6</v>
      </c>
      <c t="str" r="V856" s="6">
        <f>IF(C856="План",A856&amp;"|"&amp;J856,"")</f>
        <v/>
      </c>
    </row>
    <row r="857">
      <c r="A857" s="3" t="inlineStr">
        <is>
          <t>CLIPSOMAC, Алжир</t>
        </is>
      </c>
      <c r="B857" s="3" t="inlineStr">
        <is>
          <t>Заруб</t>
        </is>
      </c>
      <c r="C857" s="3" t="inlineStr">
        <is>
          <t>Шкала</t>
        </is>
      </c>
      <c r="D857" s="3" t="inlineStr">
        <is>
          <t>Расходные материалы</t>
        </is>
      </c>
      <c r="E857" s="3" t="inlineStr">
        <is>
          <t>Расходные материалы — за полугодие</t>
        </is>
      </c>
      <c r="F857" s="3" t="inlineStr">
        <is>
          <t>Объем закупок РМ</t>
        </is>
      </c>
      <c r="G857" s="4" t="n">
        <v>1</v>
      </c>
      <c r="H857" s="4" t="n"/>
      <c r="I857" s="3" t="inlineStr">
        <is>
          <t>до 24</t>
        </is>
      </c>
      <c r="J857" s="4" t="n">
        <v>1</v>
      </c>
      <c r="K857" s="4" t="n"/>
      <c r="L857" s="4" t="n"/>
      <c r="M857" s="8" t="n">
        <v>0</v>
      </c>
      <c r="N857" s="4" t="inlineStr">
        <is>
          <t>%</t>
        </is>
      </c>
      <c r="O857" s="3" t="inlineStr">
        <is>
          <t>CLIPSOMAC</t>
        </is>
      </c>
      <c r="P857" s="3" t="inlineStr">
        <is>
          <t>E20</t>
        </is>
      </c>
      <c t="str" r="Q857" s="6">
        <f>A857&amp;"|"&amp;C857&amp;"|"&amp;D857&amp;"|"&amp;G857</f>
        <v>CLIPSOMAC, Алжир|Шкала|Расходные материалы|1</v>
      </c>
      <c t="str" r="R857" s="6">
        <f>A857&amp;"|"&amp;C857&amp;"|"&amp;D857&amp;"|"&amp;J857</f>
        <v>CLIPSOMAC, Алжир|Шкала|Расходные материалы|1</v>
      </c>
      <c t="str" r="S857" s="6">
        <f>A857&amp;"|"&amp;C857&amp;"|"&amp;D857&amp;"|"&amp;G857&amp;"|"&amp;J857</f>
        <v>CLIPSOMAC, Алжир|Шкала|Расходные материалы|1|1</v>
      </c>
      <c t="str" r="T857" s="6">
        <f>A857&amp;"|"&amp;C857&amp;"|"&amp;G857</f>
        <v>CLIPSOMAC, Алжир|Шкала|1</v>
      </c>
      <c t="str" r="U857" s="6">
        <f>IF(H857="да",A857&amp;"|"&amp;C857&amp;"|"&amp;D857&amp;"|"&amp;J857,"")</f>
        <v/>
      </c>
      <c t="str" r="V857" s="6">
        <f>IF(C857="План",A857&amp;"|"&amp;J857,"")</f>
        <v/>
      </c>
    </row>
    <row r="858">
      <c r="A858" s="3" t="inlineStr">
        <is>
          <t>CLIPSOMAC, Алжир</t>
        </is>
      </c>
      <c r="B858" s="3" t="inlineStr">
        <is>
          <t>Заруб</t>
        </is>
      </c>
      <c r="C858" s="3" t="inlineStr">
        <is>
          <t>Шкала</t>
        </is>
      </c>
      <c r="D858" s="3" t="inlineStr">
        <is>
          <t>Расходные материалы</t>
        </is>
      </c>
      <c r="E858" s="3" t="inlineStr">
        <is>
          <t>Расходные материалы — за полугодие</t>
        </is>
      </c>
      <c r="F858" s="3" t="inlineStr">
        <is>
          <t>Объем закупок РМ</t>
        </is>
      </c>
      <c r="G858" s="4" t="n">
        <v>1</v>
      </c>
      <c r="H858" s="4" t="n"/>
      <c r="I858" s="3" t="inlineStr">
        <is>
          <t>25-34</t>
        </is>
      </c>
      <c r="J858" s="4" t="n">
        <v>2</v>
      </c>
      <c r="K858" s="4" t="n"/>
      <c r="L858" s="4" t="n"/>
      <c r="M858" s="8" t="n">
        <v>0.01</v>
      </c>
      <c r="N858" s="4" t="inlineStr">
        <is>
          <t>%</t>
        </is>
      </c>
      <c r="O858" s="3" t="inlineStr">
        <is>
          <t>CLIPSOMAC</t>
        </is>
      </c>
      <c r="P858" s="3" t="inlineStr">
        <is>
          <t>F20</t>
        </is>
      </c>
      <c t="str" r="Q858" s="6">
        <f>A858&amp;"|"&amp;C858&amp;"|"&amp;D858&amp;"|"&amp;G858</f>
        <v>CLIPSOMAC, Алжир|Шкала|Расходные материалы|1</v>
      </c>
      <c t="str" r="R858" s="6">
        <f>A858&amp;"|"&amp;C858&amp;"|"&amp;D858&amp;"|"&amp;J858</f>
        <v>CLIPSOMAC, Алжир|Шкала|Расходные материалы|2</v>
      </c>
      <c t="str" r="S858" s="6">
        <f>A858&amp;"|"&amp;C858&amp;"|"&amp;D858&amp;"|"&amp;G858&amp;"|"&amp;J858</f>
        <v>CLIPSOMAC, Алжир|Шкала|Расходные материалы|1|2</v>
      </c>
      <c t="str" r="T858" s="6">
        <f>A858&amp;"|"&amp;C858&amp;"|"&amp;G858</f>
        <v>CLIPSOMAC, Алжир|Шкала|1</v>
      </c>
      <c t="str" r="U858" s="6">
        <f>IF(H858="да",A858&amp;"|"&amp;C858&amp;"|"&amp;D858&amp;"|"&amp;J858,"")</f>
        <v/>
      </c>
      <c t="str" r="V858" s="6">
        <f>IF(C858="План",A858&amp;"|"&amp;J858,"")</f>
        <v/>
      </c>
    </row>
    <row r="859">
      <c r="A859" s="3" t="inlineStr">
        <is>
          <t>CLIPSOMAC, Алжир</t>
        </is>
      </c>
      <c r="B859" s="3" t="inlineStr">
        <is>
          <t>Заруб</t>
        </is>
      </c>
      <c r="C859" s="3" t="inlineStr">
        <is>
          <t>Шкала</t>
        </is>
      </c>
      <c r="D859" s="3" t="inlineStr">
        <is>
          <t>Расходные материалы</t>
        </is>
      </c>
      <c r="E859" s="3" t="inlineStr">
        <is>
          <t>Расходные материалы — за полугодие</t>
        </is>
      </c>
      <c r="F859" s="3" t="inlineStr">
        <is>
          <t>Объем закупок РМ</t>
        </is>
      </c>
      <c r="G859" s="4" t="n">
        <v>1</v>
      </c>
      <c r="H859" s="4" t="n"/>
      <c r="I859" s="3" t="inlineStr">
        <is>
          <t>35-44</t>
        </is>
      </c>
      <c r="J859" s="4" t="n">
        <v>3</v>
      </c>
      <c r="K859" s="4" t="n"/>
      <c r="L859" s="4" t="n"/>
      <c r="M859" s="8" t="n">
        <v>0.02</v>
      </c>
      <c r="N859" s="4" t="inlineStr">
        <is>
          <t>%</t>
        </is>
      </c>
      <c r="O859" s="3" t="inlineStr">
        <is>
          <t>CLIPSOMAC</t>
        </is>
      </c>
      <c r="P859" s="3" t="inlineStr">
        <is>
          <t>G20</t>
        </is>
      </c>
      <c t="str" r="Q859" s="6">
        <f>A859&amp;"|"&amp;C859&amp;"|"&amp;D859&amp;"|"&amp;G859</f>
        <v>CLIPSOMAC, Алжир|Шкала|Расходные материалы|1</v>
      </c>
      <c t="str" r="R859" s="6">
        <f>A859&amp;"|"&amp;C859&amp;"|"&amp;D859&amp;"|"&amp;J859</f>
        <v>CLIPSOMAC, Алжир|Шкала|Расходные материалы|3</v>
      </c>
      <c t="str" r="S859" s="6">
        <f>A859&amp;"|"&amp;C859&amp;"|"&amp;D859&amp;"|"&amp;G859&amp;"|"&amp;J859</f>
        <v>CLIPSOMAC, Алжир|Шкала|Расходные материалы|1|3</v>
      </c>
      <c t="str" r="T859" s="6">
        <f>A859&amp;"|"&amp;C859&amp;"|"&amp;G859</f>
        <v>CLIPSOMAC, Алжир|Шкала|1</v>
      </c>
      <c t="str" r="U859" s="6">
        <f>IF(H859="да",A859&amp;"|"&amp;C859&amp;"|"&amp;D859&amp;"|"&amp;J859,"")</f>
        <v/>
      </c>
      <c t="str" r="V859" s="6">
        <f>IF(C859="План",A859&amp;"|"&amp;J859,"")</f>
        <v/>
      </c>
    </row>
    <row r="860">
      <c r="A860" s="3" t="inlineStr">
        <is>
          <t>CLIPSOMAC, Алжир</t>
        </is>
      </c>
      <c r="B860" s="3" t="inlineStr">
        <is>
          <t>Заруб</t>
        </is>
      </c>
      <c r="C860" s="3" t="inlineStr">
        <is>
          <t>Шкала</t>
        </is>
      </c>
      <c r="D860" s="3" t="inlineStr">
        <is>
          <t>Расходные материалы</t>
        </is>
      </c>
      <c r="E860" s="3" t="inlineStr">
        <is>
          <t>Расходные материалы — за полугодие</t>
        </is>
      </c>
      <c r="F860" s="3" t="inlineStr">
        <is>
          <t>Объем закупок РМ</t>
        </is>
      </c>
      <c r="G860" s="4" t="n">
        <v>1</v>
      </c>
      <c r="H860" s="4" t="n"/>
      <c r="I860" s="3" t="inlineStr">
        <is>
          <t>45-54</t>
        </is>
      </c>
      <c r="J860" s="4" t="n">
        <v>4</v>
      </c>
      <c r="K860" s="4" t="n"/>
      <c r="L860" s="4" t="n"/>
      <c r="M860" s="8" t="n">
        <v>0.03</v>
      </c>
      <c r="N860" s="4" t="inlineStr">
        <is>
          <t>%</t>
        </is>
      </c>
      <c r="O860" s="3" t="inlineStr">
        <is>
          <t>CLIPSOMAC</t>
        </is>
      </c>
      <c r="P860" s="3" t="inlineStr">
        <is>
          <t>H20</t>
        </is>
      </c>
      <c t="str" r="Q860" s="6">
        <f>A860&amp;"|"&amp;C860&amp;"|"&amp;D860&amp;"|"&amp;G860</f>
        <v>CLIPSOMAC, Алжир|Шкала|Расходные материалы|1</v>
      </c>
      <c t="str" r="R860" s="6">
        <f>A860&amp;"|"&amp;C860&amp;"|"&amp;D860&amp;"|"&amp;J860</f>
        <v>CLIPSOMAC, Алжир|Шкала|Расходные материалы|4</v>
      </c>
      <c t="str" r="S860" s="6">
        <f>A860&amp;"|"&amp;C860&amp;"|"&amp;D860&amp;"|"&amp;G860&amp;"|"&amp;J860</f>
        <v>CLIPSOMAC, Алжир|Шкала|Расходные материалы|1|4</v>
      </c>
      <c t="str" r="T860" s="6">
        <f>A860&amp;"|"&amp;C860&amp;"|"&amp;G860</f>
        <v>CLIPSOMAC, Алжир|Шкала|1</v>
      </c>
      <c t="str" r="U860" s="6">
        <f>IF(H860="да",A860&amp;"|"&amp;C860&amp;"|"&amp;D860&amp;"|"&amp;J860,"")</f>
        <v/>
      </c>
      <c t="str" r="V860" s="6">
        <f>IF(C860="План",A860&amp;"|"&amp;J860,"")</f>
        <v/>
      </c>
    </row>
    <row r="861">
      <c r="A861" s="3" t="inlineStr">
        <is>
          <t>CLIPSOMAC, Алжир</t>
        </is>
      </c>
      <c r="B861" s="3" t="inlineStr">
        <is>
          <t>Заруб</t>
        </is>
      </c>
      <c r="C861" s="3" t="inlineStr">
        <is>
          <t>Шкала</t>
        </is>
      </c>
      <c r="D861" s="3" t="inlineStr">
        <is>
          <t>Расходные материалы</t>
        </is>
      </c>
      <c r="E861" s="3" t="inlineStr">
        <is>
          <t>Расходные материалы — за полугодие</t>
        </is>
      </c>
      <c r="F861" s="3" t="inlineStr">
        <is>
          <t>Объем закупок РМ</t>
        </is>
      </c>
      <c r="G861" s="4" t="n">
        <v>1</v>
      </c>
      <c r="H861" s="4" t="n"/>
      <c r="I861" s="3" t="inlineStr">
        <is>
          <t>55-64</t>
        </is>
      </c>
      <c r="J861" s="4" t="n">
        <v>5</v>
      </c>
      <c r="K861" s="4" t="n"/>
      <c r="L861" s="4" t="n"/>
      <c r="M861" s="8" t="n">
        <v>0.04</v>
      </c>
      <c r="N861" s="4" t="inlineStr">
        <is>
          <t>%</t>
        </is>
      </c>
      <c r="O861" s="3" t="inlineStr">
        <is>
          <t>CLIPSOMAC</t>
        </is>
      </c>
      <c r="P861" s="3" t="inlineStr">
        <is>
          <t>I20</t>
        </is>
      </c>
      <c t="str" r="Q861" s="6">
        <f>A861&amp;"|"&amp;C861&amp;"|"&amp;D861&amp;"|"&amp;G861</f>
        <v>CLIPSOMAC, Алжир|Шкала|Расходные материалы|1</v>
      </c>
      <c t="str" r="R861" s="6">
        <f>A861&amp;"|"&amp;C861&amp;"|"&amp;D861&amp;"|"&amp;J861</f>
        <v>CLIPSOMAC, Алжир|Шкала|Расходные материалы|5</v>
      </c>
      <c t="str" r="S861" s="6">
        <f>A861&amp;"|"&amp;C861&amp;"|"&amp;D861&amp;"|"&amp;G861&amp;"|"&amp;J861</f>
        <v>CLIPSOMAC, Алжир|Шкала|Расходные материалы|1|5</v>
      </c>
      <c t="str" r="T861" s="6">
        <f>A861&amp;"|"&amp;C861&amp;"|"&amp;G861</f>
        <v>CLIPSOMAC, Алжир|Шкала|1</v>
      </c>
      <c t="str" r="U861" s="6">
        <f>IF(H861="да",A861&amp;"|"&amp;C861&amp;"|"&amp;D861&amp;"|"&amp;J861,"")</f>
        <v/>
      </c>
      <c t="str" r="V861" s="6">
        <f>IF(C861="План",A861&amp;"|"&amp;J861,"")</f>
        <v/>
      </c>
    </row>
    <row r="862">
      <c r="A862" s="3" t="inlineStr">
        <is>
          <t>CLIPSOMAC, Алжир</t>
        </is>
      </c>
      <c r="B862" s="3" t="inlineStr">
        <is>
          <t>Заруб</t>
        </is>
      </c>
      <c r="C862" s="3" t="inlineStr">
        <is>
          <t>Шкала</t>
        </is>
      </c>
      <c r="D862" s="3" t="inlineStr">
        <is>
          <t>Расходные материалы</t>
        </is>
      </c>
      <c r="E862" s="3" t="inlineStr">
        <is>
          <t>Расходные материалы — за полугодие</t>
        </is>
      </c>
      <c r="F862" s="3" t="inlineStr">
        <is>
          <t>Объем закупок РМ</t>
        </is>
      </c>
      <c r="G862" s="4" t="n">
        <v>1</v>
      </c>
      <c r="H862" s="4" t="n"/>
      <c r="I862" s="3" t="inlineStr">
        <is>
          <t>65 и более</t>
        </is>
      </c>
      <c r="J862" s="4" t="n">
        <v>6</v>
      </c>
      <c r="K862" s="4" t="n"/>
      <c r="L862" s="4" t="n"/>
      <c r="M862" s="8" t="n">
        <v>0.05</v>
      </c>
      <c r="N862" s="4" t="inlineStr">
        <is>
          <t>%</t>
        </is>
      </c>
      <c r="O862" s="3" t="inlineStr">
        <is>
          <t>CLIPSOMAC</t>
        </is>
      </c>
      <c r="P862" s="3" t="inlineStr">
        <is>
          <t>J20</t>
        </is>
      </c>
      <c t="str" r="Q862" s="6">
        <f>A862&amp;"|"&amp;C862&amp;"|"&amp;D862&amp;"|"&amp;G862</f>
        <v>CLIPSOMAC, Алжир|Шкала|Расходные материалы|1</v>
      </c>
      <c t="str" r="R862" s="6">
        <f>A862&amp;"|"&amp;C862&amp;"|"&amp;D862&amp;"|"&amp;J862</f>
        <v>CLIPSOMAC, Алжир|Шкала|Расходные материалы|6</v>
      </c>
      <c t="str" r="S862" s="6">
        <f>A862&amp;"|"&amp;C862&amp;"|"&amp;D862&amp;"|"&amp;G862&amp;"|"&amp;J862</f>
        <v>CLIPSOMAC, Алжир|Шкала|Расходные материалы|1|6</v>
      </c>
      <c t="str" r="T862" s="6">
        <f>A862&amp;"|"&amp;C862&amp;"|"&amp;G862</f>
        <v>CLIPSOMAC, Алжир|Шкала|1</v>
      </c>
      <c t="str" r="U862" s="6">
        <f>IF(H862="да",A862&amp;"|"&amp;C862&amp;"|"&amp;D862&amp;"|"&amp;J862,"")</f>
        <v/>
      </c>
      <c t="str" r="V862" s="6">
        <f>IF(C862="План",A862&amp;"|"&amp;J862,"")</f>
        <v/>
      </c>
    </row>
    <row r="863">
      <c r="A863" s="3" t="inlineStr">
        <is>
          <t>CLIPSOMAC, Алжир</t>
        </is>
      </c>
      <c r="B863" s="3" t="inlineStr">
        <is>
          <t>Заруб</t>
        </is>
      </c>
      <c r="C863" s="3" t="inlineStr">
        <is>
          <t>Шкала</t>
        </is>
      </c>
      <c r="D863" s="3" t="inlineStr">
        <is>
          <t>Сервис (ЗЧ)</t>
        </is>
      </c>
      <c r="E863" s="3" t="inlineStr">
        <is>
          <t>Сервис (ЗЧ) — абсолютные отгрузки за 6 месяцев</t>
        </is>
      </c>
      <c r="F863" s="3" t="inlineStr">
        <is>
          <t>Скидка по сервису</t>
        </is>
      </c>
      <c r="G863" s="4" t="n">
        <v>1</v>
      </c>
      <c r="H863" s="4" t="inlineStr">
        <is>
          <t>да</t>
        </is>
      </c>
      <c r="I863" s="3" t="inlineStr">
        <is>
          <t>0–1625</t>
        </is>
      </c>
      <c r="J863" s="4" t="n">
        <v>1</v>
      </c>
      <c r="K863" s="4" t="n">
        <v>0</v>
      </c>
      <c r="L863" s="4" t="n">
        <v>1625</v>
      </c>
      <c r="M863" s="8" t="n">
        <v>0.05</v>
      </c>
      <c r="N863" s="4" t="inlineStr">
        <is>
          <t>%</t>
        </is>
      </c>
      <c r="O863" s="3" t="inlineStr">
        <is>
          <t>CLIPSOMAC</t>
        </is>
      </c>
      <c r="P863" s="3" t="inlineStr">
        <is>
          <t>F23</t>
        </is>
      </c>
      <c t="str" r="Q863" s="6">
        <f>A863&amp;"|"&amp;C863&amp;"|"&amp;D863&amp;"|"&amp;G863</f>
        <v>CLIPSOMAC, Алжир|Шкала|Сервис (ЗЧ)|1</v>
      </c>
      <c t="str" r="R863" s="6">
        <f>A863&amp;"|"&amp;C863&amp;"|"&amp;D863&amp;"|"&amp;J863</f>
        <v>CLIPSOMAC, Алжир|Шкала|Сервис (ЗЧ)|1</v>
      </c>
      <c t="str" r="S863" s="6">
        <f>A863&amp;"|"&amp;C863&amp;"|"&amp;D863&amp;"|"&amp;G863&amp;"|"&amp;J863</f>
        <v>CLIPSOMAC, Алжир|Шкала|Сервис (ЗЧ)|1|1</v>
      </c>
      <c t="str" r="T863" s="6">
        <f>A863&amp;"|"&amp;C863&amp;"|"&amp;G863</f>
        <v>CLIPSOMAC, Алжир|Шкала|1</v>
      </c>
      <c t="str" r="U863" s="6">
        <f>IF(H863="да",A863&amp;"|"&amp;C863&amp;"|"&amp;D863&amp;"|"&amp;J863,"")</f>
        <v>CLIPSOMAC, Алжир|Шкала|Сервис (ЗЧ)|1</v>
      </c>
      <c t="str" r="V863" s="6">
        <f>IF(C863="План",A863&amp;"|"&amp;J863,"")</f>
        <v/>
      </c>
    </row>
    <row r="864">
      <c r="A864" s="3" t="inlineStr">
        <is>
          <t>CLIPSOMAC, Алжир</t>
        </is>
      </c>
      <c r="B864" s="3" t="inlineStr">
        <is>
          <t>Заруб</t>
        </is>
      </c>
      <c r="C864" s="3" t="inlineStr">
        <is>
          <t>Шкала</t>
        </is>
      </c>
      <c r="D864" s="3" t="inlineStr">
        <is>
          <t>Сервис (ЗЧ)</t>
        </is>
      </c>
      <c r="E864" s="3" t="inlineStr">
        <is>
          <t>Сервис (ЗЧ) — абсолютные отгрузки за 6 месяцев</t>
        </is>
      </c>
      <c r="F864" s="3" t="inlineStr">
        <is>
          <t>Скидка по сервису</t>
        </is>
      </c>
      <c r="G864" s="4" t="n">
        <v>1</v>
      </c>
      <c r="H864" s="4" t="inlineStr">
        <is>
          <t>да</t>
        </is>
      </c>
      <c r="I864" s="3" t="inlineStr">
        <is>
          <t>1625–4375</t>
        </is>
      </c>
      <c r="J864" s="4" t="n">
        <v>2</v>
      </c>
      <c r="K864" s="4" t="n">
        <v>1625</v>
      </c>
      <c r="L864" s="4" t="n">
        <v>4375</v>
      </c>
      <c r="M864" s="8" t="n">
        <v>0.07000000000000001</v>
      </c>
      <c r="N864" s="4" t="inlineStr">
        <is>
          <t>%</t>
        </is>
      </c>
      <c r="O864" s="3" t="inlineStr">
        <is>
          <t>CLIPSOMAC</t>
        </is>
      </c>
      <c r="P864" s="3" t="inlineStr">
        <is>
          <t>F24</t>
        </is>
      </c>
      <c t="str" r="Q864" s="6">
        <f>A864&amp;"|"&amp;C864&amp;"|"&amp;D864&amp;"|"&amp;G864</f>
        <v>CLIPSOMAC, Алжир|Шкала|Сервис (ЗЧ)|1</v>
      </c>
      <c t="str" r="R864" s="6">
        <f>A864&amp;"|"&amp;C864&amp;"|"&amp;D864&amp;"|"&amp;J864</f>
        <v>CLIPSOMAC, Алжир|Шкала|Сервис (ЗЧ)|2</v>
      </c>
      <c t="str" r="S864" s="6">
        <f>A864&amp;"|"&amp;C864&amp;"|"&amp;D864&amp;"|"&amp;G864&amp;"|"&amp;J864</f>
        <v>CLIPSOMAC, Алжир|Шкала|Сервис (ЗЧ)|1|2</v>
      </c>
      <c t="str" r="T864" s="6">
        <f>A864&amp;"|"&amp;C864&amp;"|"&amp;G864</f>
        <v>CLIPSOMAC, Алжир|Шкала|1</v>
      </c>
      <c t="str" r="U864" s="6">
        <f>IF(H864="да",A864&amp;"|"&amp;C864&amp;"|"&amp;D864&amp;"|"&amp;J864,"")</f>
        <v>CLIPSOMAC, Алжир|Шкала|Сервис (ЗЧ)|2</v>
      </c>
      <c t="str" r="V864" s="6">
        <f>IF(C864="План",A864&amp;"|"&amp;J864,"")</f>
        <v/>
      </c>
    </row>
    <row r="865">
      <c r="A865" s="3" t="inlineStr">
        <is>
          <t>CLIPSOMAC, Алжир</t>
        </is>
      </c>
      <c r="B865" s="3" t="inlineStr">
        <is>
          <t>Заруб</t>
        </is>
      </c>
      <c r="C865" s="3" t="inlineStr">
        <is>
          <t>Шкала</t>
        </is>
      </c>
      <c r="D865" s="3" t="inlineStr">
        <is>
          <t>Сервис (ЗЧ)</t>
        </is>
      </c>
      <c r="E865" s="3" t="inlineStr">
        <is>
          <t>Сервис (ЗЧ) — абсолютные отгрузки за 6 месяцев</t>
        </is>
      </c>
      <c r="F865" s="3" t="inlineStr">
        <is>
          <t>Скидка по сервису</t>
        </is>
      </c>
      <c r="G865" s="4" t="n">
        <v>1</v>
      </c>
      <c r="H865" s="4" t="inlineStr">
        <is>
          <t>да</t>
        </is>
      </c>
      <c r="I865" s="3" t="inlineStr">
        <is>
          <t>4375–8750</t>
        </is>
      </c>
      <c r="J865" s="4" t="n">
        <v>3</v>
      </c>
      <c r="K865" s="4" t="n">
        <v>4375</v>
      </c>
      <c r="L865" s="4" t="n">
        <v>8750</v>
      </c>
      <c r="M865" s="8" t="n">
        <v>0.09</v>
      </c>
      <c r="N865" s="4" t="inlineStr">
        <is>
          <t>%</t>
        </is>
      </c>
      <c r="O865" s="3" t="inlineStr">
        <is>
          <t>CLIPSOMAC</t>
        </is>
      </c>
      <c r="P865" s="3" t="inlineStr">
        <is>
          <t>F25</t>
        </is>
      </c>
      <c t="str" r="Q865" s="6">
        <f>A865&amp;"|"&amp;C865&amp;"|"&amp;D865&amp;"|"&amp;G865</f>
        <v>CLIPSOMAC, Алжир|Шкала|Сервис (ЗЧ)|1</v>
      </c>
      <c t="str" r="R865" s="6">
        <f>A865&amp;"|"&amp;C865&amp;"|"&amp;D865&amp;"|"&amp;J865</f>
        <v>CLIPSOMAC, Алжир|Шкала|Сервис (ЗЧ)|3</v>
      </c>
      <c t="str" r="S865" s="6">
        <f>A865&amp;"|"&amp;C865&amp;"|"&amp;D865&amp;"|"&amp;G865&amp;"|"&amp;J865</f>
        <v>CLIPSOMAC, Алжир|Шкала|Сервис (ЗЧ)|1|3</v>
      </c>
      <c t="str" r="T865" s="6">
        <f>A865&amp;"|"&amp;C865&amp;"|"&amp;G865</f>
        <v>CLIPSOMAC, Алжир|Шкала|1</v>
      </c>
      <c t="str" r="U865" s="6">
        <f>IF(H865="да",A865&amp;"|"&amp;C865&amp;"|"&amp;D865&amp;"|"&amp;J865,"")</f>
        <v>CLIPSOMAC, Алжир|Шкала|Сервис (ЗЧ)|3</v>
      </c>
      <c t="str" r="V865" s="6">
        <f>IF(C865="План",A865&amp;"|"&amp;J865,"")</f>
        <v/>
      </c>
    </row>
    <row r="866">
      <c r="A866" s="3" t="inlineStr">
        <is>
          <t>CLIPSOMAC, Алжир</t>
        </is>
      </c>
      <c r="B866" s="3" t="inlineStr">
        <is>
          <t>Заруб</t>
        </is>
      </c>
      <c r="C866" s="3" t="inlineStr">
        <is>
          <t>Шкала</t>
        </is>
      </c>
      <c r="D866" s="3" t="inlineStr">
        <is>
          <t>Сервис (ЗЧ)</t>
        </is>
      </c>
      <c r="E866" s="3" t="inlineStr">
        <is>
          <t>Сервис (ЗЧ) — абсолютные отгрузки за 6 месяцев</t>
        </is>
      </c>
      <c r="F866" s="3" t="inlineStr">
        <is>
          <t>Скидка по сервису</t>
        </is>
      </c>
      <c r="G866" s="4" t="n">
        <v>1</v>
      </c>
      <c r="H866" s="4" t="inlineStr">
        <is>
          <t>да</t>
        </is>
      </c>
      <c r="I866" s="3" t="inlineStr">
        <is>
          <t>8750–16875</t>
        </is>
      </c>
      <c r="J866" s="4" t="n">
        <v>4</v>
      </c>
      <c r="K866" s="4" t="n">
        <v>8750</v>
      </c>
      <c r="L866" s="4" t="n">
        <v>16875</v>
      </c>
      <c r="M866" s="8" t="n">
        <v>0.11</v>
      </c>
      <c r="N866" s="4" t="inlineStr">
        <is>
          <t>%</t>
        </is>
      </c>
      <c r="O866" s="3" t="inlineStr">
        <is>
          <t>CLIPSOMAC</t>
        </is>
      </c>
      <c r="P866" s="3" t="inlineStr">
        <is>
          <t>F26</t>
        </is>
      </c>
      <c t="str" r="Q866" s="6">
        <f>A866&amp;"|"&amp;C866&amp;"|"&amp;D866&amp;"|"&amp;G866</f>
        <v>CLIPSOMAC, Алжир|Шкала|Сервис (ЗЧ)|1</v>
      </c>
      <c t="str" r="R866" s="6">
        <f>A866&amp;"|"&amp;C866&amp;"|"&amp;D866&amp;"|"&amp;J866</f>
        <v>CLIPSOMAC, Алжир|Шкала|Сервис (ЗЧ)|4</v>
      </c>
      <c t="str" r="S866" s="6">
        <f>A866&amp;"|"&amp;C866&amp;"|"&amp;D866&amp;"|"&amp;G866&amp;"|"&amp;J866</f>
        <v>CLIPSOMAC, Алжир|Шкала|Сервис (ЗЧ)|1|4</v>
      </c>
      <c t="str" r="T866" s="6">
        <f>A866&amp;"|"&amp;C866&amp;"|"&amp;G866</f>
        <v>CLIPSOMAC, Алжир|Шкала|1</v>
      </c>
      <c t="str" r="U866" s="6">
        <f>IF(H866="да",A866&amp;"|"&amp;C866&amp;"|"&amp;D866&amp;"|"&amp;J866,"")</f>
        <v>CLIPSOMAC, Алжир|Шкала|Сервис (ЗЧ)|4</v>
      </c>
      <c t="str" r="V866" s="6">
        <f>IF(C866="План",A866&amp;"|"&amp;J866,"")</f>
        <v/>
      </c>
    </row>
    <row r="867">
      <c r="A867" s="3" t="inlineStr">
        <is>
          <t>CLIPSOMAC, Алжир</t>
        </is>
      </c>
      <c r="B867" s="3" t="inlineStr">
        <is>
          <t>Заруб</t>
        </is>
      </c>
      <c r="C867" s="3" t="inlineStr">
        <is>
          <t>Шкала</t>
        </is>
      </c>
      <c r="D867" s="3" t="inlineStr">
        <is>
          <t>Сервис (ЗЧ)</t>
        </is>
      </c>
      <c r="E867" s="3" t="inlineStr">
        <is>
          <t>Сервис (ЗЧ) — абсолютные отгрузки за 6 месяцев</t>
        </is>
      </c>
      <c r="F867" s="3" t="inlineStr">
        <is>
          <t>Скидка по сервису</t>
        </is>
      </c>
      <c r="G867" s="4" t="n">
        <v>1</v>
      </c>
      <c r="H867" s="4" t="inlineStr">
        <is>
          <t>да</t>
        </is>
      </c>
      <c r="I867" s="3" t="inlineStr">
        <is>
          <t>16875–33125</t>
        </is>
      </c>
      <c r="J867" s="4" t="n">
        <v>5</v>
      </c>
      <c r="K867" s="4" t="n">
        <v>16875</v>
      </c>
      <c r="L867" s="4" t="n">
        <v>33125</v>
      </c>
      <c r="M867" s="8" t="n">
        <v>0.13</v>
      </c>
      <c r="N867" s="4" t="inlineStr">
        <is>
          <t>%</t>
        </is>
      </c>
      <c r="O867" s="3" t="inlineStr">
        <is>
          <t>CLIPSOMAC</t>
        </is>
      </c>
      <c r="P867" s="3" t="inlineStr">
        <is>
          <t>F27</t>
        </is>
      </c>
      <c t="str" r="Q867" s="6">
        <f>A867&amp;"|"&amp;C867&amp;"|"&amp;D867&amp;"|"&amp;G867</f>
        <v>CLIPSOMAC, Алжир|Шкала|Сервис (ЗЧ)|1</v>
      </c>
      <c t="str" r="R867" s="6">
        <f>A867&amp;"|"&amp;C867&amp;"|"&amp;D867&amp;"|"&amp;J867</f>
        <v>CLIPSOMAC, Алжир|Шкала|Сервис (ЗЧ)|5</v>
      </c>
      <c t="str" r="S867" s="6">
        <f>A867&amp;"|"&amp;C867&amp;"|"&amp;D867&amp;"|"&amp;G867&amp;"|"&amp;J867</f>
        <v>CLIPSOMAC, Алжир|Шкала|Сервис (ЗЧ)|1|5</v>
      </c>
      <c t="str" r="T867" s="6">
        <f>A867&amp;"|"&amp;C867&amp;"|"&amp;G867</f>
        <v>CLIPSOMAC, Алжир|Шкала|1</v>
      </c>
      <c t="str" r="U867" s="6">
        <f>IF(H867="да",A867&amp;"|"&amp;C867&amp;"|"&amp;D867&amp;"|"&amp;J867,"")</f>
        <v>CLIPSOMAC, Алжир|Шкала|Сервис (ЗЧ)|5</v>
      </c>
      <c t="str" r="V867" s="6">
        <f>IF(C867="План",A867&amp;"|"&amp;J867,"")</f>
        <v/>
      </c>
    </row>
    <row r="868">
      <c r="A868" s="3" t="inlineStr">
        <is>
          <t>CLIPSOMAC, Алжир</t>
        </is>
      </c>
      <c r="B868" s="3" t="inlineStr">
        <is>
          <t>Заруб</t>
        </is>
      </c>
      <c r="C868" s="3" t="inlineStr">
        <is>
          <t>Шкала</t>
        </is>
      </c>
      <c r="D868" s="3" t="inlineStr">
        <is>
          <t>Сервис (ЗЧ)</t>
        </is>
      </c>
      <c r="E868" s="3" t="inlineStr">
        <is>
          <t>Сервис (ЗЧ) — абсолютные отгрузки за 6 месяцев</t>
        </is>
      </c>
      <c r="F868" s="3" t="inlineStr">
        <is>
          <t>Скидка по сервису</t>
        </is>
      </c>
      <c r="G868" s="4" t="n">
        <v>1</v>
      </c>
      <c r="H868" s="4" t="inlineStr">
        <is>
          <t>да</t>
        </is>
      </c>
      <c r="I868" s="3" t="inlineStr">
        <is>
          <t>33125–50000</t>
        </is>
      </c>
      <c r="J868" s="4" t="n">
        <v>6</v>
      </c>
      <c r="K868" s="4" t="n">
        <v>33125</v>
      </c>
      <c r="L868" s="4" t="n">
        <v>50000</v>
      </c>
      <c r="M868" s="8" t="n">
        <v>0.15</v>
      </c>
      <c r="N868" s="4" t="inlineStr">
        <is>
          <t>%</t>
        </is>
      </c>
      <c r="O868" s="3" t="inlineStr">
        <is>
          <t>CLIPSOMAC</t>
        </is>
      </c>
      <c r="P868" s="3" t="inlineStr">
        <is>
          <t>F28</t>
        </is>
      </c>
      <c t="str" r="Q868" s="6">
        <f>A868&amp;"|"&amp;C868&amp;"|"&amp;D868&amp;"|"&amp;G868</f>
        <v>CLIPSOMAC, Алжир|Шкала|Сервис (ЗЧ)|1</v>
      </c>
      <c t="str" r="R868" s="6">
        <f>A868&amp;"|"&amp;C868&amp;"|"&amp;D868&amp;"|"&amp;J868</f>
        <v>CLIPSOMAC, Алжир|Шкала|Сервис (ЗЧ)|6</v>
      </c>
      <c t="str" r="S868" s="6">
        <f>A868&amp;"|"&amp;C868&amp;"|"&amp;D868&amp;"|"&amp;G868&amp;"|"&amp;J868</f>
        <v>CLIPSOMAC, Алжир|Шкала|Сервис (ЗЧ)|1|6</v>
      </c>
      <c t="str" r="T868" s="6">
        <f>A868&amp;"|"&amp;C868&amp;"|"&amp;G868</f>
        <v>CLIPSOMAC, Алжир|Шкала|1</v>
      </c>
      <c t="str" r="U868" s="6">
        <f>IF(H868="да",A868&amp;"|"&amp;C868&amp;"|"&amp;D868&amp;"|"&amp;J868,"")</f>
        <v>CLIPSOMAC, Алжир|Шкала|Сервис (ЗЧ)|6</v>
      </c>
      <c t="str" r="V868" s="6">
        <f>IF(C868="План",A868&amp;"|"&amp;J868,"")</f>
        <v/>
      </c>
    </row>
    <row r="869">
      <c r="A869" s="3" t="inlineStr">
        <is>
          <t>CLIPSOMAC, Алжир</t>
        </is>
      </c>
      <c r="B869" s="3" t="inlineStr">
        <is>
          <t>Заруб</t>
        </is>
      </c>
      <c r="C869" s="3" t="inlineStr">
        <is>
          <t>Шкала</t>
        </is>
      </c>
      <c r="D869" s="3" t="inlineStr">
        <is>
          <t>Сервис (ЗЧ)</t>
        </is>
      </c>
      <c r="E869" s="3" t="inlineStr">
        <is>
          <t>Сервис (ЗЧ) — абсолютные отгрузки за 6 месяцев</t>
        </is>
      </c>
      <c r="F869" s="3" t="inlineStr">
        <is>
          <t>Скидка по сервису</t>
        </is>
      </c>
      <c r="G869" s="4" t="n">
        <v>1</v>
      </c>
      <c r="H869" s="4" t="inlineStr">
        <is>
          <t>да</t>
        </is>
      </c>
      <c r="I869" s="3" t="inlineStr">
        <is>
          <t>50000–87500</t>
        </is>
      </c>
      <c r="J869" s="4" t="n">
        <v>7</v>
      </c>
      <c r="K869" s="4" t="n">
        <v>50000</v>
      </c>
      <c r="L869" s="4" t="n">
        <v>87500</v>
      </c>
      <c r="M869" s="8" t="n">
        <v>0.17</v>
      </c>
      <c r="N869" s="4" t="inlineStr">
        <is>
          <t>%</t>
        </is>
      </c>
      <c r="O869" s="3" t="inlineStr">
        <is>
          <t>CLIPSOMAC</t>
        </is>
      </c>
      <c r="P869" s="3" t="inlineStr">
        <is>
          <t>F29</t>
        </is>
      </c>
      <c t="str" r="Q869" s="6">
        <f>A869&amp;"|"&amp;C869&amp;"|"&amp;D869&amp;"|"&amp;G869</f>
        <v>CLIPSOMAC, Алжир|Шкала|Сервис (ЗЧ)|1</v>
      </c>
      <c t="str" r="R869" s="6">
        <f>A869&amp;"|"&amp;C869&amp;"|"&amp;D869&amp;"|"&amp;J869</f>
        <v>CLIPSOMAC, Алжир|Шкала|Сервис (ЗЧ)|7</v>
      </c>
      <c t="str" r="S869" s="6">
        <f>A869&amp;"|"&amp;C869&amp;"|"&amp;D869&amp;"|"&amp;G869&amp;"|"&amp;J869</f>
        <v>CLIPSOMAC, Алжир|Шкала|Сервис (ЗЧ)|1|7</v>
      </c>
      <c t="str" r="T869" s="6">
        <f>A869&amp;"|"&amp;C869&amp;"|"&amp;G869</f>
        <v>CLIPSOMAC, Алжир|Шкала|1</v>
      </c>
      <c t="str" r="U869" s="6">
        <f>IF(H869="да",A869&amp;"|"&amp;C869&amp;"|"&amp;D869&amp;"|"&amp;J869,"")</f>
        <v>CLIPSOMAC, Алжир|Шкала|Сервис (ЗЧ)|7</v>
      </c>
      <c t="str" r="V869" s="6">
        <f>IF(C869="План",A869&amp;"|"&amp;J869,"")</f>
        <v/>
      </c>
    </row>
    <row r="870">
      <c r="A870" s="3" t="inlineStr">
        <is>
          <t>CLIPSOMAC, Алжир</t>
        </is>
      </c>
      <c r="B870" s="3" t="inlineStr">
        <is>
          <t>Заруб</t>
        </is>
      </c>
      <c r="C870" s="3" t="inlineStr">
        <is>
          <t>Шкала</t>
        </is>
      </c>
      <c r="D870" s="3" t="inlineStr">
        <is>
          <t>Сервис (ЗЧ)</t>
        </is>
      </c>
      <c r="E870" s="3" t="inlineStr">
        <is>
          <t>Сервис (ЗЧ) — абсолютные отгрузки за 6 месяцев</t>
        </is>
      </c>
      <c r="F870" s="3" t="inlineStr">
        <is>
          <t>Скидка по сервису</t>
        </is>
      </c>
      <c r="G870" s="4" t="n">
        <v>1</v>
      </c>
      <c r="H870" s="4" t="inlineStr">
        <is>
          <t>да</t>
        </is>
      </c>
      <c r="I870" s="3" t="inlineStr">
        <is>
          <t>87500+</t>
        </is>
      </c>
      <c r="J870" s="4" t="n">
        <v>8</v>
      </c>
      <c r="K870" s="4" t="n">
        <v>87500</v>
      </c>
      <c r="L870" s="4" t="n">
        <v>0</v>
      </c>
      <c r="M870" s="8" t="n">
        <v>0.19</v>
      </c>
      <c r="N870" s="4" t="inlineStr">
        <is>
          <t>%</t>
        </is>
      </c>
      <c r="O870" s="3" t="inlineStr">
        <is>
          <t>CLIPSOMAC</t>
        </is>
      </c>
      <c r="P870" s="3" t="inlineStr">
        <is>
          <t>F30</t>
        </is>
      </c>
      <c t="str" r="Q870" s="6">
        <f>A870&amp;"|"&amp;C870&amp;"|"&amp;D870&amp;"|"&amp;G870</f>
        <v>CLIPSOMAC, Алжир|Шкала|Сервис (ЗЧ)|1</v>
      </c>
      <c t="str" r="R870" s="6">
        <f>A870&amp;"|"&amp;C870&amp;"|"&amp;D870&amp;"|"&amp;J870</f>
        <v>CLIPSOMAC, Алжир|Шкала|Сервис (ЗЧ)|8</v>
      </c>
      <c t="str" r="S870" s="6">
        <f>A870&amp;"|"&amp;C870&amp;"|"&amp;D870&amp;"|"&amp;G870&amp;"|"&amp;J870</f>
        <v>CLIPSOMAC, Алжир|Шкала|Сервис (ЗЧ)|1|8</v>
      </c>
      <c t="str" r="T870" s="6">
        <f>A870&amp;"|"&amp;C870&amp;"|"&amp;G870</f>
        <v>CLIPSOMAC, Алжир|Шкала|1</v>
      </c>
      <c t="str" r="U870" s="6">
        <f>IF(H870="да",A870&amp;"|"&amp;C870&amp;"|"&amp;D870&amp;"|"&amp;J870,"")</f>
        <v>CLIPSOMAC, Алжир|Шкала|Сервис (ЗЧ)|8</v>
      </c>
      <c t="str" r="V870" s="6">
        <f>IF(C870="План",A870&amp;"|"&amp;J870,"")</f>
        <v/>
      </c>
    </row>
    <row r="871">
      <c r="A871" s="3" t="inlineStr">
        <is>
          <t>Tida Tech, Таиланд</t>
        </is>
      </c>
      <c r="B871" s="3" t="inlineStr">
        <is>
          <t>Заруб</t>
        </is>
      </c>
      <c r="C871" s="3" t="inlineStr">
        <is>
          <t>План</t>
        </is>
      </c>
      <c r="D871" s="3" t="inlineStr">
        <is>
          <t>Итого по дилеру</t>
        </is>
      </c>
      <c r="E871" s="3" t="inlineStr">
        <is>
          <t>План и бонусы</t>
        </is>
      </c>
      <c r="F871" s="3" t="inlineStr">
        <is>
          <t>Выручка 2023</t>
        </is>
      </c>
      <c r="G871" s="4" t="n">
        <v>1</v>
      </c>
      <c r="H871" s="4" t="n"/>
      <c r="I871" s="3" t="n"/>
      <c r="J871" s="4" t="n">
        <v>1</v>
      </c>
      <c r="K871" s="4" t="n"/>
      <c r="L871" s="4" t="n"/>
      <c r="M871" s="5" t="n">
        <v>66798.84000000001</v>
      </c>
      <c r="N871" s="4" t="inlineStr">
        <is>
          <t>EUR</t>
        </is>
      </c>
      <c r="O871" s="3" t="inlineStr">
        <is>
          <t>Tida Tech</t>
        </is>
      </c>
      <c r="P871" s="3" t="inlineStr">
        <is>
          <t>D4</t>
        </is>
      </c>
      <c t="str" r="Q871" s="6">
        <f>A871&amp;"|"&amp;C871&amp;"|"&amp;D871&amp;"|"&amp;G871</f>
        <v>Tida Tech, Таиланд|План|Итого по дилеру|1</v>
      </c>
      <c t="str" r="R871" s="6">
        <f>A871&amp;"|"&amp;C871&amp;"|"&amp;D871&amp;"|"&amp;J871</f>
        <v>Tida Tech, Таиланд|План|Итого по дилеру|1</v>
      </c>
      <c t="str" r="S871" s="6">
        <f>A871&amp;"|"&amp;C871&amp;"|"&amp;D871&amp;"|"&amp;G871&amp;"|"&amp;J871</f>
        <v>Tida Tech, Таиланд|План|Итого по дилеру|1|1</v>
      </c>
      <c t="str" r="T871" s="6">
        <f>A871&amp;"|"&amp;C871&amp;"|"&amp;G871</f>
        <v>Tida Tech, Таиланд|План|1</v>
      </c>
      <c t="str" r="U871" s="6">
        <f>IF(H871="да",A871&amp;"|"&amp;C871&amp;"|"&amp;D871&amp;"|"&amp;J871,"")</f>
        <v/>
      </c>
      <c t="str" r="V871" s="6">
        <f>IF(C871="План",A871&amp;"|"&amp;J871,"")</f>
        <v>Tida Tech, Таиланд|1</v>
      </c>
    </row>
    <row r="872">
      <c r="A872" s="3" t="inlineStr">
        <is>
          <t>Tida Tech, Таиланд</t>
        </is>
      </c>
      <c r="B872" s="3" t="inlineStr">
        <is>
          <t>Заруб</t>
        </is>
      </c>
      <c r="C872" s="3" t="inlineStr">
        <is>
          <t>План</t>
        </is>
      </c>
      <c r="D872" s="3" t="inlineStr">
        <is>
          <t>Итого по дилеру</t>
        </is>
      </c>
      <c r="E872" s="3" t="inlineStr">
        <is>
          <t>План и бонусы</t>
        </is>
      </c>
      <c r="F872" s="3" t="inlineStr">
        <is>
          <t>Выручка 2024</t>
        </is>
      </c>
      <c r="G872" s="4" t="n">
        <v>1</v>
      </c>
      <c r="H872" s="4" t="n"/>
      <c r="I872" s="3" t="n"/>
      <c r="J872" s="4" t="n">
        <v>2</v>
      </c>
      <c r="K872" s="4" t="n"/>
      <c r="L872" s="4" t="n"/>
      <c r="M872" s="5" t="n">
        <v>57870.02999999998</v>
      </c>
      <c r="N872" s="4" t="inlineStr">
        <is>
          <t>EUR</t>
        </is>
      </c>
      <c r="O872" s="3" t="inlineStr">
        <is>
          <t>Tida Tech</t>
        </is>
      </c>
      <c r="P872" s="3" t="inlineStr">
        <is>
          <t>E4</t>
        </is>
      </c>
      <c t="str" r="Q872" s="6">
        <f>A872&amp;"|"&amp;C872&amp;"|"&amp;D872&amp;"|"&amp;G872</f>
        <v>Tida Tech, Таиланд|План|Итого по дилеру|1</v>
      </c>
      <c t="str" r="R872" s="6">
        <f>A872&amp;"|"&amp;C872&amp;"|"&amp;D872&amp;"|"&amp;J872</f>
        <v>Tida Tech, Таиланд|План|Итого по дилеру|2</v>
      </c>
      <c t="str" r="S872" s="6">
        <f>A872&amp;"|"&amp;C872&amp;"|"&amp;D872&amp;"|"&amp;G872&amp;"|"&amp;J872</f>
        <v>Tida Tech, Таиланд|План|Итого по дилеру|1|2</v>
      </c>
      <c t="str" r="T872" s="6">
        <f>A872&amp;"|"&amp;C872&amp;"|"&amp;G872</f>
        <v>Tida Tech, Таиланд|План|1</v>
      </c>
      <c t="str" r="U872" s="6">
        <f>IF(H872="да",A872&amp;"|"&amp;C872&amp;"|"&amp;D872&amp;"|"&amp;J872,"")</f>
        <v/>
      </c>
      <c t="str" r="V872" s="6">
        <f>IF(C872="План",A872&amp;"|"&amp;J872,"")</f>
        <v>Tida Tech, Таиланд|2</v>
      </c>
    </row>
    <row r="873">
      <c r="A873" s="3" t="inlineStr">
        <is>
          <t>Tida Tech, Таиланд</t>
        </is>
      </c>
      <c r="B873" s="3" t="inlineStr">
        <is>
          <t>Заруб</t>
        </is>
      </c>
      <c r="C873" s="3" t="inlineStr">
        <is>
          <t>План</t>
        </is>
      </c>
      <c r="D873" s="3" t="inlineStr">
        <is>
          <t>Итого по дилеру</t>
        </is>
      </c>
      <c r="E873" s="3" t="inlineStr">
        <is>
          <t>План и бонусы</t>
        </is>
      </c>
      <c r="F873" s="3" t="inlineStr">
        <is>
          <t>План 2025</t>
        </is>
      </c>
      <c r="G873" s="4" t="n">
        <v>1</v>
      </c>
      <c r="H873" s="4" t="n"/>
      <c r="I873" s="3" t="n"/>
      <c r="J873" s="4" t="n">
        <v>3</v>
      </c>
      <c r="K873" s="4" t="n"/>
      <c r="L873" s="4" t="n"/>
      <c r="M873" s="5" t="n">
        <v>75000</v>
      </c>
      <c r="N873" s="4" t="inlineStr">
        <is>
          <t>EUR</t>
        </is>
      </c>
      <c r="O873" s="3" t="inlineStr">
        <is>
          <t>Tida Tech</t>
        </is>
      </c>
      <c r="P873" s="3" t="inlineStr">
        <is>
          <t>F4</t>
        </is>
      </c>
      <c t="str" r="Q873" s="6">
        <f>A873&amp;"|"&amp;C873&amp;"|"&amp;D873&amp;"|"&amp;G873</f>
        <v>Tida Tech, Таиланд|План|Итого по дилеру|1</v>
      </c>
      <c t="str" r="R873" s="6">
        <f>A873&amp;"|"&amp;C873&amp;"|"&amp;D873&amp;"|"&amp;J873</f>
        <v>Tida Tech, Таиланд|План|Итого по дилеру|3</v>
      </c>
      <c t="str" r="S873" s="6">
        <f>A873&amp;"|"&amp;C873&amp;"|"&amp;D873&amp;"|"&amp;G873&amp;"|"&amp;J873</f>
        <v>Tida Tech, Таиланд|План|Итого по дилеру|1|3</v>
      </c>
      <c t="str" r="T873" s="6">
        <f>A873&amp;"|"&amp;C873&amp;"|"&amp;G873</f>
        <v>Tida Tech, Таиланд|План|1</v>
      </c>
      <c t="str" r="U873" s="6">
        <f>IF(H873="да",A873&amp;"|"&amp;C873&amp;"|"&amp;D873&amp;"|"&amp;J873,"")</f>
        <v/>
      </c>
      <c t="str" r="V873" s="6">
        <f>IF(C873="План",A873&amp;"|"&amp;J873,"")</f>
        <v>Tida Tech, Таиланд|3</v>
      </c>
    </row>
    <row r="874">
      <c r="A874" s="3" t="inlineStr">
        <is>
          <t>Tida Tech, Таиланд</t>
        </is>
      </c>
      <c r="B874" s="3" t="inlineStr">
        <is>
          <t>Заруб</t>
        </is>
      </c>
      <c r="C874" s="3" t="inlineStr">
        <is>
          <t>План</t>
        </is>
      </c>
      <c r="D874" s="3" t="inlineStr">
        <is>
          <t>Итого по дилеру</t>
        </is>
      </c>
      <c r="E874" s="3" t="inlineStr">
        <is>
          <t>План и бонусы</t>
        </is>
      </c>
      <c r="F874" s="3" t="inlineStr">
        <is>
          <t>Прирост П/Ф</t>
        </is>
      </c>
      <c r="G874" s="4" t="n">
        <v>1</v>
      </c>
      <c r="H874" s="4" t="n"/>
      <c r="I874" s="3" t="n"/>
      <c r="J874" s="4" t="n">
        <v>4</v>
      </c>
      <c r="K874" s="4" t="n"/>
      <c r="L874" s="4" t="n"/>
      <c r="M874" s="7" t="n">
        <v>0.2960076225984334</v>
      </c>
      <c r="N874" s="4" t="inlineStr">
        <is>
          <t>%</t>
        </is>
      </c>
      <c r="O874" s="3" t="inlineStr">
        <is>
          <t>Tida Tech</t>
        </is>
      </c>
      <c r="P874" s="3" t="inlineStr">
        <is>
          <t>G4</t>
        </is>
      </c>
      <c t="str" r="Q874" s="6">
        <f>A874&amp;"|"&amp;C874&amp;"|"&amp;D874&amp;"|"&amp;G874</f>
        <v>Tida Tech, Таиланд|План|Итого по дилеру|1</v>
      </c>
      <c t="str" r="R874" s="6">
        <f>A874&amp;"|"&amp;C874&amp;"|"&amp;D874&amp;"|"&amp;J874</f>
        <v>Tida Tech, Таиланд|План|Итого по дилеру|4</v>
      </c>
      <c t="str" r="S874" s="6">
        <f>A874&amp;"|"&amp;C874&amp;"|"&amp;D874&amp;"|"&amp;G874&amp;"|"&amp;J874</f>
        <v>Tida Tech, Таиланд|План|Итого по дилеру|1|4</v>
      </c>
      <c t="str" r="T874" s="6">
        <f>A874&amp;"|"&amp;C874&amp;"|"&amp;G874</f>
        <v>Tida Tech, Таиланд|План|1</v>
      </c>
      <c t="str" r="U874" s="6">
        <f>IF(H874="да",A874&amp;"|"&amp;C874&amp;"|"&amp;D874&amp;"|"&amp;J874,"")</f>
        <v/>
      </c>
      <c t="str" r="V874" s="6">
        <f>IF(C874="План",A874&amp;"|"&amp;J874,"")</f>
        <v>Tida Tech, Таиланд|4</v>
      </c>
    </row>
    <row r="875">
      <c r="A875" s="3" t="inlineStr">
        <is>
          <t>Tida Tech, Таиланд</t>
        </is>
      </c>
      <c r="B875" s="3" t="inlineStr">
        <is>
          <t>Заруб</t>
        </is>
      </c>
      <c r="C875" s="3" t="inlineStr">
        <is>
          <t>План</t>
        </is>
      </c>
      <c r="D875" s="3" t="inlineStr">
        <is>
          <t>Запасные части</t>
        </is>
      </c>
      <c r="E875" s="3" t="inlineStr">
        <is>
          <t>План и бонусы</t>
        </is>
      </c>
      <c r="F875" s="3" t="inlineStr">
        <is>
          <t>Выручка 2023</t>
        </is>
      </c>
      <c r="G875" s="4" t="n">
        <v>2</v>
      </c>
      <c r="H875" s="4" t="n"/>
      <c r="I875" s="3" t="n"/>
      <c r="J875" s="4" t="n">
        <v>1</v>
      </c>
      <c r="K875" s="4" t="n"/>
      <c r="L875" s="4" t="n"/>
      <c r="M875" s="5" t="n">
        <v>10809.45</v>
      </c>
      <c r="N875" s="4" t="inlineStr">
        <is>
          <t>EUR</t>
        </is>
      </c>
      <c r="O875" s="3" t="inlineStr">
        <is>
          <t>Tida Tech</t>
        </is>
      </c>
      <c r="P875" s="3" t="inlineStr">
        <is>
          <t>D5</t>
        </is>
      </c>
      <c t="str" r="Q875" s="6">
        <f>A875&amp;"|"&amp;C875&amp;"|"&amp;D875&amp;"|"&amp;G875</f>
        <v>Tida Tech, Таиланд|План|Запасные части|2</v>
      </c>
      <c t="str" r="R875" s="6">
        <f>A875&amp;"|"&amp;C875&amp;"|"&amp;D875&amp;"|"&amp;J875</f>
        <v>Tida Tech, Таиланд|План|Запасные части|1</v>
      </c>
      <c t="str" r="S875" s="6">
        <f>A875&amp;"|"&amp;C875&amp;"|"&amp;D875&amp;"|"&amp;G875&amp;"|"&amp;J875</f>
        <v>Tida Tech, Таиланд|План|Запасные части|2|1</v>
      </c>
      <c t="str" r="T875" s="6">
        <f>A875&amp;"|"&amp;C875&amp;"|"&amp;G875</f>
        <v>Tida Tech, Таиланд|План|2</v>
      </c>
      <c t="str" r="U875" s="6">
        <f>IF(H875="да",A875&amp;"|"&amp;C875&amp;"|"&amp;D875&amp;"|"&amp;J875,"")</f>
        <v/>
      </c>
      <c t="str" r="V875" s="6">
        <f>IF(C875="План",A875&amp;"|"&amp;J875,"")</f>
        <v>Tida Tech, Таиланд|1</v>
      </c>
    </row>
    <row r="876">
      <c r="A876" s="3" t="inlineStr">
        <is>
          <t>Tida Tech, Таиланд</t>
        </is>
      </c>
      <c r="B876" s="3" t="inlineStr">
        <is>
          <t>Заруб</t>
        </is>
      </c>
      <c r="C876" s="3" t="inlineStr">
        <is>
          <t>План</t>
        </is>
      </c>
      <c r="D876" s="3" t="inlineStr">
        <is>
          <t>Запасные части</t>
        </is>
      </c>
      <c r="E876" s="3" t="inlineStr">
        <is>
          <t>План и бонусы</t>
        </is>
      </c>
      <c r="F876" s="3" t="inlineStr">
        <is>
          <t>Выручка 2024</t>
        </is>
      </c>
      <c r="G876" s="4" t="n">
        <v>2</v>
      </c>
      <c r="H876" s="4" t="n"/>
      <c r="I876" s="3" t="n"/>
      <c r="J876" s="4" t="n">
        <v>2</v>
      </c>
      <c r="K876" s="4" t="n"/>
      <c r="L876" s="4" t="n"/>
      <c r="M876" s="5" t="n">
        <v>2367.36</v>
      </c>
      <c r="N876" s="4" t="inlineStr">
        <is>
          <t>EUR</t>
        </is>
      </c>
      <c r="O876" s="3" t="inlineStr">
        <is>
          <t>Tida Tech</t>
        </is>
      </c>
      <c r="P876" s="3" t="inlineStr">
        <is>
          <t>E5</t>
        </is>
      </c>
      <c t="str" r="Q876" s="6">
        <f>A876&amp;"|"&amp;C876&amp;"|"&amp;D876&amp;"|"&amp;G876</f>
        <v>Tida Tech, Таиланд|План|Запасные части|2</v>
      </c>
      <c t="str" r="R876" s="6">
        <f>A876&amp;"|"&amp;C876&amp;"|"&amp;D876&amp;"|"&amp;J876</f>
        <v>Tida Tech, Таиланд|План|Запасные части|2</v>
      </c>
      <c t="str" r="S876" s="6">
        <f>A876&amp;"|"&amp;C876&amp;"|"&amp;D876&amp;"|"&amp;G876&amp;"|"&amp;J876</f>
        <v>Tida Tech, Таиланд|План|Запасные части|2|2</v>
      </c>
      <c t="str" r="T876" s="6">
        <f>A876&amp;"|"&amp;C876&amp;"|"&amp;G876</f>
        <v>Tida Tech, Таиланд|План|2</v>
      </c>
      <c t="str" r="U876" s="6">
        <f>IF(H876="да",A876&amp;"|"&amp;C876&amp;"|"&amp;D876&amp;"|"&amp;J876,"")</f>
        <v/>
      </c>
      <c t="str" r="V876" s="6">
        <f>IF(C876="План",A876&amp;"|"&amp;J876,"")</f>
        <v>Tida Tech, Таиланд|2</v>
      </c>
    </row>
    <row r="877">
      <c r="A877" s="3" t="inlineStr">
        <is>
          <t>Tida Tech, Таиланд</t>
        </is>
      </c>
      <c r="B877" s="3" t="inlineStr">
        <is>
          <t>Заруб</t>
        </is>
      </c>
      <c r="C877" s="3" t="inlineStr">
        <is>
          <t>План</t>
        </is>
      </c>
      <c r="D877" s="3" t="inlineStr">
        <is>
          <t>Запасные части</t>
        </is>
      </c>
      <c r="E877" s="3" t="inlineStr">
        <is>
          <t>План и бонусы</t>
        </is>
      </c>
      <c r="F877" s="3" t="inlineStr">
        <is>
          <t>План 2025</t>
        </is>
      </c>
      <c r="G877" s="4" t="n">
        <v>2</v>
      </c>
      <c r="H877" s="4" t="n"/>
      <c r="I877" s="3" t="n"/>
      <c r="J877" s="4" t="n">
        <v>3</v>
      </c>
      <c r="K877" s="4" t="n"/>
      <c r="L877" s="4" t="n"/>
      <c r="M877" s="5" t="n">
        <v>3068.116605434627</v>
      </c>
      <c r="N877" s="4" t="inlineStr">
        <is>
          <t>EUR</t>
        </is>
      </c>
      <c r="O877" s="3" t="inlineStr">
        <is>
          <t>Tida Tech</t>
        </is>
      </c>
      <c r="P877" s="3" t="inlineStr">
        <is>
          <t>F5</t>
        </is>
      </c>
      <c t="str" r="Q877" s="6">
        <f>A877&amp;"|"&amp;C877&amp;"|"&amp;D877&amp;"|"&amp;G877</f>
        <v>Tida Tech, Таиланд|План|Запасные части|2</v>
      </c>
      <c t="str" r="R877" s="6">
        <f>A877&amp;"|"&amp;C877&amp;"|"&amp;D877&amp;"|"&amp;J877</f>
        <v>Tida Tech, Таиланд|План|Запасные части|3</v>
      </c>
      <c t="str" r="S877" s="6">
        <f>A877&amp;"|"&amp;C877&amp;"|"&amp;D877&amp;"|"&amp;G877&amp;"|"&amp;J877</f>
        <v>Tida Tech, Таиланд|План|Запасные части|2|3</v>
      </c>
      <c t="str" r="T877" s="6">
        <f>A877&amp;"|"&amp;C877&amp;"|"&amp;G877</f>
        <v>Tida Tech, Таиланд|План|2</v>
      </c>
      <c t="str" r="U877" s="6">
        <f>IF(H877="да",A877&amp;"|"&amp;C877&amp;"|"&amp;D877&amp;"|"&amp;J877,"")</f>
        <v/>
      </c>
      <c t="str" r="V877" s="6">
        <f>IF(C877="План",A877&amp;"|"&amp;J877,"")</f>
        <v>Tida Tech, Таиланд|3</v>
      </c>
    </row>
    <row r="878">
      <c r="A878" s="3" t="inlineStr">
        <is>
          <t>Tida Tech, Таиланд</t>
        </is>
      </c>
      <c r="B878" s="3" t="inlineStr">
        <is>
          <t>Заруб</t>
        </is>
      </c>
      <c r="C878" s="3" t="inlineStr">
        <is>
          <t>План</t>
        </is>
      </c>
      <c r="D878" s="3" t="inlineStr">
        <is>
          <t>Запасные части</t>
        </is>
      </c>
      <c r="E878" s="3" t="inlineStr">
        <is>
          <t>План и бонусы</t>
        </is>
      </c>
      <c r="F878" s="3" t="inlineStr">
        <is>
          <t>Скидка в 1 кв. 2025 ф.г.*</t>
        </is>
      </c>
      <c r="G878" s="4" t="n">
        <v>2</v>
      </c>
      <c r="H878" s="4" t="n"/>
      <c r="I878" s="3" t="n"/>
      <c r="J878" s="4" t="n">
        <v>5</v>
      </c>
      <c r="K878" s="4" t="n"/>
      <c r="L878" s="4" t="n"/>
      <c r="M878" s="8" t="n">
        <v>0.1</v>
      </c>
      <c r="N878" s="4" t="inlineStr">
        <is>
          <t>%</t>
        </is>
      </c>
      <c r="O878" s="3" t="inlineStr">
        <is>
          <t>Tida Tech</t>
        </is>
      </c>
      <c r="P878" s="3" t="inlineStr">
        <is>
          <t>H5</t>
        </is>
      </c>
      <c t="str" r="Q878" s="6">
        <f>A878&amp;"|"&amp;C878&amp;"|"&amp;D878&amp;"|"&amp;G878</f>
        <v>Tida Tech, Таиланд|План|Запасные части|2</v>
      </c>
      <c t="str" r="R878" s="6">
        <f>A878&amp;"|"&amp;C878&amp;"|"&amp;D878&amp;"|"&amp;J878</f>
        <v>Tida Tech, Таиланд|План|Запасные части|5</v>
      </c>
      <c t="str" r="S878" s="6">
        <f>A878&amp;"|"&amp;C878&amp;"|"&amp;D878&amp;"|"&amp;G878&amp;"|"&amp;J878</f>
        <v>Tida Tech, Таиланд|План|Запасные части|2|5</v>
      </c>
      <c t="str" r="T878" s="6">
        <f>A878&amp;"|"&amp;C878&amp;"|"&amp;G878</f>
        <v>Tida Tech, Таиланд|План|2</v>
      </c>
      <c t="str" r="U878" s="6">
        <f>IF(H878="да",A878&amp;"|"&amp;C878&amp;"|"&amp;D878&amp;"|"&amp;J878,"")</f>
        <v/>
      </c>
      <c t="str" r="V878" s="6">
        <f>IF(C878="План",A878&amp;"|"&amp;J878,"")</f>
        <v>Tida Tech, Таиланд|5</v>
      </c>
    </row>
    <row r="879">
      <c r="A879" s="3" t="inlineStr">
        <is>
          <t>Tida Tech, Таиланд</t>
        </is>
      </c>
      <c r="B879" s="3" t="inlineStr">
        <is>
          <t>Заруб</t>
        </is>
      </c>
      <c r="C879" s="3" t="inlineStr">
        <is>
          <t>План</t>
        </is>
      </c>
      <c r="D879" s="3" t="inlineStr">
        <is>
          <t>Оборудование</t>
        </is>
      </c>
      <c r="E879" s="3" t="inlineStr">
        <is>
          <t>План и бонусы</t>
        </is>
      </c>
      <c r="F879" s="3" t="inlineStr">
        <is>
          <t>Выручка 2024</t>
        </is>
      </c>
      <c r="G879" s="4" t="n">
        <v>3</v>
      </c>
      <c r="H879" s="4" t="n"/>
      <c r="I879" s="3" t="n"/>
      <c r="J879" s="4" t="n">
        <v>2</v>
      </c>
      <c r="K879" s="4" t="n"/>
      <c r="L879" s="4" t="n"/>
      <c r="M879" s="5" t="n">
        <v>4573.84</v>
      </c>
      <c r="N879" s="4" t="inlineStr">
        <is>
          <t>EUR</t>
        </is>
      </c>
      <c r="O879" s="3" t="inlineStr">
        <is>
          <t>Tida Tech</t>
        </is>
      </c>
      <c r="P879" s="3" t="inlineStr">
        <is>
          <t>E6</t>
        </is>
      </c>
      <c t="str" r="Q879" s="6">
        <f>A879&amp;"|"&amp;C879&amp;"|"&amp;D879&amp;"|"&amp;G879</f>
        <v>Tida Tech, Таиланд|План|Оборудование|3</v>
      </c>
      <c t="str" r="R879" s="6">
        <f>A879&amp;"|"&amp;C879&amp;"|"&amp;D879&amp;"|"&amp;J879</f>
        <v>Tida Tech, Таиланд|План|Оборудование|2</v>
      </c>
      <c t="str" r="S879" s="6">
        <f>A879&amp;"|"&amp;C879&amp;"|"&amp;D879&amp;"|"&amp;G879&amp;"|"&amp;J879</f>
        <v>Tida Tech, Таиланд|План|Оборудование|3|2</v>
      </c>
      <c t="str" r="T879" s="6">
        <f>A879&amp;"|"&amp;C879&amp;"|"&amp;G879</f>
        <v>Tida Tech, Таиланд|План|3</v>
      </c>
      <c t="str" r="U879" s="6">
        <f>IF(H879="да",A879&amp;"|"&amp;C879&amp;"|"&amp;D879&amp;"|"&amp;J879,"")</f>
        <v/>
      </c>
      <c t="str" r="V879" s="6">
        <f>IF(C879="План",A879&amp;"|"&amp;J879,"")</f>
        <v>Tida Tech, Таиланд|2</v>
      </c>
    </row>
    <row r="880">
      <c r="A880" s="3" t="inlineStr">
        <is>
          <t>Tida Tech, Таиланд</t>
        </is>
      </c>
      <c r="B880" s="3" t="inlineStr">
        <is>
          <t>Заруб</t>
        </is>
      </c>
      <c r="C880" s="3" t="inlineStr">
        <is>
          <t>План</t>
        </is>
      </c>
      <c r="D880" s="3" t="inlineStr">
        <is>
          <t>Оборудование</t>
        </is>
      </c>
      <c r="E880" s="3" t="inlineStr">
        <is>
          <t>План и бонусы</t>
        </is>
      </c>
      <c r="F880" s="3" t="inlineStr">
        <is>
          <t>План 2025</t>
        </is>
      </c>
      <c r="G880" s="4" t="n">
        <v>3</v>
      </c>
      <c r="H880" s="4" t="n"/>
      <c r="I880" s="3" t="n"/>
      <c r="J880" s="4" t="n">
        <v>3</v>
      </c>
      <c r="K880" s="4" t="n"/>
      <c r="L880" s="4" t="n"/>
      <c r="M880" s="5" t="n">
        <v>5927.731504545619</v>
      </c>
      <c r="N880" s="4" t="inlineStr">
        <is>
          <t>EUR</t>
        </is>
      </c>
      <c r="O880" s="3" t="inlineStr">
        <is>
          <t>Tida Tech</t>
        </is>
      </c>
      <c r="P880" s="3" t="inlineStr">
        <is>
          <t>F6</t>
        </is>
      </c>
      <c t="str" r="Q880" s="6">
        <f>A880&amp;"|"&amp;C880&amp;"|"&amp;D880&amp;"|"&amp;G880</f>
        <v>Tida Tech, Таиланд|План|Оборудование|3</v>
      </c>
      <c t="str" r="R880" s="6">
        <f>A880&amp;"|"&amp;C880&amp;"|"&amp;D880&amp;"|"&amp;J880</f>
        <v>Tida Tech, Таиланд|План|Оборудование|3</v>
      </c>
      <c t="str" r="S880" s="6">
        <f>A880&amp;"|"&amp;C880&amp;"|"&amp;D880&amp;"|"&amp;G880&amp;"|"&amp;J880</f>
        <v>Tida Tech, Таиланд|План|Оборудование|3|3</v>
      </c>
      <c t="str" r="T880" s="6">
        <f>A880&amp;"|"&amp;C880&amp;"|"&amp;G880</f>
        <v>Tida Tech, Таиланд|План|3</v>
      </c>
      <c t="str" r="U880" s="6">
        <f>IF(H880="да",A880&amp;"|"&amp;C880&amp;"|"&amp;D880&amp;"|"&amp;J880,"")</f>
        <v/>
      </c>
      <c t="str" r="V880" s="6">
        <f>IF(C880="План",A880&amp;"|"&amp;J880,"")</f>
        <v>Tida Tech, Таиланд|3</v>
      </c>
    </row>
    <row r="881">
      <c r="A881" s="3" t="inlineStr">
        <is>
          <t>Tida Tech, Таиланд</t>
        </is>
      </c>
      <c r="B881" s="3" t="inlineStr">
        <is>
          <t>Заруб</t>
        </is>
      </c>
      <c r="C881" s="3" t="inlineStr">
        <is>
          <t>План</t>
        </is>
      </c>
      <c r="D881" s="3" t="inlineStr">
        <is>
          <t>Оборудование</t>
        </is>
      </c>
      <c r="E881" s="3" t="inlineStr">
        <is>
          <t>План и бонусы</t>
        </is>
      </c>
      <c r="F881" s="3" t="inlineStr">
        <is>
          <t>Скидка в 1 кв. 2025 ф.г.*</t>
        </is>
      </c>
      <c r="G881" s="4" t="n">
        <v>3</v>
      </c>
      <c r="H881" s="4" t="n"/>
      <c r="I881" s="3" t="n"/>
      <c r="J881" s="4" t="n">
        <v>5</v>
      </c>
      <c r="K881" s="4" t="n"/>
      <c r="L881" s="4" t="n"/>
      <c r="M881" s="8" t="n">
        <v>0.16</v>
      </c>
      <c r="N881" s="4" t="inlineStr">
        <is>
          <t>%</t>
        </is>
      </c>
      <c r="O881" s="3" t="inlineStr">
        <is>
          <t>Tida Tech</t>
        </is>
      </c>
      <c r="P881" s="3" t="inlineStr">
        <is>
          <t>H6</t>
        </is>
      </c>
      <c t="str" r="Q881" s="6">
        <f>A881&amp;"|"&amp;C881&amp;"|"&amp;D881&amp;"|"&amp;G881</f>
        <v>Tida Tech, Таиланд|План|Оборудование|3</v>
      </c>
      <c t="str" r="R881" s="6">
        <f>A881&amp;"|"&amp;C881&amp;"|"&amp;D881&amp;"|"&amp;J881</f>
        <v>Tida Tech, Таиланд|План|Оборудование|5</v>
      </c>
      <c t="str" r="S881" s="6">
        <f>A881&amp;"|"&amp;C881&amp;"|"&amp;D881&amp;"|"&amp;G881&amp;"|"&amp;J881</f>
        <v>Tida Tech, Таиланд|План|Оборудование|3|5</v>
      </c>
      <c t="str" r="T881" s="6">
        <f>A881&amp;"|"&amp;C881&amp;"|"&amp;G881</f>
        <v>Tida Tech, Таиланд|План|3</v>
      </c>
      <c t="str" r="U881" s="6">
        <f>IF(H881="да",A881&amp;"|"&amp;C881&amp;"|"&amp;D881&amp;"|"&amp;J881,"")</f>
        <v/>
      </c>
      <c t="str" r="V881" s="6">
        <f>IF(C881="План",A881&amp;"|"&amp;J881,"")</f>
        <v>Tida Tech, Таиланд|5</v>
      </c>
    </row>
    <row r="882">
      <c r="A882" s="3" t="inlineStr">
        <is>
          <t>Tida Tech, Таиланд</t>
        </is>
      </c>
      <c r="B882" s="3" t="inlineStr">
        <is>
          <t>Заруб</t>
        </is>
      </c>
      <c r="C882" s="3" t="inlineStr">
        <is>
          <t>План</t>
        </is>
      </c>
      <c r="D882" s="3" t="inlineStr">
        <is>
          <t>Расходные материалы</t>
        </is>
      </c>
      <c r="E882" s="3" t="inlineStr">
        <is>
          <t>План и бонусы</t>
        </is>
      </c>
      <c r="F882" s="3" t="inlineStr">
        <is>
          <t>Выручка 2023</t>
        </is>
      </c>
      <c r="G882" s="4" t="n">
        <v>4</v>
      </c>
      <c r="H882" s="4" t="n"/>
      <c r="I882" s="3" t="n"/>
      <c r="J882" s="4" t="n">
        <v>1</v>
      </c>
      <c r="K882" s="4" t="n"/>
      <c r="L882" s="4" t="n"/>
      <c r="M882" s="5" t="n">
        <v>55989.39000000001</v>
      </c>
      <c r="N882" s="4" t="inlineStr">
        <is>
          <t>EUR</t>
        </is>
      </c>
      <c r="O882" s="3" t="inlineStr">
        <is>
          <t>Tida Tech</t>
        </is>
      </c>
      <c r="P882" s="3" t="inlineStr">
        <is>
          <t>D7</t>
        </is>
      </c>
      <c t="str" r="Q882" s="6">
        <f>A882&amp;"|"&amp;C882&amp;"|"&amp;D882&amp;"|"&amp;G882</f>
        <v>Tida Tech, Таиланд|План|Расходные материалы|4</v>
      </c>
      <c t="str" r="R882" s="6">
        <f>A882&amp;"|"&amp;C882&amp;"|"&amp;D882&amp;"|"&amp;J882</f>
        <v>Tida Tech, Таиланд|План|Расходные материалы|1</v>
      </c>
      <c t="str" r="S882" s="6">
        <f>A882&amp;"|"&amp;C882&amp;"|"&amp;D882&amp;"|"&amp;G882&amp;"|"&amp;J882</f>
        <v>Tida Tech, Таиланд|План|Расходные материалы|4|1</v>
      </c>
      <c t="str" r="T882" s="6">
        <f>A882&amp;"|"&amp;C882&amp;"|"&amp;G882</f>
        <v>Tida Tech, Таиланд|План|4</v>
      </c>
      <c t="str" r="U882" s="6">
        <f>IF(H882="да",A882&amp;"|"&amp;C882&amp;"|"&amp;D882&amp;"|"&amp;J882,"")</f>
        <v/>
      </c>
      <c t="str" r="V882" s="6">
        <f>IF(C882="План",A882&amp;"|"&amp;J882,"")</f>
        <v>Tida Tech, Таиланд|1</v>
      </c>
    </row>
    <row r="883">
      <c r="A883" s="3" t="inlineStr">
        <is>
          <t>Tida Tech, Таиланд</t>
        </is>
      </c>
      <c r="B883" s="3" t="inlineStr">
        <is>
          <t>Заруб</t>
        </is>
      </c>
      <c r="C883" s="3" t="inlineStr">
        <is>
          <t>План</t>
        </is>
      </c>
      <c r="D883" s="3" t="inlineStr">
        <is>
          <t>Расходные материалы</t>
        </is>
      </c>
      <c r="E883" s="3" t="inlineStr">
        <is>
          <t>План и бонусы</t>
        </is>
      </c>
      <c r="F883" s="3" t="inlineStr">
        <is>
          <t>Выручка 2024</t>
        </is>
      </c>
      <c r="G883" s="4" t="n">
        <v>4</v>
      </c>
      <c r="H883" s="4" t="n"/>
      <c r="I883" s="3" t="n"/>
      <c r="J883" s="4" t="n">
        <v>2</v>
      </c>
      <c r="K883" s="4" t="n"/>
      <c r="L883" s="4" t="n"/>
      <c r="M883" s="5" t="n">
        <v>50928.82999999999</v>
      </c>
      <c r="N883" s="4" t="inlineStr">
        <is>
          <t>EUR</t>
        </is>
      </c>
      <c r="O883" s="3" t="inlineStr">
        <is>
          <t>Tida Tech</t>
        </is>
      </c>
      <c r="P883" s="3" t="inlineStr">
        <is>
          <t>E7</t>
        </is>
      </c>
      <c t="str" r="Q883" s="6">
        <f>A883&amp;"|"&amp;C883&amp;"|"&amp;D883&amp;"|"&amp;G883</f>
        <v>Tida Tech, Таиланд|План|Расходные материалы|4</v>
      </c>
      <c t="str" r="R883" s="6">
        <f>A883&amp;"|"&amp;C883&amp;"|"&amp;D883&amp;"|"&amp;J883</f>
        <v>Tida Tech, Таиланд|План|Расходные материалы|2</v>
      </c>
      <c t="str" r="S883" s="6">
        <f>A883&amp;"|"&amp;C883&amp;"|"&amp;D883&amp;"|"&amp;G883&amp;"|"&amp;J883</f>
        <v>Tida Tech, Таиланд|План|Расходные материалы|4|2</v>
      </c>
      <c t="str" r="T883" s="6">
        <f>A883&amp;"|"&amp;C883&amp;"|"&amp;G883</f>
        <v>Tida Tech, Таиланд|План|4</v>
      </c>
      <c t="str" r="U883" s="6">
        <f>IF(H883="да",A883&amp;"|"&amp;C883&amp;"|"&amp;D883&amp;"|"&amp;J883,"")</f>
        <v/>
      </c>
      <c t="str" r="V883" s="6">
        <f>IF(C883="План",A883&amp;"|"&amp;J883,"")</f>
        <v>Tida Tech, Таиланд|2</v>
      </c>
    </row>
    <row r="884">
      <c r="A884" s="3" t="inlineStr">
        <is>
          <t>Tida Tech, Таиланд</t>
        </is>
      </c>
      <c r="B884" s="3" t="inlineStr">
        <is>
          <t>Заруб</t>
        </is>
      </c>
      <c r="C884" s="3" t="inlineStr">
        <is>
          <t>План</t>
        </is>
      </c>
      <c r="D884" s="3" t="inlineStr">
        <is>
          <t>Расходные материалы</t>
        </is>
      </c>
      <c r="E884" s="3" t="inlineStr">
        <is>
          <t>План и бонусы</t>
        </is>
      </c>
      <c r="F884" s="3" t="inlineStr">
        <is>
          <t>План 2025</t>
        </is>
      </c>
      <c r="G884" s="4" t="n">
        <v>4</v>
      </c>
      <c r="H884" s="4" t="n"/>
      <c r="I884" s="3" t="n"/>
      <c r="J884" s="4" t="n">
        <v>3</v>
      </c>
      <c r="K884" s="4" t="n"/>
      <c r="L884" s="4" t="n"/>
      <c r="M884" s="5" t="n">
        <v>66004.15189001977</v>
      </c>
      <c r="N884" s="4" t="inlineStr">
        <is>
          <t>EUR</t>
        </is>
      </c>
      <c r="O884" s="3" t="inlineStr">
        <is>
          <t>Tida Tech</t>
        </is>
      </c>
      <c r="P884" s="3" t="inlineStr">
        <is>
          <t>F7</t>
        </is>
      </c>
      <c t="str" r="Q884" s="6">
        <f>A884&amp;"|"&amp;C884&amp;"|"&amp;D884&amp;"|"&amp;G884</f>
        <v>Tida Tech, Таиланд|План|Расходные материалы|4</v>
      </c>
      <c t="str" r="R884" s="6">
        <f>A884&amp;"|"&amp;C884&amp;"|"&amp;D884&amp;"|"&amp;J884</f>
        <v>Tida Tech, Таиланд|План|Расходные материалы|3</v>
      </c>
      <c t="str" r="S884" s="6">
        <f>A884&amp;"|"&amp;C884&amp;"|"&amp;D884&amp;"|"&amp;G884&amp;"|"&amp;J884</f>
        <v>Tida Tech, Таиланд|План|Расходные материалы|4|3</v>
      </c>
      <c t="str" r="T884" s="6">
        <f>A884&amp;"|"&amp;C884&amp;"|"&amp;G884</f>
        <v>Tida Tech, Таиланд|План|4</v>
      </c>
      <c t="str" r="U884" s="6">
        <f>IF(H884="да",A884&amp;"|"&amp;C884&amp;"|"&amp;D884&amp;"|"&amp;J884,"")</f>
        <v/>
      </c>
      <c t="str" r="V884" s="6">
        <f>IF(C884="План",A884&amp;"|"&amp;J884,"")</f>
        <v>Tida Tech, Таиланд|3</v>
      </c>
    </row>
    <row r="885">
      <c r="A885" s="3" t="inlineStr">
        <is>
          <t>Tida Tech, Таиланд</t>
        </is>
      </c>
      <c r="B885" s="3" t="inlineStr">
        <is>
          <t>Заруб</t>
        </is>
      </c>
      <c r="C885" s="3" t="inlineStr">
        <is>
          <t>Шкала</t>
        </is>
      </c>
      <c r="D885" s="3" t="inlineStr">
        <is>
          <t>Оборудование</t>
        </is>
      </c>
      <c r="E885" s="3" t="inlineStr">
        <is>
          <t>Оборудование — за полугодие</t>
        </is>
      </c>
      <c r="F885" s="3" t="inlineStr">
        <is>
          <t>Базовое вознаграждение за Дилерский договор</t>
        </is>
      </c>
      <c r="G885" s="4" t="n">
        <v>1</v>
      </c>
      <c r="H885" s="4" t="n"/>
      <c r="I885" s="3" t="inlineStr">
        <is>
          <t>до 75</t>
        </is>
      </c>
      <c r="J885" s="4" t="n">
        <v>1</v>
      </c>
      <c r="K885" s="4" t="n"/>
      <c r="L885" s="4" t="n"/>
      <c r="M885" s="8" t="n">
        <v>0.06</v>
      </c>
      <c r="N885" s="4" t="inlineStr">
        <is>
          <t>%</t>
        </is>
      </c>
      <c r="O885" s="3" t="inlineStr">
        <is>
          <t>Tida Tech</t>
        </is>
      </c>
      <c r="P885" s="3" t="inlineStr">
        <is>
          <t>E15</t>
        </is>
      </c>
      <c t="str" r="Q885" s="6">
        <f>A885&amp;"|"&amp;C885&amp;"|"&amp;D885&amp;"|"&amp;G885</f>
        <v>Tida Tech, Таиланд|Шкала|Оборудование|1</v>
      </c>
      <c t="str" r="R885" s="6">
        <f>A885&amp;"|"&amp;C885&amp;"|"&amp;D885&amp;"|"&amp;J885</f>
        <v>Tida Tech, Таиланд|Шкала|Оборудование|1</v>
      </c>
      <c t="str" r="S885" s="6">
        <f>A885&amp;"|"&amp;C885&amp;"|"&amp;D885&amp;"|"&amp;G885&amp;"|"&amp;J885</f>
        <v>Tida Tech, Таиланд|Шкала|Оборудование|1|1</v>
      </c>
      <c t="str" r="T885" s="6">
        <f>A885&amp;"|"&amp;C885&amp;"|"&amp;G885</f>
        <v>Tida Tech, Таиланд|Шкала|1</v>
      </c>
      <c t="str" r="U885" s="6">
        <f>IF(H885="да",A885&amp;"|"&amp;C885&amp;"|"&amp;D885&amp;"|"&amp;J885,"")</f>
        <v/>
      </c>
      <c t="str" r="V885" s="6">
        <f>IF(C885="План",A885&amp;"|"&amp;J885,"")</f>
        <v/>
      </c>
    </row>
    <row r="886">
      <c r="A886" s="3" t="inlineStr">
        <is>
          <t>Tida Tech, Таиланд</t>
        </is>
      </c>
      <c r="B886" s="3" t="inlineStr">
        <is>
          <t>Заруб</t>
        </is>
      </c>
      <c r="C886" s="3" t="inlineStr">
        <is>
          <t>Шкала</t>
        </is>
      </c>
      <c r="D886" s="3" t="inlineStr">
        <is>
          <t>Оборудование</t>
        </is>
      </c>
      <c r="E886" s="3" t="inlineStr">
        <is>
          <t>Оборудование — за полугодие</t>
        </is>
      </c>
      <c r="F886" s="3" t="inlineStr">
        <is>
          <t>Базовое вознаграждение за Дилерский договор</t>
        </is>
      </c>
      <c r="G886" s="4" t="n">
        <v>1</v>
      </c>
      <c r="H886" s="4" t="n"/>
      <c r="I886" s="3" t="inlineStr">
        <is>
          <t>75-114</t>
        </is>
      </c>
      <c r="J886" s="4" t="n">
        <v>2</v>
      </c>
      <c r="K886" s="4" t="n"/>
      <c r="L886" s="4" t="n"/>
      <c r="M886" s="8" t="n">
        <v>0.06</v>
      </c>
      <c r="N886" s="4" t="inlineStr">
        <is>
          <t>%</t>
        </is>
      </c>
      <c r="O886" s="3" t="inlineStr">
        <is>
          <t>Tida Tech</t>
        </is>
      </c>
      <c r="P886" s="3" t="inlineStr">
        <is>
          <t>F15</t>
        </is>
      </c>
      <c t="str" r="Q886" s="6">
        <f>A886&amp;"|"&amp;C886&amp;"|"&amp;D886&amp;"|"&amp;G886</f>
        <v>Tida Tech, Таиланд|Шкала|Оборудование|1</v>
      </c>
      <c t="str" r="R886" s="6">
        <f>A886&amp;"|"&amp;C886&amp;"|"&amp;D886&amp;"|"&amp;J886</f>
        <v>Tida Tech, Таиланд|Шкала|Оборудование|2</v>
      </c>
      <c t="str" r="S886" s="6">
        <f>A886&amp;"|"&amp;C886&amp;"|"&amp;D886&amp;"|"&amp;G886&amp;"|"&amp;J886</f>
        <v>Tida Tech, Таиланд|Шкала|Оборудование|1|2</v>
      </c>
      <c t="str" r="T886" s="6">
        <f>A886&amp;"|"&amp;C886&amp;"|"&amp;G886</f>
        <v>Tida Tech, Таиланд|Шкала|1</v>
      </c>
      <c t="str" r="U886" s="6">
        <f>IF(H886="да",A886&amp;"|"&amp;C886&amp;"|"&amp;D886&amp;"|"&amp;J886,"")</f>
        <v/>
      </c>
      <c t="str" r="V886" s="6">
        <f>IF(C886="План",A886&amp;"|"&amp;J886,"")</f>
        <v/>
      </c>
    </row>
    <row r="887">
      <c r="A887" s="3" t="inlineStr">
        <is>
          <t>Tida Tech, Таиланд</t>
        </is>
      </c>
      <c r="B887" s="3" t="inlineStr">
        <is>
          <t>Заруб</t>
        </is>
      </c>
      <c r="C887" s="3" t="inlineStr">
        <is>
          <t>Шкала</t>
        </is>
      </c>
      <c r="D887" s="3" t="inlineStr">
        <is>
          <t>Оборудование</t>
        </is>
      </c>
      <c r="E887" s="3" t="inlineStr">
        <is>
          <t>Оборудование — за полугодие</t>
        </is>
      </c>
      <c r="F887" s="3" t="inlineStr">
        <is>
          <t>Базовое вознаграждение за Дилерский договор</t>
        </is>
      </c>
      <c r="G887" s="4" t="n">
        <v>1</v>
      </c>
      <c r="H887" s="4" t="n"/>
      <c r="I887" s="3" t="inlineStr">
        <is>
          <t>115-149</t>
        </is>
      </c>
      <c r="J887" s="4" t="n">
        <v>3</v>
      </c>
      <c r="K887" s="4" t="n"/>
      <c r="L887" s="4" t="n"/>
      <c r="M887" s="8" t="n">
        <v>0.06</v>
      </c>
      <c r="N887" s="4" t="inlineStr">
        <is>
          <t>%</t>
        </is>
      </c>
      <c r="O887" s="3" t="inlineStr">
        <is>
          <t>Tida Tech</t>
        </is>
      </c>
      <c r="P887" s="3" t="inlineStr">
        <is>
          <t>G15</t>
        </is>
      </c>
      <c t="str" r="Q887" s="6">
        <f>A887&amp;"|"&amp;C887&amp;"|"&amp;D887&amp;"|"&amp;G887</f>
        <v>Tida Tech, Таиланд|Шкала|Оборудование|1</v>
      </c>
      <c t="str" r="R887" s="6">
        <f>A887&amp;"|"&amp;C887&amp;"|"&amp;D887&amp;"|"&amp;J887</f>
        <v>Tida Tech, Таиланд|Шкала|Оборудование|3</v>
      </c>
      <c t="str" r="S887" s="6">
        <f>A887&amp;"|"&amp;C887&amp;"|"&amp;D887&amp;"|"&amp;G887&amp;"|"&amp;J887</f>
        <v>Tida Tech, Таиланд|Шкала|Оборудование|1|3</v>
      </c>
      <c t="str" r="T887" s="6">
        <f>A887&amp;"|"&amp;C887&amp;"|"&amp;G887</f>
        <v>Tida Tech, Таиланд|Шкала|1</v>
      </c>
      <c t="str" r="U887" s="6">
        <f>IF(H887="да",A887&amp;"|"&amp;C887&amp;"|"&amp;D887&amp;"|"&amp;J887,"")</f>
        <v/>
      </c>
      <c t="str" r="V887" s="6">
        <f>IF(C887="План",A887&amp;"|"&amp;J887,"")</f>
        <v/>
      </c>
    </row>
    <row r="888">
      <c r="A888" s="3" t="inlineStr">
        <is>
          <t>Tida Tech, Таиланд</t>
        </is>
      </c>
      <c r="B888" s="3" t="inlineStr">
        <is>
          <t>Заруб</t>
        </is>
      </c>
      <c r="C888" s="3" t="inlineStr">
        <is>
          <t>Шкала</t>
        </is>
      </c>
      <c r="D888" s="3" t="inlineStr">
        <is>
          <t>Оборудование</t>
        </is>
      </c>
      <c r="E888" s="3" t="inlineStr">
        <is>
          <t>Оборудование — за полугодие</t>
        </is>
      </c>
      <c r="F888" s="3" t="inlineStr">
        <is>
          <t>Базовое вознаграждение за Дилерский договор</t>
        </is>
      </c>
      <c r="G888" s="4" t="n">
        <v>1</v>
      </c>
      <c r="H888" s="4" t="n"/>
      <c r="I888" s="3" t="inlineStr">
        <is>
          <t>150-189</t>
        </is>
      </c>
      <c r="J888" s="4" t="n">
        <v>4</v>
      </c>
      <c r="K888" s="4" t="n"/>
      <c r="L888" s="4" t="n"/>
      <c r="M888" s="8" t="n">
        <v>0.06</v>
      </c>
      <c r="N888" s="4" t="inlineStr">
        <is>
          <t>%</t>
        </is>
      </c>
      <c r="O888" s="3" t="inlineStr">
        <is>
          <t>Tida Tech</t>
        </is>
      </c>
      <c r="P888" s="3" t="inlineStr">
        <is>
          <t>H15</t>
        </is>
      </c>
      <c t="str" r="Q888" s="6">
        <f>A888&amp;"|"&amp;C888&amp;"|"&amp;D888&amp;"|"&amp;G888</f>
        <v>Tida Tech, Таиланд|Шкала|Оборудование|1</v>
      </c>
      <c t="str" r="R888" s="6">
        <f>A888&amp;"|"&amp;C888&amp;"|"&amp;D888&amp;"|"&amp;J888</f>
        <v>Tida Tech, Таиланд|Шкала|Оборудование|4</v>
      </c>
      <c t="str" r="S888" s="6">
        <f>A888&amp;"|"&amp;C888&amp;"|"&amp;D888&amp;"|"&amp;G888&amp;"|"&amp;J888</f>
        <v>Tida Tech, Таиланд|Шкала|Оборудование|1|4</v>
      </c>
      <c t="str" r="T888" s="6">
        <f>A888&amp;"|"&amp;C888&amp;"|"&amp;G888</f>
        <v>Tida Tech, Таиланд|Шкала|1</v>
      </c>
      <c t="str" r="U888" s="6">
        <f>IF(H888="да",A888&amp;"|"&amp;C888&amp;"|"&amp;D888&amp;"|"&amp;J888,"")</f>
        <v/>
      </c>
      <c t="str" r="V888" s="6">
        <f>IF(C888="План",A888&amp;"|"&amp;J888,"")</f>
        <v/>
      </c>
    </row>
    <row r="889">
      <c r="A889" s="3" t="inlineStr">
        <is>
          <t>Tida Tech, Таиланд</t>
        </is>
      </c>
      <c r="B889" s="3" t="inlineStr">
        <is>
          <t>Заруб</t>
        </is>
      </c>
      <c r="C889" s="3" t="inlineStr">
        <is>
          <t>Шкала</t>
        </is>
      </c>
      <c r="D889" s="3" t="inlineStr">
        <is>
          <t>Оборудование</t>
        </is>
      </c>
      <c r="E889" s="3" t="inlineStr">
        <is>
          <t>Оборудование — за полугодие</t>
        </is>
      </c>
      <c r="F889" s="3" t="inlineStr">
        <is>
          <t>Базовое вознаграждение за Дилерский договор</t>
        </is>
      </c>
      <c r="G889" s="4" t="n">
        <v>1</v>
      </c>
      <c r="H889" s="4" t="n"/>
      <c r="I889" s="3" t="inlineStr">
        <is>
          <t>190-224</t>
        </is>
      </c>
      <c r="J889" s="4" t="n">
        <v>5</v>
      </c>
      <c r="K889" s="4" t="n"/>
      <c r="L889" s="4" t="n"/>
      <c r="M889" s="8" t="n">
        <v>0.06</v>
      </c>
      <c r="N889" s="4" t="inlineStr">
        <is>
          <t>%</t>
        </is>
      </c>
      <c r="O889" s="3" t="inlineStr">
        <is>
          <t>Tida Tech</t>
        </is>
      </c>
      <c r="P889" s="3" t="inlineStr">
        <is>
          <t>I15</t>
        </is>
      </c>
      <c t="str" r="Q889" s="6">
        <f>A889&amp;"|"&amp;C889&amp;"|"&amp;D889&amp;"|"&amp;G889</f>
        <v>Tida Tech, Таиланд|Шкала|Оборудование|1</v>
      </c>
      <c t="str" r="R889" s="6">
        <f>A889&amp;"|"&amp;C889&amp;"|"&amp;D889&amp;"|"&amp;J889</f>
        <v>Tida Tech, Таиланд|Шкала|Оборудование|5</v>
      </c>
      <c t="str" r="S889" s="6">
        <f>A889&amp;"|"&amp;C889&amp;"|"&amp;D889&amp;"|"&amp;G889&amp;"|"&amp;J889</f>
        <v>Tida Tech, Таиланд|Шкала|Оборудование|1|5</v>
      </c>
      <c t="str" r="T889" s="6">
        <f>A889&amp;"|"&amp;C889&amp;"|"&amp;G889</f>
        <v>Tida Tech, Таиланд|Шкала|1</v>
      </c>
      <c t="str" r="U889" s="6">
        <f>IF(H889="да",A889&amp;"|"&amp;C889&amp;"|"&amp;D889&amp;"|"&amp;J889,"")</f>
        <v/>
      </c>
      <c t="str" r="V889" s="6">
        <f>IF(C889="План",A889&amp;"|"&amp;J889,"")</f>
        <v/>
      </c>
    </row>
    <row r="890">
      <c r="A890" s="3" t="inlineStr">
        <is>
          <t>Tida Tech, Таиланд</t>
        </is>
      </c>
      <c r="B890" s="3" t="inlineStr">
        <is>
          <t>Заруб</t>
        </is>
      </c>
      <c r="C890" s="3" t="inlineStr">
        <is>
          <t>Шкала</t>
        </is>
      </c>
      <c r="D890" s="3" t="inlineStr">
        <is>
          <t>Оборудование</t>
        </is>
      </c>
      <c r="E890" s="3" t="inlineStr">
        <is>
          <t>Оборудование — за полугодие</t>
        </is>
      </c>
      <c r="F890" s="3" t="inlineStr">
        <is>
          <t>Базовое вознаграждение за Дилерский договор</t>
        </is>
      </c>
      <c r="G890" s="4" t="n">
        <v>1</v>
      </c>
      <c r="H890" s="4" t="n"/>
      <c r="I890" s="3" t="inlineStr">
        <is>
          <t>225 и более</t>
        </is>
      </c>
      <c r="J890" s="4" t="n">
        <v>6</v>
      </c>
      <c r="K890" s="4" t="n"/>
      <c r="L890" s="4" t="n"/>
      <c r="M890" s="8" t="n">
        <v>0.06</v>
      </c>
      <c r="N890" s="4" t="inlineStr">
        <is>
          <t>%</t>
        </is>
      </c>
      <c r="O890" s="3" t="inlineStr">
        <is>
          <t>Tida Tech</t>
        </is>
      </c>
      <c r="P890" s="3" t="inlineStr">
        <is>
          <t>J15</t>
        </is>
      </c>
      <c t="str" r="Q890" s="6">
        <f>A890&amp;"|"&amp;C890&amp;"|"&amp;D890&amp;"|"&amp;G890</f>
        <v>Tida Tech, Таиланд|Шкала|Оборудование|1</v>
      </c>
      <c t="str" r="R890" s="6">
        <f>A890&amp;"|"&amp;C890&amp;"|"&amp;D890&amp;"|"&amp;J890</f>
        <v>Tida Tech, Таиланд|Шкала|Оборудование|6</v>
      </c>
      <c t="str" r="S890" s="6">
        <f>A890&amp;"|"&amp;C890&amp;"|"&amp;D890&amp;"|"&amp;G890&amp;"|"&amp;J890</f>
        <v>Tida Tech, Таиланд|Шкала|Оборудование|1|6</v>
      </c>
      <c t="str" r="T890" s="6">
        <f>A890&amp;"|"&amp;C890&amp;"|"&amp;G890</f>
        <v>Tida Tech, Таиланд|Шкала|1</v>
      </c>
      <c t="str" r="U890" s="6">
        <f>IF(H890="да",A890&amp;"|"&amp;C890&amp;"|"&amp;D890&amp;"|"&amp;J890,"")</f>
        <v/>
      </c>
      <c t="str" r="V890" s="6">
        <f>IF(C890="План",A890&amp;"|"&amp;J890,"")</f>
        <v/>
      </c>
    </row>
    <row r="891">
      <c r="A891" s="3" t="inlineStr">
        <is>
          <t>Tida Tech, Таиланд</t>
        </is>
      </c>
      <c r="B891" s="3" t="inlineStr">
        <is>
          <t>Заруб</t>
        </is>
      </c>
      <c r="C891" s="3" t="inlineStr">
        <is>
          <t>Шкала</t>
        </is>
      </c>
      <c r="D891" s="3" t="inlineStr">
        <is>
          <t>Оборудование</t>
        </is>
      </c>
      <c r="E891" s="3" t="inlineStr">
        <is>
          <t>Оборудование — за полугодие</t>
        </is>
      </c>
      <c r="F891" s="3" t="inlineStr">
        <is>
          <t>Наличие сервисного центра и гарантийное обслуживание</t>
        </is>
      </c>
      <c r="G891" s="4" t="n">
        <v>2</v>
      </c>
      <c r="H891" s="4" t="n"/>
      <c r="I891" s="3" t="inlineStr">
        <is>
          <t>до 75</t>
        </is>
      </c>
      <c r="J891" s="4" t="n">
        <v>1</v>
      </c>
      <c r="K891" s="4" t="n"/>
      <c r="L891" s="4" t="n"/>
      <c r="M891" s="8" t="n">
        <v>0.01</v>
      </c>
      <c r="N891" s="4" t="inlineStr">
        <is>
          <t>%</t>
        </is>
      </c>
      <c r="O891" s="3" t="inlineStr">
        <is>
          <t>Tida Tech</t>
        </is>
      </c>
      <c r="P891" s="3" t="inlineStr">
        <is>
          <t>E16</t>
        </is>
      </c>
      <c t="str" r="Q891" s="6">
        <f>A891&amp;"|"&amp;C891&amp;"|"&amp;D891&amp;"|"&amp;G891</f>
        <v>Tida Tech, Таиланд|Шкала|Оборудование|2</v>
      </c>
      <c t="str" r="R891" s="6">
        <f>A891&amp;"|"&amp;C891&amp;"|"&amp;D891&amp;"|"&amp;J891</f>
        <v>Tida Tech, Таиланд|Шкала|Оборудование|1</v>
      </c>
      <c t="str" r="S891" s="6">
        <f>A891&amp;"|"&amp;C891&amp;"|"&amp;D891&amp;"|"&amp;G891&amp;"|"&amp;J891</f>
        <v>Tida Tech, Таиланд|Шкала|Оборудование|2|1</v>
      </c>
      <c t="str" r="T891" s="6">
        <f>A891&amp;"|"&amp;C891&amp;"|"&amp;G891</f>
        <v>Tida Tech, Таиланд|Шкала|2</v>
      </c>
      <c t="str" r="U891" s="6">
        <f>IF(H891="да",A891&amp;"|"&amp;C891&amp;"|"&amp;D891&amp;"|"&amp;J891,"")</f>
        <v/>
      </c>
      <c t="str" r="V891" s="6">
        <f>IF(C891="План",A891&amp;"|"&amp;J891,"")</f>
        <v/>
      </c>
    </row>
    <row r="892">
      <c r="A892" s="3" t="inlineStr">
        <is>
          <t>Tida Tech, Таиланд</t>
        </is>
      </c>
      <c r="B892" s="3" t="inlineStr">
        <is>
          <t>Заруб</t>
        </is>
      </c>
      <c r="C892" s="3" t="inlineStr">
        <is>
          <t>Шкала</t>
        </is>
      </c>
      <c r="D892" s="3" t="inlineStr">
        <is>
          <t>Оборудование</t>
        </is>
      </c>
      <c r="E892" s="3" t="inlineStr">
        <is>
          <t>Оборудование — за полугодие</t>
        </is>
      </c>
      <c r="F892" s="3" t="inlineStr">
        <is>
          <t>Наличие сервисного центра и гарантийное обслуживание</t>
        </is>
      </c>
      <c r="G892" s="4" t="n">
        <v>2</v>
      </c>
      <c r="H892" s="4" t="n"/>
      <c r="I892" s="3" t="inlineStr">
        <is>
          <t>75-114</t>
        </is>
      </c>
      <c r="J892" s="4" t="n">
        <v>2</v>
      </c>
      <c r="K892" s="4" t="n"/>
      <c r="L892" s="4" t="n"/>
      <c r="M892" s="8" t="n">
        <v>0.01</v>
      </c>
      <c r="N892" s="4" t="inlineStr">
        <is>
          <t>%</t>
        </is>
      </c>
      <c r="O892" s="3" t="inlineStr">
        <is>
          <t>Tida Tech</t>
        </is>
      </c>
      <c r="P892" s="3" t="inlineStr">
        <is>
          <t>F16</t>
        </is>
      </c>
      <c t="str" r="Q892" s="6">
        <f>A892&amp;"|"&amp;C892&amp;"|"&amp;D892&amp;"|"&amp;G892</f>
        <v>Tida Tech, Таиланд|Шкала|Оборудование|2</v>
      </c>
      <c t="str" r="R892" s="6">
        <f>A892&amp;"|"&amp;C892&amp;"|"&amp;D892&amp;"|"&amp;J892</f>
        <v>Tida Tech, Таиланд|Шкала|Оборудование|2</v>
      </c>
      <c t="str" r="S892" s="6">
        <f>A892&amp;"|"&amp;C892&amp;"|"&amp;D892&amp;"|"&amp;G892&amp;"|"&amp;J892</f>
        <v>Tida Tech, Таиланд|Шкала|Оборудование|2|2</v>
      </c>
      <c t="str" r="T892" s="6">
        <f>A892&amp;"|"&amp;C892&amp;"|"&amp;G892</f>
        <v>Tida Tech, Таиланд|Шкала|2</v>
      </c>
      <c t="str" r="U892" s="6">
        <f>IF(H892="да",A892&amp;"|"&amp;C892&amp;"|"&amp;D892&amp;"|"&amp;J892,"")</f>
        <v/>
      </c>
      <c t="str" r="V892" s="6">
        <f>IF(C892="План",A892&amp;"|"&amp;J892,"")</f>
        <v/>
      </c>
    </row>
    <row r="893">
      <c r="A893" s="3" t="inlineStr">
        <is>
          <t>Tida Tech, Таиланд</t>
        </is>
      </c>
      <c r="B893" s="3" t="inlineStr">
        <is>
          <t>Заруб</t>
        </is>
      </c>
      <c r="C893" s="3" t="inlineStr">
        <is>
          <t>Шкала</t>
        </is>
      </c>
      <c r="D893" s="3" t="inlineStr">
        <is>
          <t>Оборудование</t>
        </is>
      </c>
      <c r="E893" s="3" t="inlineStr">
        <is>
          <t>Оборудование — за полугодие</t>
        </is>
      </c>
      <c r="F893" s="3" t="inlineStr">
        <is>
          <t>Наличие сервисного центра и гарантийное обслуживание</t>
        </is>
      </c>
      <c r="G893" s="4" t="n">
        <v>2</v>
      </c>
      <c r="H893" s="4" t="n"/>
      <c r="I893" s="3" t="inlineStr">
        <is>
          <t>115-149</t>
        </is>
      </c>
      <c r="J893" s="4" t="n">
        <v>3</v>
      </c>
      <c r="K893" s="4" t="n"/>
      <c r="L893" s="4" t="n"/>
      <c r="M893" s="8" t="n">
        <v>0.01</v>
      </c>
      <c r="N893" s="4" t="inlineStr">
        <is>
          <t>%</t>
        </is>
      </c>
      <c r="O893" s="3" t="inlineStr">
        <is>
          <t>Tida Tech</t>
        </is>
      </c>
      <c r="P893" s="3" t="inlineStr">
        <is>
          <t>G16</t>
        </is>
      </c>
      <c t="str" r="Q893" s="6">
        <f>A893&amp;"|"&amp;C893&amp;"|"&amp;D893&amp;"|"&amp;G893</f>
        <v>Tida Tech, Таиланд|Шкала|Оборудование|2</v>
      </c>
      <c t="str" r="R893" s="6">
        <f>A893&amp;"|"&amp;C893&amp;"|"&amp;D893&amp;"|"&amp;J893</f>
        <v>Tida Tech, Таиланд|Шкала|Оборудование|3</v>
      </c>
      <c t="str" r="S893" s="6">
        <f>A893&amp;"|"&amp;C893&amp;"|"&amp;D893&amp;"|"&amp;G893&amp;"|"&amp;J893</f>
        <v>Tida Tech, Таиланд|Шкала|Оборудование|2|3</v>
      </c>
      <c t="str" r="T893" s="6">
        <f>A893&amp;"|"&amp;C893&amp;"|"&amp;G893</f>
        <v>Tida Tech, Таиланд|Шкала|2</v>
      </c>
      <c t="str" r="U893" s="6">
        <f>IF(H893="да",A893&amp;"|"&amp;C893&amp;"|"&amp;D893&amp;"|"&amp;J893,"")</f>
        <v/>
      </c>
      <c t="str" r="V893" s="6">
        <f>IF(C893="План",A893&amp;"|"&amp;J893,"")</f>
        <v/>
      </c>
    </row>
    <row r="894">
      <c r="A894" s="3" t="inlineStr">
        <is>
          <t>Tida Tech, Таиланд</t>
        </is>
      </c>
      <c r="B894" s="3" t="inlineStr">
        <is>
          <t>Заруб</t>
        </is>
      </c>
      <c r="C894" s="3" t="inlineStr">
        <is>
          <t>Шкала</t>
        </is>
      </c>
      <c r="D894" s="3" t="inlineStr">
        <is>
          <t>Оборудование</t>
        </is>
      </c>
      <c r="E894" s="3" t="inlineStr">
        <is>
          <t>Оборудование — за полугодие</t>
        </is>
      </c>
      <c r="F894" s="3" t="inlineStr">
        <is>
          <t>Наличие сервисного центра и гарантийное обслуживание</t>
        </is>
      </c>
      <c r="G894" s="4" t="n">
        <v>2</v>
      </c>
      <c r="H894" s="4" t="n"/>
      <c r="I894" s="3" t="inlineStr">
        <is>
          <t>150-189</t>
        </is>
      </c>
      <c r="J894" s="4" t="n">
        <v>4</v>
      </c>
      <c r="K894" s="4" t="n"/>
      <c r="L894" s="4" t="n"/>
      <c r="M894" s="8" t="n">
        <v>0.01</v>
      </c>
      <c r="N894" s="4" t="inlineStr">
        <is>
          <t>%</t>
        </is>
      </c>
      <c r="O894" s="3" t="inlineStr">
        <is>
          <t>Tida Tech</t>
        </is>
      </c>
      <c r="P894" s="3" t="inlineStr">
        <is>
          <t>H16</t>
        </is>
      </c>
      <c t="str" r="Q894" s="6">
        <f>A894&amp;"|"&amp;C894&amp;"|"&amp;D894&amp;"|"&amp;G894</f>
        <v>Tida Tech, Таиланд|Шкала|Оборудование|2</v>
      </c>
      <c t="str" r="R894" s="6">
        <f>A894&amp;"|"&amp;C894&amp;"|"&amp;D894&amp;"|"&amp;J894</f>
        <v>Tida Tech, Таиланд|Шкала|Оборудование|4</v>
      </c>
      <c t="str" r="S894" s="6">
        <f>A894&amp;"|"&amp;C894&amp;"|"&amp;D894&amp;"|"&amp;G894&amp;"|"&amp;J894</f>
        <v>Tida Tech, Таиланд|Шкала|Оборудование|2|4</v>
      </c>
      <c t="str" r="T894" s="6">
        <f>A894&amp;"|"&amp;C894&amp;"|"&amp;G894</f>
        <v>Tida Tech, Таиланд|Шкала|2</v>
      </c>
      <c t="str" r="U894" s="6">
        <f>IF(H894="да",A894&amp;"|"&amp;C894&amp;"|"&amp;D894&amp;"|"&amp;J894,"")</f>
        <v/>
      </c>
      <c t="str" r="V894" s="6">
        <f>IF(C894="План",A894&amp;"|"&amp;J894,"")</f>
        <v/>
      </c>
    </row>
    <row r="895">
      <c r="A895" s="3" t="inlineStr">
        <is>
          <t>Tida Tech, Таиланд</t>
        </is>
      </c>
      <c r="B895" s="3" t="inlineStr">
        <is>
          <t>Заруб</t>
        </is>
      </c>
      <c r="C895" s="3" t="inlineStr">
        <is>
          <t>Шкала</t>
        </is>
      </c>
      <c r="D895" s="3" t="inlineStr">
        <is>
          <t>Оборудование</t>
        </is>
      </c>
      <c r="E895" s="3" t="inlineStr">
        <is>
          <t>Оборудование — за полугодие</t>
        </is>
      </c>
      <c r="F895" s="3" t="inlineStr">
        <is>
          <t>Наличие сервисного центра и гарантийное обслуживание</t>
        </is>
      </c>
      <c r="G895" s="4" t="n">
        <v>2</v>
      </c>
      <c r="H895" s="4" t="n"/>
      <c r="I895" s="3" t="inlineStr">
        <is>
          <t>190-224</t>
        </is>
      </c>
      <c r="J895" s="4" t="n">
        <v>5</v>
      </c>
      <c r="K895" s="4" t="n"/>
      <c r="L895" s="4" t="n"/>
      <c r="M895" s="8" t="n">
        <v>0.01</v>
      </c>
      <c r="N895" s="4" t="inlineStr">
        <is>
          <t>%</t>
        </is>
      </c>
      <c r="O895" s="3" t="inlineStr">
        <is>
          <t>Tida Tech</t>
        </is>
      </c>
      <c r="P895" s="3" t="inlineStr">
        <is>
          <t>I16</t>
        </is>
      </c>
      <c t="str" r="Q895" s="6">
        <f>A895&amp;"|"&amp;C895&amp;"|"&amp;D895&amp;"|"&amp;G895</f>
        <v>Tida Tech, Таиланд|Шкала|Оборудование|2</v>
      </c>
      <c t="str" r="R895" s="6">
        <f>A895&amp;"|"&amp;C895&amp;"|"&amp;D895&amp;"|"&amp;J895</f>
        <v>Tida Tech, Таиланд|Шкала|Оборудование|5</v>
      </c>
      <c t="str" r="S895" s="6">
        <f>A895&amp;"|"&amp;C895&amp;"|"&amp;D895&amp;"|"&amp;G895&amp;"|"&amp;J895</f>
        <v>Tida Tech, Таиланд|Шкала|Оборудование|2|5</v>
      </c>
      <c t="str" r="T895" s="6">
        <f>A895&amp;"|"&amp;C895&amp;"|"&amp;G895</f>
        <v>Tida Tech, Таиланд|Шкала|2</v>
      </c>
      <c t="str" r="U895" s="6">
        <f>IF(H895="да",A895&amp;"|"&amp;C895&amp;"|"&amp;D895&amp;"|"&amp;J895,"")</f>
        <v/>
      </c>
      <c t="str" r="V895" s="6">
        <f>IF(C895="План",A895&amp;"|"&amp;J895,"")</f>
        <v/>
      </c>
    </row>
    <row r="896">
      <c r="A896" s="3" t="inlineStr">
        <is>
          <t>Tida Tech, Таиланд</t>
        </is>
      </c>
      <c r="B896" s="3" t="inlineStr">
        <is>
          <t>Заруб</t>
        </is>
      </c>
      <c r="C896" s="3" t="inlineStr">
        <is>
          <t>Шкала</t>
        </is>
      </c>
      <c r="D896" s="3" t="inlineStr">
        <is>
          <t>Оборудование</t>
        </is>
      </c>
      <c r="E896" s="3" t="inlineStr">
        <is>
          <t>Оборудование — за полугодие</t>
        </is>
      </c>
      <c r="F896" s="3" t="inlineStr">
        <is>
          <t>Наличие сервисного центра и гарантийное обслуживание</t>
        </is>
      </c>
      <c r="G896" s="4" t="n">
        <v>2</v>
      </c>
      <c r="H896" s="4" t="n"/>
      <c r="I896" s="3" t="inlineStr">
        <is>
          <t>225 и более</t>
        </is>
      </c>
      <c r="J896" s="4" t="n">
        <v>6</v>
      </c>
      <c r="K896" s="4" t="n"/>
      <c r="L896" s="4" t="n"/>
      <c r="M896" s="8" t="n">
        <v>0.01</v>
      </c>
      <c r="N896" s="4" t="inlineStr">
        <is>
          <t>%</t>
        </is>
      </c>
      <c r="O896" s="3" t="inlineStr">
        <is>
          <t>Tida Tech</t>
        </is>
      </c>
      <c r="P896" s="3" t="inlineStr">
        <is>
          <t>J16</t>
        </is>
      </c>
      <c t="str" r="Q896" s="6">
        <f>A896&amp;"|"&amp;C896&amp;"|"&amp;D896&amp;"|"&amp;G896</f>
        <v>Tida Tech, Таиланд|Шкала|Оборудование|2</v>
      </c>
      <c t="str" r="R896" s="6">
        <f>A896&amp;"|"&amp;C896&amp;"|"&amp;D896&amp;"|"&amp;J896</f>
        <v>Tida Tech, Таиланд|Шкала|Оборудование|6</v>
      </c>
      <c t="str" r="S896" s="6">
        <f>A896&amp;"|"&amp;C896&amp;"|"&amp;D896&amp;"|"&amp;G896&amp;"|"&amp;J896</f>
        <v>Tida Tech, Таиланд|Шкала|Оборудование|2|6</v>
      </c>
      <c t="str" r="T896" s="6">
        <f>A896&amp;"|"&amp;C896&amp;"|"&amp;G896</f>
        <v>Tida Tech, Таиланд|Шкала|2</v>
      </c>
      <c t="str" r="U896" s="6">
        <f>IF(H896="да",A896&amp;"|"&amp;C896&amp;"|"&amp;D896&amp;"|"&amp;J896,"")</f>
        <v/>
      </c>
      <c t="str" r="V896" s="6">
        <f>IF(C896="План",A896&amp;"|"&amp;J896,"")</f>
        <v/>
      </c>
    </row>
    <row r="897">
      <c r="A897" s="3" t="inlineStr">
        <is>
          <t>Tida Tech, Таиланд</t>
        </is>
      </c>
      <c r="B897" s="3" t="inlineStr">
        <is>
          <t>Заруб</t>
        </is>
      </c>
      <c r="C897" s="3" t="inlineStr">
        <is>
          <t>Шкала</t>
        </is>
      </c>
      <c r="D897" s="3" t="inlineStr">
        <is>
          <t>Оборудование</t>
        </is>
      </c>
      <c r="E897" s="3" t="inlineStr">
        <is>
          <t>Оборудование — за полугодие</t>
        </is>
      </c>
      <c r="F897" s="3" t="inlineStr">
        <is>
          <t>Объем закупок МП</t>
        </is>
      </c>
      <c r="G897" s="4" t="n">
        <v>3</v>
      </c>
      <c r="H897" s="4" t="n"/>
      <c r="I897" s="3" t="inlineStr">
        <is>
          <t>до 75</t>
        </is>
      </c>
      <c r="J897" s="4" t="n">
        <v>1</v>
      </c>
      <c r="K897" s="4" t="n"/>
      <c r="L897" s="4" t="n"/>
      <c r="M897" s="8" t="n">
        <v>0</v>
      </c>
      <c r="N897" s="4" t="inlineStr">
        <is>
          <t>%</t>
        </is>
      </c>
      <c r="O897" s="3" t="inlineStr">
        <is>
          <t>Tida Tech</t>
        </is>
      </c>
      <c r="P897" s="3" t="inlineStr">
        <is>
          <t>E17</t>
        </is>
      </c>
      <c t="str" r="Q897" s="6">
        <f>A897&amp;"|"&amp;C897&amp;"|"&amp;D897&amp;"|"&amp;G897</f>
        <v>Tida Tech, Таиланд|Шкала|Оборудование|3</v>
      </c>
      <c t="str" r="R897" s="6">
        <f>A897&amp;"|"&amp;C897&amp;"|"&amp;D897&amp;"|"&amp;J897</f>
        <v>Tida Tech, Таиланд|Шкала|Оборудование|1</v>
      </c>
      <c t="str" r="S897" s="6">
        <f>A897&amp;"|"&amp;C897&amp;"|"&amp;D897&amp;"|"&amp;G897&amp;"|"&amp;J897</f>
        <v>Tida Tech, Таиланд|Шкала|Оборудование|3|1</v>
      </c>
      <c t="str" r="T897" s="6">
        <f>A897&amp;"|"&amp;C897&amp;"|"&amp;G897</f>
        <v>Tida Tech, Таиланд|Шкала|3</v>
      </c>
      <c t="str" r="U897" s="6">
        <f>IF(H897="да",A897&amp;"|"&amp;C897&amp;"|"&amp;D897&amp;"|"&amp;J897,"")</f>
        <v/>
      </c>
      <c t="str" r="V897" s="6">
        <f>IF(C897="План",A897&amp;"|"&amp;J897,"")</f>
        <v/>
      </c>
    </row>
    <row r="898">
      <c r="A898" s="3" t="inlineStr">
        <is>
          <t>Tida Tech, Таиланд</t>
        </is>
      </c>
      <c r="B898" s="3" t="inlineStr">
        <is>
          <t>Заруб</t>
        </is>
      </c>
      <c r="C898" s="3" t="inlineStr">
        <is>
          <t>Шкала</t>
        </is>
      </c>
      <c r="D898" s="3" t="inlineStr">
        <is>
          <t>Оборудование</t>
        </is>
      </c>
      <c r="E898" s="3" t="inlineStr">
        <is>
          <t>Оборудование — за полугодие</t>
        </is>
      </c>
      <c r="F898" s="3" t="inlineStr">
        <is>
          <t>Объем закупок МП</t>
        </is>
      </c>
      <c r="G898" s="4" t="n">
        <v>3</v>
      </c>
      <c r="H898" s="4" t="n"/>
      <c r="I898" s="3" t="inlineStr">
        <is>
          <t>75-114</t>
        </is>
      </c>
      <c r="J898" s="4" t="n">
        <v>2</v>
      </c>
      <c r="K898" s="4" t="n"/>
      <c r="L898" s="4" t="n"/>
      <c r="M898" s="8" t="n">
        <v>0.09</v>
      </c>
      <c r="N898" s="4" t="inlineStr">
        <is>
          <t>%</t>
        </is>
      </c>
      <c r="O898" s="3" t="inlineStr">
        <is>
          <t>Tida Tech</t>
        </is>
      </c>
      <c r="P898" s="3" t="inlineStr">
        <is>
          <t>F17</t>
        </is>
      </c>
      <c t="str" r="Q898" s="6">
        <f>A898&amp;"|"&amp;C898&amp;"|"&amp;D898&amp;"|"&amp;G898</f>
        <v>Tida Tech, Таиланд|Шкала|Оборудование|3</v>
      </c>
      <c t="str" r="R898" s="6">
        <f>A898&amp;"|"&amp;C898&amp;"|"&amp;D898&amp;"|"&amp;J898</f>
        <v>Tida Tech, Таиланд|Шкала|Оборудование|2</v>
      </c>
      <c t="str" r="S898" s="6">
        <f>A898&amp;"|"&amp;C898&amp;"|"&amp;D898&amp;"|"&amp;G898&amp;"|"&amp;J898</f>
        <v>Tida Tech, Таиланд|Шкала|Оборудование|3|2</v>
      </c>
      <c t="str" r="T898" s="6">
        <f>A898&amp;"|"&amp;C898&amp;"|"&amp;G898</f>
        <v>Tida Tech, Таиланд|Шкала|3</v>
      </c>
      <c t="str" r="U898" s="6">
        <f>IF(H898="да",A898&amp;"|"&amp;C898&amp;"|"&amp;D898&amp;"|"&amp;J898,"")</f>
        <v/>
      </c>
      <c t="str" r="V898" s="6">
        <f>IF(C898="План",A898&amp;"|"&amp;J898,"")</f>
        <v/>
      </c>
    </row>
    <row r="899">
      <c r="A899" s="3" t="inlineStr">
        <is>
          <t>Tida Tech, Таиланд</t>
        </is>
      </c>
      <c r="B899" s="3" t="inlineStr">
        <is>
          <t>Заруб</t>
        </is>
      </c>
      <c r="C899" s="3" t="inlineStr">
        <is>
          <t>Шкала</t>
        </is>
      </c>
      <c r="D899" s="3" t="inlineStr">
        <is>
          <t>Оборудование</t>
        </is>
      </c>
      <c r="E899" s="3" t="inlineStr">
        <is>
          <t>Оборудование — за полугодие</t>
        </is>
      </c>
      <c r="F899" s="3" t="inlineStr">
        <is>
          <t>Объем закупок МП</t>
        </is>
      </c>
      <c r="G899" s="4" t="n">
        <v>3</v>
      </c>
      <c r="H899" s="4" t="n"/>
      <c r="I899" s="3" t="inlineStr">
        <is>
          <t>115-149</t>
        </is>
      </c>
      <c r="J899" s="4" t="n">
        <v>3</v>
      </c>
      <c r="K899" s="4" t="n"/>
      <c r="L899" s="4" t="n"/>
      <c r="M899" s="8" t="n">
        <v>0.1</v>
      </c>
      <c r="N899" s="4" t="inlineStr">
        <is>
          <t>%</t>
        </is>
      </c>
      <c r="O899" s="3" t="inlineStr">
        <is>
          <t>Tida Tech</t>
        </is>
      </c>
      <c r="P899" s="3" t="inlineStr">
        <is>
          <t>G17</t>
        </is>
      </c>
      <c t="str" r="Q899" s="6">
        <f>A899&amp;"|"&amp;C899&amp;"|"&amp;D899&amp;"|"&amp;G899</f>
        <v>Tida Tech, Таиланд|Шкала|Оборудование|3</v>
      </c>
      <c t="str" r="R899" s="6">
        <f>A899&amp;"|"&amp;C899&amp;"|"&amp;D899&amp;"|"&amp;J899</f>
        <v>Tida Tech, Таиланд|Шкала|Оборудование|3</v>
      </c>
      <c t="str" r="S899" s="6">
        <f>A899&amp;"|"&amp;C899&amp;"|"&amp;D899&amp;"|"&amp;G899&amp;"|"&amp;J899</f>
        <v>Tida Tech, Таиланд|Шкала|Оборудование|3|3</v>
      </c>
      <c t="str" r="T899" s="6">
        <f>A899&amp;"|"&amp;C899&amp;"|"&amp;G899</f>
        <v>Tida Tech, Таиланд|Шкала|3</v>
      </c>
      <c t="str" r="U899" s="6">
        <f>IF(H899="да",A899&amp;"|"&amp;C899&amp;"|"&amp;D899&amp;"|"&amp;J899,"")</f>
        <v/>
      </c>
      <c t="str" r="V899" s="6">
        <f>IF(C899="План",A899&amp;"|"&amp;J899,"")</f>
        <v/>
      </c>
    </row>
    <row r="900">
      <c r="A900" s="3" t="inlineStr">
        <is>
          <t>Tida Tech, Таиланд</t>
        </is>
      </c>
      <c r="B900" s="3" t="inlineStr">
        <is>
          <t>Заруб</t>
        </is>
      </c>
      <c r="C900" s="3" t="inlineStr">
        <is>
          <t>Шкала</t>
        </is>
      </c>
      <c r="D900" s="3" t="inlineStr">
        <is>
          <t>Оборудование</t>
        </is>
      </c>
      <c r="E900" s="3" t="inlineStr">
        <is>
          <t>Оборудование — за полугодие</t>
        </is>
      </c>
      <c r="F900" s="3" t="inlineStr">
        <is>
          <t>Объем закупок МП</t>
        </is>
      </c>
      <c r="G900" s="4" t="n">
        <v>3</v>
      </c>
      <c r="H900" s="4" t="n"/>
      <c r="I900" s="3" t="inlineStr">
        <is>
          <t>150-189</t>
        </is>
      </c>
      <c r="J900" s="4" t="n">
        <v>4</v>
      </c>
      <c r="K900" s="4" t="n"/>
      <c r="L900" s="4" t="n"/>
      <c r="M900" s="8" t="n">
        <v>0.11</v>
      </c>
      <c r="N900" s="4" t="inlineStr">
        <is>
          <t>%</t>
        </is>
      </c>
      <c r="O900" s="3" t="inlineStr">
        <is>
          <t>Tida Tech</t>
        </is>
      </c>
      <c r="P900" s="3" t="inlineStr">
        <is>
          <t>H17</t>
        </is>
      </c>
      <c t="str" r="Q900" s="6">
        <f>A900&amp;"|"&amp;C900&amp;"|"&amp;D900&amp;"|"&amp;G900</f>
        <v>Tida Tech, Таиланд|Шкала|Оборудование|3</v>
      </c>
      <c t="str" r="R900" s="6">
        <f>A900&amp;"|"&amp;C900&amp;"|"&amp;D900&amp;"|"&amp;J900</f>
        <v>Tida Tech, Таиланд|Шкала|Оборудование|4</v>
      </c>
      <c t="str" r="S900" s="6">
        <f>A900&amp;"|"&amp;C900&amp;"|"&amp;D900&amp;"|"&amp;G900&amp;"|"&amp;J900</f>
        <v>Tida Tech, Таиланд|Шкала|Оборудование|3|4</v>
      </c>
      <c t="str" r="T900" s="6">
        <f>A900&amp;"|"&amp;C900&amp;"|"&amp;G900</f>
        <v>Tida Tech, Таиланд|Шкала|3</v>
      </c>
      <c t="str" r="U900" s="6">
        <f>IF(H900="да",A900&amp;"|"&amp;C900&amp;"|"&amp;D900&amp;"|"&amp;J900,"")</f>
        <v/>
      </c>
      <c t="str" r="V900" s="6">
        <f>IF(C900="План",A900&amp;"|"&amp;J900,"")</f>
        <v/>
      </c>
    </row>
    <row r="901">
      <c r="A901" s="3" t="inlineStr">
        <is>
          <t>Tida Tech, Таиланд</t>
        </is>
      </c>
      <c r="B901" s="3" t="inlineStr">
        <is>
          <t>Заруб</t>
        </is>
      </c>
      <c r="C901" s="3" t="inlineStr">
        <is>
          <t>Шкала</t>
        </is>
      </c>
      <c r="D901" s="3" t="inlineStr">
        <is>
          <t>Оборудование</t>
        </is>
      </c>
      <c r="E901" s="3" t="inlineStr">
        <is>
          <t>Оборудование — за полугодие</t>
        </is>
      </c>
      <c r="F901" s="3" t="inlineStr">
        <is>
          <t>Объем закупок МП</t>
        </is>
      </c>
      <c r="G901" s="4" t="n">
        <v>3</v>
      </c>
      <c r="H901" s="4" t="n"/>
      <c r="I901" s="3" t="inlineStr">
        <is>
          <t>190-224</t>
        </is>
      </c>
      <c r="J901" s="4" t="n">
        <v>5</v>
      </c>
      <c r="K901" s="4" t="n"/>
      <c r="L901" s="4" t="n"/>
      <c r="M901" s="8" t="n">
        <v>0.12</v>
      </c>
      <c r="N901" s="4" t="inlineStr">
        <is>
          <t>%</t>
        </is>
      </c>
      <c r="O901" s="3" t="inlineStr">
        <is>
          <t>Tida Tech</t>
        </is>
      </c>
      <c r="P901" s="3" t="inlineStr">
        <is>
          <t>I17</t>
        </is>
      </c>
      <c t="str" r="Q901" s="6">
        <f>A901&amp;"|"&amp;C901&amp;"|"&amp;D901&amp;"|"&amp;G901</f>
        <v>Tida Tech, Таиланд|Шкала|Оборудование|3</v>
      </c>
      <c t="str" r="R901" s="6">
        <f>A901&amp;"|"&amp;C901&amp;"|"&amp;D901&amp;"|"&amp;J901</f>
        <v>Tida Tech, Таиланд|Шкала|Оборудование|5</v>
      </c>
      <c t="str" r="S901" s="6">
        <f>A901&amp;"|"&amp;C901&amp;"|"&amp;D901&amp;"|"&amp;G901&amp;"|"&amp;J901</f>
        <v>Tida Tech, Таиланд|Шкала|Оборудование|3|5</v>
      </c>
      <c t="str" r="T901" s="6">
        <f>A901&amp;"|"&amp;C901&amp;"|"&amp;G901</f>
        <v>Tida Tech, Таиланд|Шкала|3</v>
      </c>
      <c t="str" r="U901" s="6">
        <f>IF(H901="да",A901&amp;"|"&amp;C901&amp;"|"&amp;D901&amp;"|"&amp;J901,"")</f>
        <v/>
      </c>
      <c t="str" r="V901" s="6">
        <f>IF(C901="План",A901&amp;"|"&amp;J901,"")</f>
        <v/>
      </c>
    </row>
    <row r="902">
      <c r="A902" s="3" t="inlineStr">
        <is>
          <t>Tida Tech, Таиланд</t>
        </is>
      </c>
      <c r="B902" s="3" t="inlineStr">
        <is>
          <t>Заруб</t>
        </is>
      </c>
      <c r="C902" s="3" t="inlineStr">
        <is>
          <t>Шкала</t>
        </is>
      </c>
      <c r="D902" s="3" t="inlineStr">
        <is>
          <t>Оборудование</t>
        </is>
      </c>
      <c r="E902" s="3" t="inlineStr">
        <is>
          <t>Оборудование — за полугодие</t>
        </is>
      </c>
      <c r="F902" s="3" t="inlineStr">
        <is>
          <t>Объем закупок МП</t>
        </is>
      </c>
      <c r="G902" s="4" t="n">
        <v>3</v>
      </c>
      <c r="H902" s="4" t="n"/>
      <c r="I902" s="3" t="inlineStr">
        <is>
          <t>225 и более</t>
        </is>
      </c>
      <c r="J902" s="4" t="n">
        <v>6</v>
      </c>
      <c r="K902" s="4" t="n"/>
      <c r="L902" s="4" t="n"/>
      <c r="M902" s="8" t="n">
        <v>0.13</v>
      </c>
      <c r="N902" s="4" t="inlineStr">
        <is>
          <t>%</t>
        </is>
      </c>
      <c r="O902" s="3" t="inlineStr">
        <is>
          <t>Tida Tech</t>
        </is>
      </c>
      <c r="P902" s="3" t="inlineStr">
        <is>
          <t>J17</t>
        </is>
      </c>
      <c t="str" r="Q902" s="6">
        <f>A902&amp;"|"&amp;C902&amp;"|"&amp;D902&amp;"|"&amp;G902</f>
        <v>Tida Tech, Таиланд|Шкала|Оборудование|3</v>
      </c>
      <c t="str" r="R902" s="6">
        <f>A902&amp;"|"&amp;C902&amp;"|"&amp;D902&amp;"|"&amp;J902</f>
        <v>Tida Tech, Таиланд|Шкала|Оборудование|6</v>
      </c>
      <c t="str" r="S902" s="6">
        <f>A902&amp;"|"&amp;C902&amp;"|"&amp;D902&amp;"|"&amp;G902&amp;"|"&amp;J902</f>
        <v>Tida Tech, Таиланд|Шкала|Оборудование|3|6</v>
      </c>
      <c t="str" r="T902" s="6">
        <f>A902&amp;"|"&amp;C902&amp;"|"&amp;G902</f>
        <v>Tida Tech, Таиланд|Шкала|3</v>
      </c>
      <c t="str" r="U902" s="6">
        <f>IF(H902="да",A902&amp;"|"&amp;C902&amp;"|"&amp;D902&amp;"|"&amp;J902,"")</f>
        <v/>
      </c>
      <c t="str" r="V902" s="6">
        <f>IF(C902="План",A902&amp;"|"&amp;J902,"")</f>
        <v/>
      </c>
    </row>
    <row r="903">
      <c r="A903" s="3" t="inlineStr">
        <is>
          <t>Tida Tech, Таиланд</t>
        </is>
      </c>
      <c r="B903" s="3" t="inlineStr">
        <is>
          <t>Заруб</t>
        </is>
      </c>
      <c r="C903" s="3" t="inlineStr">
        <is>
          <t>Шкала</t>
        </is>
      </c>
      <c r="D903" s="3" t="inlineStr">
        <is>
          <t>Оборудование</t>
        </is>
      </c>
      <c r="E903" s="3" t="inlineStr">
        <is>
          <t>Оборудование — за полугодие</t>
        </is>
      </c>
      <c r="F903" s="3" t="inlineStr">
        <is>
          <t>ИТОГО</t>
        </is>
      </c>
      <c r="G903" s="4" t="n">
        <v>4</v>
      </c>
      <c r="H903" s="4" t="inlineStr">
        <is>
          <t>да</t>
        </is>
      </c>
      <c r="I903" s="3" t="inlineStr">
        <is>
          <t>до 75</t>
        </is>
      </c>
      <c r="J903" s="4" t="n">
        <v>1</v>
      </c>
      <c r="K903" s="4" t="n"/>
      <c r="L903" s="4" t="n"/>
      <c r="M903" s="8" t="n">
        <v>0.14</v>
      </c>
      <c r="N903" s="4" t="inlineStr">
        <is>
          <t>%</t>
        </is>
      </c>
      <c r="O903" s="3" t="inlineStr">
        <is>
          <t>Tida Tech</t>
        </is>
      </c>
      <c r="P903" s="3" t="inlineStr">
        <is>
          <t>E18</t>
        </is>
      </c>
      <c t="str" r="Q903" s="6">
        <f>A903&amp;"|"&amp;C903&amp;"|"&amp;D903&amp;"|"&amp;G903</f>
        <v>Tida Tech, Таиланд|Шкала|Оборудование|4</v>
      </c>
      <c t="str" r="R903" s="6">
        <f>A903&amp;"|"&amp;C903&amp;"|"&amp;D903&amp;"|"&amp;J903</f>
        <v>Tida Tech, Таиланд|Шкала|Оборудование|1</v>
      </c>
      <c t="str" r="S903" s="6">
        <f>A903&amp;"|"&amp;C903&amp;"|"&amp;D903&amp;"|"&amp;G903&amp;"|"&amp;J903</f>
        <v>Tida Tech, Таиланд|Шкала|Оборудование|4|1</v>
      </c>
      <c t="str" r="T903" s="6">
        <f>A903&amp;"|"&amp;C903&amp;"|"&amp;G903</f>
        <v>Tida Tech, Таиланд|Шкала|4</v>
      </c>
      <c t="str" r="U903" s="6">
        <f>IF(H903="да",A903&amp;"|"&amp;C903&amp;"|"&amp;D903&amp;"|"&amp;J903,"")</f>
        <v>Tida Tech, Таиланд|Шкала|Оборудование|1</v>
      </c>
      <c t="str" r="V903" s="6">
        <f>IF(C903="План",A903&amp;"|"&amp;J903,"")</f>
        <v/>
      </c>
    </row>
    <row r="904">
      <c r="A904" s="3" t="inlineStr">
        <is>
          <t>Tida Tech, Таиланд</t>
        </is>
      </c>
      <c r="B904" s="3" t="inlineStr">
        <is>
          <t>Заруб</t>
        </is>
      </c>
      <c r="C904" s="3" t="inlineStr">
        <is>
          <t>Шкала</t>
        </is>
      </c>
      <c r="D904" s="3" t="inlineStr">
        <is>
          <t>Оборудование</t>
        </is>
      </c>
      <c r="E904" s="3" t="inlineStr">
        <is>
          <t>Оборудование — за полугодие</t>
        </is>
      </c>
      <c r="F904" s="3" t="inlineStr">
        <is>
          <t>ИТОГО</t>
        </is>
      </c>
      <c r="G904" s="4" t="n">
        <v>4</v>
      </c>
      <c r="H904" s="4" t="inlineStr">
        <is>
          <t>да</t>
        </is>
      </c>
      <c r="I904" s="3" t="inlineStr">
        <is>
          <t>75-114</t>
        </is>
      </c>
      <c r="J904" s="4" t="n">
        <v>2</v>
      </c>
      <c r="K904" s="4" t="n"/>
      <c r="L904" s="4" t="n"/>
      <c r="M904" s="8" t="n">
        <v>0.16</v>
      </c>
      <c r="N904" s="4" t="inlineStr">
        <is>
          <t>%</t>
        </is>
      </c>
      <c r="O904" s="3" t="inlineStr">
        <is>
          <t>Tida Tech</t>
        </is>
      </c>
      <c r="P904" s="3" t="inlineStr">
        <is>
          <t>F18</t>
        </is>
      </c>
      <c t="str" r="Q904" s="6">
        <f>A904&amp;"|"&amp;C904&amp;"|"&amp;D904&amp;"|"&amp;G904</f>
        <v>Tida Tech, Таиланд|Шкала|Оборудование|4</v>
      </c>
      <c t="str" r="R904" s="6">
        <f>A904&amp;"|"&amp;C904&amp;"|"&amp;D904&amp;"|"&amp;J904</f>
        <v>Tida Tech, Таиланд|Шкала|Оборудование|2</v>
      </c>
      <c t="str" r="S904" s="6">
        <f>A904&amp;"|"&amp;C904&amp;"|"&amp;D904&amp;"|"&amp;G904&amp;"|"&amp;J904</f>
        <v>Tida Tech, Таиланд|Шкала|Оборудование|4|2</v>
      </c>
      <c t="str" r="T904" s="6">
        <f>A904&amp;"|"&amp;C904&amp;"|"&amp;G904</f>
        <v>Tida Tech, Таиланд|Шкала|4</v>
      </c>
      <c t="str" r="U904" s="6">
        <f>IF(H904="да",A904&amp;"|"&amp;C904&amp;"|"&amp;D904&amp;"|"&amp;J904,"")</f>
        <v>Tida Tech, Таиланд|Шкала|Оборудование|2</v>
      </c>
      <c t="str" r="V904" s="6">
        <f>IF(C904="План",A904&amp;"|"&amp;J904,"")</f>
        <v/>
      </c>
    </row>
    <row r="905">
      <c r="A905" s="3" t="inlineStr">
        <is>
          <t>Tida Tech, Таиланд</t>
        </is>
      </c>
      <c r="B905" s="3" t="inlineStr">
        <is>
          <t>Заруб</t>
        </is>
      </c>
      <c r="C905" s="3" t="inlineStr">
        <is>
          <t>Шкала</t>
        </is>
      </c>
      <c r="D905" s="3" t="inlineStr">
        <is>
          <t>Оборудование</t>
        </is>
      </c>
      <c r="E905" s="3" t="inlineStr">
        <is>
          <t>Оборудование — за полугодие</t>
        </is>
      </c>
      <c r="F905" s="3" t="inlineStr">
        <is>
          <t>ИТОГО</t>
        </is>
      </c>
      <c r="G905" s="4" t="n">
        <v>4</v>
      </c>
      <c r="H905" s="4" t="inlineStr">
        <is>
          <t>да</t>
        </is>
      </c>
      <c r="I905" s="3" t="inlineStr">
        <is>
          <t>115-149</t>
        </is>
      </c>
      <c r="J905" s="4" t="n">
        <v>3</v>
      </c>
      <c r="K905" s="4" t="n"/>
      <c r="L905" s="4" t="n"/>
      <c r="M905" s="8" t="n">
        <v>0.17</v>
      </c>
      <c r="N905" s="4" t="inlineStr">
        <is>
          <t>%</t>
        </is>
      </c>
      <c r="O905" s="3" t="inlineStr">
        <is>
          <t>Tida Tech</t>
        </is>
      </c>
      <c r="P905" s="3" t="inlineStr">
        <is>
          <t>G18</t>
        </is>
      </c>
      <c t="str" r="Q905" s="6">
        <f>A905&amp;"|"&amp;C905&amp;"|"&amp;D905&amp;"|"&amp;G905</f>
        <v>Tida Tech, Таиланд|Шкала|Оборудование|4</v>
      </c>
      <c t="str" r="R905" s="6">
        <f>A905&amp;"|"&amp;C905&amp;"|"&amp;D905&amp;"|"&amp;J905</f>
        <v>Tida Tech, Таиланд|Шкала|Оборудование|3</v>
      </c>
      <c t="str" r="S905" s="6">
        <f>A905&amp;"|"&amp;C905&amp;"|"&amp;D905&amp;"|"&amp;G905&amp;"|"&amp;J905</f>
        <v>Tida Tech, Таиланд|Шкала|Оборудование|4|3</v>
      </c>
      <c t="str" r="T905" s="6">
        <f>A905&amp;"|"&amp;C905&amp;"|"&amp;G905</f>
        <v>Tida Tech, Таиланд|Шкала|4</v>
      </c>
      <c t="str" r="U905" s="6">
        <f>IF(H905="да",A905&amp;"|"&amp;C905&amp;"|"&amp;D905&amp;"|"&amp;J905,"")</f>
        <v>Tida Tech, Таиланд|Шкала|Оборудование|3</v>
      </c>
      <c t="str" r="V905" s="6">
        <f>IF(C905="План",A905&amp;"|"&amp;J905,"")</f>
        <v/>
      </c>
    </row>
    <row r="906">
      <c r="A906" s="3" t="inlineStr">
        <is>
          <t>Tida Tech, Таиланд</t>
        </is>
      </c>
      <c r="B906" s="3" t="inlineStr">
        <is>
          <t>Заруб</t>
        </is>
      </c>
      <c r="C906" s="3" t="inlineStr">
        <is>
          <t>Шкала</t>
        </is>
      </c>
      <c r="D906" s="3" t="inlineStr">
        <is>
          <t>Оборудование</t>
        </is>
      </c>
      <c r="E906" s="3" t="inlineStr">
        <is>
          <t>Оборудование — за полугодие</t>
        </is>
      </c>
      <c r="F906" s="3" t="inlineStr">
        <is>
          <t>ИТОГО</t>
        </is>
      </c>
      <c r="G906" s="4" t="n">
        <v>4</v>
      </c>
      <c r="H906" s="4" t="inlineStr">
        <is>
          <t>да</t>
        </is>
      </c>
      <c r="I906" s="3" t="inlineStr">
        <is>
          <t>150-189</t>
        </is>
      </c>
      <c r="J906" s="4" t="n">
        <v>4</v>
      </c>
      <c r="K906" s="4" t="n"/>
      <c r="L906" s="4" t="n"/>
      <c r="M906" s="8" t="n">
        <v>0.18</v>
      </c>
      <c r="N906" s="4" t="inlineStr">
        <is>
          <t>%</t>
        </is>
      </c>
      <c r="O906" s="3" t="inlineStr">
        <is>
          <t>Tida Tech</t>
        </is>
      </c>
      <c r="P906" s="3" t="inlineStr">
        <is>
          <t>H18</t>
        </is>
      </c>
      <c t="str" r="Q906" s="6">
        <f>A906&amp;"|"&amp;C906&amp;"|"&amp;D906&amp;"|"&amp;G906</f>
        <v>Tida Tech, Таиланд|Шкала|Оборудование|4</v>
      </c>
      <c t="str" r="R906" s="6">
        <f>A906&amp;"|"&amp;C906&amp;"|"&amp;D906&amp;"|"&amp;J906</f>
        <v>Tida Tech, Таиланд|Шкала|Оборудование|4</v>
      </c>
      <c t="str" r="S906" s="6">
        <f>A906&amp;"|"&amp;C906&amp;"|"&amp;D906&amp;"|"&amp;G906&amp;"|"&amp;J906</f>
        <v>Tida Tech, Таиланд|Шкала|Оборудование|4|4</v>
      </c>
      <c t="str" r="T906" s="6">
        <f>A906&amp;"|"&amp;C906&amp;"|"&amp;G906</f>
        <v>Tida Tech, Таиланд|Шкала|4</v>
      </c>
      <c t="str" r="U906" s="6">
        <f>IF(H906="да",A906&amp;"|"&amp;C906&amp;"|"&amp;D906&amp;"|"&amp;J906,"")</f>
        <v>Tida Tech, Таиланд|Шкала|Оборудование|4</v>
      </c>
      <c t="str" r="V906" s="6">
        <f>IF(C906="План",A906&amp;"|"&amp;J906,"")</f>
        <v/>
      </c>
    </row>
    <row r="907">
      <c r="A907" s="3" t="inlineStr">
        <is>
          <t>Tida Tech, Таиланд</t>
        </is>
      </c>
      <c r="B907" s="3" t="inlineStr">
        <is>
          <t>Заруб</t>
        </is>
      </c>
      <c r="C907" s="3" t="inlineStr">
        <is>
          <t>Шкала</t>
        </is>
      </c>
      <c r="D907" s="3" t="inlineStr">
        <is>
          <t>Оборудование</t>
        </is>
      </c>
      <c r="E907" s="3" t="inlineStr">
        <is>
          <t>Оборудование — за полугодие</t>
        </is>
      </c>
      <c r="F907" s="3" t="inlineStr">
        <is>
          <t>ИТОГО</t>
        </is>
      </c>
      <c r="G907" s="4" t="n">
        <v>4</v>
      </c>
      <c r="H907" s="4" t="inlineStr">
        <is>
          <t>да</t>
        </is>
      </c>
      <c r="I907" s="3" t="inlineStr">
        <is>
          <t>190-224</t>
        </is>
      </c>
      <c r="J907" s="4" t="n">
        <v>5</v>
      </c>
      <c r="K907" s="4" t="n"/>
      <c r="L907" s="4" t="n"/>
      <c r="M907" s="8" t="n">
        <v>0.19</v>
      </c>
      <c r="N907" s="4" t="inlineStr">
        <is>
          <t>%</t>
        </is>
      </c>
      <c r="O907" s="3" t="inlineStr">
        <is>
          <t>Tida Tech</t>
        </is>
      </c>
      <c r="P907" s="3" t="inlineStr">
        <is>
          <t>I18</t>
        </is>
      </c>
      <c t="str" r="Q907" s="6">
        <f>A907&amp;"|"&amp;C907&amp;"|"&amp;D907&amp;"|"&amp;G907</f>
        <v>Tida Tech, Таиланд|Шкала|Оборудование|4</v>
      </c>
      <c t="str" r="R907" s="6">
        <f>A907&amp;"|"&amp;C907&amp;"|"&amp;D907&amp;"|"&amp;J907</f>
        <v>Tida Tech, Таиланд|Шкала|Оборудование|5</v>
      </c>
      <c t="str" r="S907" s="6">
        <f>A907&amp;"|"&amp;C907&amp;"|"&amp;D907&amp;"|"&amp;G907&amp;"|"&amp;J907</f>
        <v>Tida Tech, Таиланд|Шкала|Оборудование|4|5</v>
      </c>
      <c t="str" r="T907" s="6">
        <f>A907&amp;"|"&amp;C907&amp;"|"&amp;G907</f>
        <v>Tida Tech, Таиланд|Шкала|4</v>
      </c>
      <c t="str" r="U907" s="6">
        <f>IF(H907="да",A907&amp;"|"&amp;C907&amp;"|"&amp;D907&amp;"|"&amp;J907,"")</f>
        <v>Tida Tech, Таиланд|Шкала|Оборудование|5</v>
      </c>
      <c t="str" r="V907" s="6">
        <f>IF(C907="План",A907&amp;"|"&amp;J907,"")</f>
        <v/>
      </c>
    </row>
    <row r="908">
      <c r="A908" s="3" t="inlineStr">
        <is>
          <t>Tida Tech, Таиланд</t>
        </is>
      </c>
      <c r="B908" s="3" t="inlineStr">
        <is>
          <t>Заруб</t>
        </is>
      </c>
      <c r="C908" s="3" t="inlineStr">
        <is>
          <t>Шкала</t>
        </is>
      </c>
      <c r="D908" s="3" t="inlineStr">
        <is>
          <t>Оборудование</t>
        </is>
      </c>
      <c r="E908" s="3" t="inlineStr">
        <is>
          <t>Оборудование — за полугодие</t>
        </is>
      </c>
      <c r="F908" s="3" t="inlineStr">
        <is>
          <t>ИТОГО</t>
        </is>
      </c>
      <c r="G908" s="4" t="n">
        <v>4</v>
      </c>
      <c r="H908" s="4" t="inlineStr">
        <is>
          <t>да</t>
        </is>
      </c>
      <c r="I908" s="3" t="inlineStr">
        <is>
          <t>225 и более</t>
        </is>
      </c>
      <c r="J908" s="4" t="n">
        <v>6</v>
      </c>
      <c r="K908" s="4" t="n"/>
      <c r="L908" s="4" t="n"/>
      <c r="M908" s="8" t="n">
        <v>0.2</v>
      </c>
      <c r="N908" s="4" t="inlineStr">
        <is>
          <t>%</t>
        </is>
      </c>
      <c r="O908" s="3" t="inlineStr">
        <is>
          <t>Tida Tech</t>
        </is>
      </c>
      <c r="P908" s="3" t="inlineStr">
        <is>
          <t>J18</t>
        </is>
      </c>
      <c t="str" r="Q908" s="6">
        <f>A908&amp;"|"&amp;C908&amp;"|"&amp;D908&amp;"|"&amp;G908</f>
        <v>Tida Tech, Таиланд|Шкала|Оборудование|4</v>
      </c>
      <c t="str" r="R908" s="6">
        <f>A908&amp;"|"&amp;C908&amp;"|"&amp;D908&amp;"|"&amp;J908</f>
        <v>Tida Tech, Таиланд|Шкала|Оборудование|6</v>
      </c>
      <c t="str" r="S908" s="6">
        <f>A908&amp;"|"&amp;C908&amp;"|"&amp;D908&amp;"|"&amp;G908&amp;"|"&amp;J908</f>
        <v>Tida Tech, Таиланд|Шкала|Оборудование|4|6</v>
      </c>
      <c t="str" r="T908" s="6">
        <f>A908&amp;"|"&amp;C908&amp;"|"&amp;G908</f>
        <v>Tida Tech, Таиланд|Шкала|4</v>
      </c>
      <c t="str" r="U908" s="6">
        <f>IF(H908="да",A908&amp;"|"&amp;C908&amp;"|"&amp;D908&amp;"|"&amp;J908,"")</f>
        <v>Tida Tech, Таиланд|Шкала|Оборудование|6</v>
      </c>
      <c t="str" r="V908" s="6">
        <f>IF(C908="План",A908&amp;"|"&amp;J908,"")</f>
        <v/>
      </c>
    </row>
    <row r="909">
      <c r="A909" s="3" t="inlineStr">
        <is>
          <t>Tida Tech, Таиланд</t>
        </is>
      </c>
      <c r="B909" s="3" t="inlineStr">
        <is>
          <t>Заруб</t>
        </is>
      </c>
      <c r="C909" s="3" t="inlineStr">
        <is>
          <t>Шкала</t>
        </is>
      </c>
      <c r="D909" s="3" t="inlineStr">
        <is>
          <t>Расходные материалы</t>
        </is>
      </c>
      <c r="E909" s="3" t="inlineStr">
        <is>
          <t>Расходные материалы — за полугодие</t>
        </is>
      </c>
      <c r="F909" s="3" t="inlineStr">
        <is>
          <t>Объем закупок РМ</t>
        </is>
      </c>
      <c r="G909" s="4" t="n">
        <v>1</v>
      </c>
      <c r="H909" s="4" t="n"/>
      <c r="I909" s="3" t="inlineStr">
        <is>
          <t>до 24</t>
        </is>
      </c>
      <c r="J909" s="4" t="n">
        <v>1</v>
      </c>
      <c r="K909" s="4" t="n"/>
      <c r="L909" s="4" t="n"/>
      <c r="M909" s="8" t="n">
        <v>0</v>
      </c>
      <c r="N909" s="4" t="inlineStr">
        <is>
          <t>%</t>
        </is>
      </c>
      <c r="O909" s="3" t="inlineStr">
        <is>
          <t>Tida Tech</t>
        </is>
      </c>
      <c r="P909" s="3" t="inlineStr">
        <is>
          <t>E21</t>
        </is>
      </c>
      <c t="str" r="Q909" s="6">
        <f>A909&amp;"|"&amp;C909&amp;"|"&amp;D909&amp;"|"&amp;G909</f>
        <v>Tida Tech, Таиланд|Шкала|Расходные материалы|1</v>
      </c>
      <c t="str" r="R909" s="6">
        <f>A909&amp;"|"&amp;C909&amp;"|"&amp;D909&amp;"|"&amp;J909</f>
        <v>Tida Tech, Таиланд|Шкала|Расходные материалы|1</v>
      </c>
      <c t="str" r="S909" s="6">
        <f>A909&amp;"|"&amp;C909&amp;"|"&amp;D909&amp;"|"&amp;G909&amp;"|"&amp;J909</f>
        <v>Tida Tech, Таиланд|Шкала|Расходные материалы|1|1</v>
      </c>
      <c t="str" r="T909" s="6">
        <f>A909&amp;"|"&amp;C909&amp;"|"&amp;G909</f>
        <v>Tida Tech, Таиланд|Шкала|1</v>
      </c>
      <c t="str" r="U909" s="6">
        <f>IF(H909="да",A909&amp;"|"&amp;C909&amp;"|"&amp;D909&amp;"|"&amp;J909,"")</f>
        <v/>
      </c>
      <c t="str" r="V909" s="6">
        <f>IF(C909="План",A909&amp;"|"&amp;J909,"")</f>
        <v/>
      </c>
    </row>
    <row r="910">
      <c r="A910" s="3" t="inlineStr">
        <is>
          <t>Tida Tech, Таиланд</t>
        </is>
      </c>
      <c r="B910" s="3" t="inlineStr">
        <is>
          <t>Заруб</t>
        </is>
      </c>
      <c r="C910" s="3" t="inlineStr">
        <is>
          <t>Шкала</t>
        </is>
      </c>
      <c r="D910" s="3" t="inlineStr">
        <is>
          <t>Расходные материалы</t>
        </is>
      </c>
      <c r="E910" s="3" t="inlineStr">
        <is>
          <t>Расходные материалы — за полугодие</t>
        </is>
      </c>
      <c r="F910" s="3" t="inlineStr">
        <is>
          <t>Объем закупок РМ</t>
        </is>
      </c>
      <c r="G910" s="4" t="n">
        <v>1</v>
      </c>
      <c r="H910" s="4" t="n"/>
      <c r="I910" s="3" t="inlineStr">
        <is>
          <t>25-34</t>
        </is>
      </c>
      <c r="J910" s="4" t="n">
        <v>2</v>
      </c>
      <c r="K910" s="4" t="n"/>
      <c r="L910" s="4" t="n"/>
      <c r="M910" s="8" t="n">
        <v>0.01</v>
      </c>
      <c r="N910" s="4" t="inlineStr">
        <is>
          <t>%</t>
        </is>
      </c>
      <c r="O910" s="3" t="inlineStr">
        <is>
          <t>Tida Tech</t>
        </is>
      </c>
      <c r="P910" s="3" t="inlineStr">
        <is>
          <t>F21</t>
        </is>
      </c>
      <c t="str" r="Q910" s="6">
        <f>A910&amp;"|"&amp;C910&amp;"|"&amp;D910&amp;"|"&amp;G910</f>
        <v>Tida Tech, Таиланд|Шкала|Расходные материалы|1</v>
      </c>
      <c t="str" r="R910" s="6">
        <f>A910&amp;"|"&amp;C910&amp;"|"&amp;D910&amp;"|"&amp;J910</f>
        <v>Tida Tech, Таиланд|Шкала|Расходные материалы|2</v>
      </c>
      <c t="str" r="S910" s="6">
        <f>A910&amp;"|"&amp;C910&amp;"|"&amp;D910&amp;"|"&amp;G910&amp;"|"&amp;J910</f>
        <v>Tida Tech, Таиланд|Шкала|Расходные материалы|1|2</v>
      </c>
      <c t="str" r="T910" s="6">
        <f>A910&amp;"|"&amp;C910&amp;"|"&amp;G910</f>
        <v>Tida Tech, Таиланд|Шкала|1</v>
      </c>
      <c t="str" r="U910" s="6">
        <f>IF(H910="да",A910&amp;"|"&amp;C910&amp;"|"&amp;D910&amp;"|"&amp;J910,"")</f>
        <v/>
      </c>
      <c t="str" r="V910" s="6">
        <f>IF(C910="План",A910&amp;"|"&amp;J910,"")</f>
        <v/>
      </c>
    </row>
    <row r="911">
      <c r="A911" s="3" t="inlineStr">
        <is>
          <t>Tida Tech, Таиланд</t>
        </is>
      </c>
      <c r="B911" s="3" t="inlineStr">
        <is>
          <t>Заруб</t>
        </is>
      </c>
      <c r="C911" s="3" t="inlineStr">
        <is>
          <t>Шкала</t>
        </is>
      </c>
      <c r="D911" s="3" t="inlineStr">
        <is>
          <t>Расходные материалы</t>
        </is>
      </c>
      <c r="E911" s="3" t="inlineStr">
        <is>
          <t>Расходные материалы — за полугодие</t>
        </is>
      </c>
      <c r="F911" s="3" t="inlineStr">
        <is>
          <t>Объем закупок РМ</t>
        </is>
      </c>
      <c r="G911" s="4" t="n">
        <v>1</v>
      </c>
      <c r="H911" s="4" t="n"/>
      <c r="I911" s="3" t="inlineStr">
        <is>
          <t>35-44</t>
        </is>
      </c>
      <c r="J911" s="4" t="n">
        <v>3</v>
      </c>
      <c r="K911" s="4" t="n"/>
      <c r="L911" s="4" t="n"/>
      <c r="M911" s="8" t="n">
        <v>0.02</v>
      </c>
      <c r="N911" s="4" t="inlineStr">
        <is>
          <t>%</t>
        </is>
      </c>
      <c r="O911" s="3" t="inlineStr">
        <is>
          <t>Tida Tech</t>
        </is>
      </c>
      <c r="P911" s="3" t="inlineStr">
        <is>
          <t>G21</t>
        </is>
      </c>
      <c t="str" r="Q911" s="6">
        <f>A911&amp;"|"&amp;C911&amp;"|"&amp;D911&amp;"|"&amp;G911</f>
        <v>Tida Tech, Таиланд|Шкала|Расходные материалы|1</v>
      </c>
      <c t="str" r="R911" s="6">
        <f>A911&amp;"|"&amp;C911&amp;"|"&amp;D911&amp;"|"&amp;J911</f>
        <v>Tida Tech, Таиланд|Шкала|Расходные материалы|3</v>
      </c>
      <c t="str" r="S911" s="6">
        <f>A911&amp;"|"&amp;C911&amp;"|"&amp;D911&amp;"|"&amp;G911&amp;"|"&amp;J911</f>
        <v>Tida Tech, Таиланд|Шкала|Расходные материалы|1|3</v>
      </c>
      <c t="str" r="T911" s="6">
        <f>A911&amp;"|"&amp;C911&amp;"|"&amp;G911</f>
        <v>Tida Tech, Таиланд|Шкала|1</v>
      </c>
      <c t="str" r="U911" s="6">
        <f>IF(H911="да",A911&amp;"|"&amp;C911&amp;"|"&amp;D911&amp;"|"&amp;J911,"")</f>
        <v/>
      </c>
      <c t="str" r="V911" s="6">
        <f>IF(C911="План",A911&amp;"|"&amp;J911,"")</f>
        <v/>
      </c>
    </row>
    <row r="912">
      <c r="A912" s="3" t="inlineStr">
        <is>
          <t>Tida Tech, Таиланд</t>
        </is>
      </c>
      <c r="B912" s="3" t="inlineStr">
        <is>
          <t>Заруб</t>
        </is>
      </c>
      <c r="C912" s="3" t="inlineStr">
        <is>
          <t>Шкала</t>
        </is>
      </c>
      <c r="D912" s="3" t="inlineStr">
        <is>
          <t>Расходные материалы</t>
        </is>
      </c>
      <c r="E912" s="3" t="inlineStr">
        <is>
          <t>Расходные материалы — за полугодие</t>
        </is>
      </c>
      <c r="F912" s="3" t="inlineStr">
        <is>
          <t>Объем закупок РМ</t>
        </is>
      </c>
      <c r="G912" s="4" t="n">
        <v>1</v>
      </c>
      <c r="H912" s="4" t="n"/>
      <c r="I912" s="3" t="inlineStr">
        <is>
          <t>45-54</t>
        </is>
      </c>
      <c r="J912" s="4" t="n">
        <v>4</v>
      </c>
      <c r="K912" s="4" t="n"/>
      <c r="L912" s="4" t="n"/>
      <c r="M912" s="8" t="n">
        <v>0.03</v>
      </c>
      <c r="N912" s="4" t="inlineStr">
        <is>
          <t>%</t>
        </is>
      </c>
      <c r="O912" s="3" t="inlineStr">
        <is>
          <t>Tida Tech</t>
        </is>
      </c>
      <c r="P912" s="3" t="inlineStr">
        <is>
          <t>H21</t>
        </is>
      </c>
      <c t="str" r="Q912" s="6">
        <f>A912&amp;"|"&amp;C912&amp;"|"&amp;D912&amp;"|"&amp;G912</f>
        <v>Tida Tech, Таиланд|Шкала|Расходные материалы|1</v>
      </c>
      <c t="str" r="R912" s="6">
        <f>A912&amp;"|"&amp;C912&amp;"|"&amp;D912&amp;"|"&amp;J912</f>
        <v>Tida Tech, Таиланд|Шкала|Расходные материалы|4</v>
      </c>
      <c t="str" r="S912" s="6">
        <f>A912&amp;"|"&amp;C912&amp;"|"&amp;D912&amp;"|"&amp;G912&amp;"|"&amp;J912</f>
        <v>Tida Tech, Таиланд|Шкала|Расходные материалы|1|4</v>
      </c>
      <c t="str" r="T912" s="6">
        <f>A912&amp;"|"&amp;C912&amp;"|"&amp;G912</f>
        <v>Tida Tech, Таиланд|Шкала|1</v>
      </c>
      <c t="str" r="U912" s="6">
        <f>IF(H912="да",A912&amp;"|"&amp;C912&amp;"|"&amp;D912&amp;"|"&amp;J912,"")</f>
        <v/>
      </c>
      <c t="str" r="V912" s="6">
        <f>IF(C912="План",A912&amp;"|"&amp;J912,"")</f>
        <v/>
      </c>
    </row>
    <row r="913">
      <c r="A913" s="3" t="inlineStr">
        <is>
          <t>Tida Tech, Таиланд</t>
        </is>
      </c>
      <c r="B913" s="3" t="inlineStr">
        <is>
          <t>Заруб</t>
        </is>
      </c>
      <c r="C913" s="3" t="inlineStr">
        <is>
          <t>Шкала</t>
        </is>
      </c>
      <c r="D913" s="3" t="inlineStr">
        <is>
          <t>Расходные материалы</t>
        </is>
      </c>
      <c r="E913" s="3" t="inlineStr">
        <is>
          <t>Расходные материалы — за полугодие</t>
        </is>
      </c>
      <c r="F913" s="3" t="inlineStr">
        <is>
          <t>Объем закупок РМ</t>
        </is>
      </c>
      <c r="G913" s="4" t="n">
        <v>1</v>
      </c>
      <c r="H913" s="4" t="n"/>
      <c r="I913" s="3" t="inlineStr">
        <is>
          <t>55-64</t>
        </is>
      </c>
      <c r="J913" s="4" t="n">
        <v>5</v>
      </c>
      <c r="K913" s="4" t="n"/>
      <c r="L913" s="4" t="n"/>
      <c r="M913" s="8" t="n">
        <v>0.04</v>
      </c>
      <c r="N913" s="4" t="inlineStr">
        <is>
          <t>%</t>
        </is>
      </c>
      <c r="O913" s="3" t="inlineStr">
        <is>
          <t>Tida Tech</t>
        </is>
      </c>
      <c r="P913" s="3" t="inlineStr">
        <is>
          <t>I21</t>
        </is>
      </c>
      <c t="str" r="Q913" s="6">
        <f>A913&amp;"|"&amp;C913&amp;"|"&amp;D913&amp;"|"&amp;G913</f>
        <v>Tida Tech, Таиланд|Шкала|Расходные материалы|1</v>
      </c>
      <c t="str" r="R913" s="6">
        <f>A913&amp;"|"&amp;C913&amp;"|"&amp;D913&amp;"|"&amp;J913</f>
        <v>Tida Tech, Таиланд|Шкала|Расходные материалы|5</v>
      </c>
      <c t="str" r="S913" s="6">
        <f>A913&amp;"|"&amp;C913&amp;"|"&amp;D913&amp;"|"&amp;G913&amp;"|"&amp;J913</f>
        <v>Tida Tech, Таиланд|Шкала|Расходные материалы|1|5</v>
      </c>
      <c t="str" r="T913" s="6">
        <f>A913&amp;"|"&amp;C913&amp;"|"&amp;G913</f>
        <v>Tida Tech, Таиланд|Шкала|1</v>
      </c>
      <c t="str" r="U913" s="6">
        <f>IF(H913="да",A913&amp;"|"&amp;C913&amp;"|"&amp;D913&amp;"|"&amp;J913,"")</f>
        <v/>
      </c>
      <c t="str" r="V913" s="6">
        <f>IF(C913="План",A913&amp;"|"&amp;J913,"")</f>
        <v/>
      </c>
    </row>
    <row r="914">
      <c r="A914" s="3" t="inlineStr">
        <is>
          <t>Tida Tech, Таиланд</t>
        </is>
      </c>
      <c r="B914" s="3" t="inlineStr">
        <is>
          <t>Заруб</t>
        </is>
      </c>
      <c r="C914" s="3" t="inlineStr">
        <is>
          <t>Шкала</t>
        </is>
      </c>
      <c r="D914" s="3" t="inlineStr">
        <is>
          <t>Расходные материалы</t>
        </is>
      </c>
      <c r="E914" s="3" t="inlineStr">
        <is>
          <t>Расходные материалы — за полугодие</t>
        </is>
      </c>
      <c r="F914" s="3" t="inlineStr">
        <is>
          <t>Объем закупок РМ</t>
        </is>
      </c>
      <c r="G914" s="4" t="n">
        <v>1</v>
      </c>
      <c r="H914" s="4" t="n"/>
      <c r="I914" s="3" t="inlineStr">
        <is>
          <t>65 и более</t>
        </is>
      </c>
      <c r="J914" s="4" t="n">
        <v>6</v>
      </c>
      <c r="K914" s="4" t="n"/>
      <c r="L914" s="4" t="n"/>
      <c r="M914" s="8" t="n">
        <v>0.05</v>
      </c>
      <c r="N914" s="4" t="inlineStr">
        <is>
          <t>%</t>
        </is>
      </c>
      <c r="O914" s="3" t="inlineStr">
        <is>
          <t>Tida Tech</t>
        </is>
      </c>
      <c r="P914" s="3" t="inlineStr">
        <is>
          <t>J21</t>
        </is>
      </c>
      <c t="str" r="Q914" s="6">
        <f>A914&amp;"|"&amp;C914&amp;"|"&amp;D914&amp;"|"&amp;G914</f>
        <v>Tida Tech, Таиланд|Шкала|Расходные материалы|1</v>
      </c>
      <c t="str" r="R914" s="6">
        <f>A914&amp;"|"&amp;C914&amp;"|"&amp;D914&amp;"|"&amp;J914</f>
        <v>Tida Tech, Таиланд|Шкала|Расходные материалы|6</v>
      </c>
      <c t="str" r="S914" s="6">
        <f>A914&amp;"|"&amp;C914&amp;"|"&amp;D914&amp;"|"&amp;G914&amp;"|"&amp;J914</f>
        <v>Tida Tech, Таиланд|Шкала|Расходные материалы|1|6</v>
      </c>
      <c t="str" r="T914" s="6">
        <f>A914&amp;"|"&amp;C914&amp;"|"&amp;G914</f>
        <v>Tida Tech, Таиланд|Шкала|1</v>
      </c>
      <c t="str" r="U914" s="6">
        <f>IF(H914="да",A914&amp;"|"&amp;C914&amp;"|"&amp;D914&amp;"|"&amp;J914,"")</f>
        <v/>
      </c>
      <c t="str" r="V914" s="6">
        <f>IF(C914="План",A914&amp;"|"&amp;J914,"")</f>
        <v/>
      </c>
    </row>
    <row r="915">
      <c r="A915" s="3" t="inlineStr">
        <is>
          <t>Tida Tech, Таиланд</t>
        </is>
      </c>
      <c r="B915" s="3" t="inlineStr">
        <is>
          <t>Заруб</t>
        </is>
      </c>
      <c r="C915" s="3" t="inlineStr">
        <is>
          <t>Шкала</t>
        </is>
      </c>
      <c r="D915" s="3" t="inlineStr">
        <is>
          <t>Сервис (ЗЧ)</t>
        </is>
      </c>
      <c r="E915" s="3" t="inlineStr">
        <is>
          <t>Сервис (ЗЧ) — абсолютные отгрузки за 6 месяцев</t>
        </is>
      </c>
      <c r="F915" s="3" t="inlineStr">
        <is>
          <t>Скидка по сервису</t>
        </is>
      </c>
      <c r="G915" s="4" t="n">
        <v>1</v>
      </c>
      <c r="H915" s="4" t="inlineStr">
        <is>
          <t>да</t>
        </is>
      </c>
      <c r="I915" s="3" t="inlineStr">
        <is>
          <t>0–1625</t>
        </is>
      </c>
      <c r="J915" s="4" t="n">
        <v>1</v>
      </c>
      <c r="K915" s="4" t="n">
        <v>0</v>
      </c>
      <c r="L915" s="4" t="n">
        <v>1625</v>
      </c>
      <c r="M915" s="8" t="n">
        <v>0.05</v>
      </c>
      <c r="N915" s="4" t="inlineStr">
        <is>
          <t>%</t>
        </is>
      </c>
      <c r="O915" s="3" t="inlineStr">
        <is>
          <t>Tida Tech</t>
        </is>
      </c>
      <c r="P915" s="3" t="inlineStr">
        <is>
          <t>F24</t>
        </is>
      </c>
      <c t="str" r="Q915" s="6">
        <f>A915&amp;"|"&amp;C915&amp;"|"&amp;D915&amp;"|"&amp;G915</f>
        <v>Tida Tech, Таиланд|Шкала|Сервис (ЗЧ)|1</v>
      </c>
      <c t="str" r="R915" s="6">
        <f>A915&amp;"|"&amp;C915&amp;"|"&amp;D915&amp;"|"&amp;J915</f>
        <v>Tida Tech, Таиланд|Шкала|Сервис (ЗЧ)|1</v>
      </c>
      <c t="str" r="S915" s="6">
        <f>A915&amp;"|"&amp;C915&amp;"|"&amp;D915&amp;"|"&amp;G915&amp;"|"&amp;J915</f>
        <v>Tida Tech, Таиланд|Шкала|Сервис (ЗЧ)|1|1</v>
      </c>
      <c t="str" r="T915" s="6">
        <f>A915&amp;"|"&amp;C915&amp;"|"&amp;G915</f>
        <v>Tida Tech, Таиланд|Шкала|1</v>
      </c>
      <c t="str" r="U915" s="6">
        <f>IF(H915="да",A915&amp;"|"&amp;C915&amp;"|"&amp;D915&amp;"|"&amp;J915,"")</f>
        <v>Tida Tech, Таиланд|Шкала|Сервис (ЗЧ)|1</v>
      </c>
      <c t="str" r="V915" s="6">
        <f>IF(C915="План",A915&amp;"|"&amp;J915,"")</f>
        <v/>
      </c>
    </row>
    <row r="916">
      <c r="A916" s="3" t="inlineStr">
        <is>
          <t>Tida Tech, Таиланд</t>
        </is>
      </c>
      <c r="B916" s="3" t="inlineStr">
        <is>
          <t>Заруб</t>
        </is>
      </c>
      <c r="C916" s="3" t="inlineStr">
        <is>
          <t>Шкала</t>
        </is>
      </c>
      <c r="D916" s="3" t="inlineStr">
        <is>
          <t>Сервис (ЗЧ)</t>
        </is>
      </c>
      <c r="E916" s="3" t="inlineStr">
        <is>
          <t>Сервис (ЗЧ) — абсолютные отгрузки за 6 месяцев</t>
        </is>
      </c>
      <c r="F916" s="3" t="inlineStr">
        <is>
          <t>Скидка по сервису</t>
        </is>
      </c>
      <c r="G916" s="4" t="n">
        <v>1</v>
      </c>
      <c r="H916" s="4" t="inlineStr">
        <is>
          <t>да</t>
        </is>
      </c>
      <c r="I916" s="3" t="inlineStr">
        <is>
          <t>1625–4375</t>
        </is>
      </c>
      <c r="J916" s="4" t="n">
        <v>2</v>
      </c>
      <c r="K916" s="4" t="n">
        <v>1625</v>
      </c>
      <c r="L916" s="4" t="n">
        <v>4375</v>
      </c>
      <c r="M916" s="8" t="n">
        <v>0.07000000000000001</v>
      </c>
      <c r="N916" s="4" t="inlineStr">
        <is>
          <t>%</t>
        </is>
      </c>
      <c r="O916" s="3" t="inlineStr">
        <is>
          <t>Tida Tech</t>
        </is>
      </c>
      <c r="P916" s="3" t="inlineStr">
        <is>
          <t>F25</t>
        </is>
      </c>
      <c t="str" r="Q916" s="6">
        <f>A916&amp;"|"&amp;C916&amp;"|"&amp;D916&amp;"|"&amp;G916</f>
        <v>Tida Tech, Таиланд|Шкала|Сервис (ЗЧ)|1</v>
      </c>
      <c t="str" r="R916" s="6">
        <f>A916&amp;"|"&amp;C916&amp;"|"&amp;D916&amp;"|"&amp;J916</f>
        <v>Tida Tech, Таиланд|Шкала|Сервис (ЗЧ)|2</v>
      </c>
      <c t="str" r="S916" s="6">
        <f>A916&amp;"|"&amp;C916&amp;"|"&amp;D916&amp;"|"&amp;G916&amp;"|"&amp;J916</f>
        <v>Tida Tech, Таиланд|Шкала|Сервис (ЗЧ)|1|2</v>
      </c>
      <c t="str" r="T916" s="6">
        <f>A916&amp;"|"&amp;C916&amp;"|"&amp;G916</f>
        <v>Tida Tech, Таиланд|Шкала|1</v>
      </c>
      <c t="str" r="U916" s="6">
        <f>IF(H916="да",A916&amp;"|"&amp;C916&amp;"|"&amp;D916&amp;"|"&amp;J916,"")</f>
        <v>Tida Tech, Таиланд|Шкала|Сервис (ЗЧ)|2</v>
      </c>
      <c t="str" r="V916" s="6">
        <f>IF(C916="План",A916&amp;"|"&amp;J916,"")</f>
        <v/>
      </c>
    </row>
    <row r="917">
      <c r="A917" s="3" t="inlineStr">
        <is>
          <t>Tida Tech, Таиланд</t>
        </is>
      </c>
      <c r="B917" s="3" t="inlineStr">
        <is>
          <t>Заруб</t>
        </is>
      </c>
      <c r="C917" s="3" t="inlineStr">
        <is>
          <t>Шкала</t>
        </is>
      </c>
      <c r="D917" s="3" t="inlineStr">
        <is>
          <t>Сервис (ЗЧ)</t>
        </is>
      </c>
      <c r="E917" s="3" t="inlineStr">
        <is>
          <t>Сервис (ЗЧ) — абсолютные отгрузки за 6 месяцев</t>
        </is>
      </c>
      <c r="F917" s="3" t="inlineStr">
        <is>
          <t>Скидка по сервису</t>
        </is>
      </c>
      <c r="G917" s="4" t="n">
        <v>1</v>
      </c>
      <c r="H917" s="4" t="inlineStr">
        <is>
          <t>да</t>
        </is>
      </c>
      <c r="I917" s="3" t="inlineStr">
        <is>
          <t>4375–8750</t>
        </is>
      </c>
      <c r="J917" s="4" t="n">
        <v>3</v>
      </c>
      <c r="K917" s="4" t="n">
        <v>4375</v>
      </c>
      <c r="L917" s="4" t="n">
        <v>8750</v>
      </c>
      <c r="M917" s="8" t="n">
        <v>0.09</v>
      </c>
      <c r="N917" s="4" t="inlineStr">
        <is>
          <t>%</t>
        </is>
      </c>
      <c r="O917" s="3" t="inlineStr">
        <is>
          <t>Tida Tech</t>
        </is>
      </c>
      <c r="P917" s="3" t="inlineStr">
        <is>
          <t>F26</t>
        </is>
      </c>
      <c t="str" r="Q917" s="6">
        <f>A917&amp;"|"&amp;C917&amp;"|"&amp;D917&amp;"|"&amp;G917</f>
        <v>Tida Tech, Таиланд|Шкала|Сервис (ЗЧ)|1</v>
      </c>
      <c t="str" r="R917" s="6">
        <f>A917&amp;"|"&amp;C917&amp;"|"&amp;D917&amp;"|"&amp;J917</f>
        <v>Tida Tech, Таиланд|Шкала|Сервис (ЗЧ)|3</v>
      </c>
      <c t="str" r="S917" s="6">
        <f>A917&amp;"|"&amp;C917&amp;"|"&amp;D917&amp;"|"&amp;G917&amp;"|"&amp;J917</f>
        <v>Tida Tech, Таиланд|Шкала|Сервис (ЗЧ)|1|3</v>
      </c>
      <c t="str" r="T917" s="6">
        <f>A917&amp;"|"&amp;C917&amp;"|"&amp;G917</f>
        <v>Tida Tech, Таиланд|Шкала|1</v>
      </c>
      <c t="str" r="U917" s="6">
        <f>IF(H917="да",A917&amp;"|"&amp;C917&amp;"|"&amp;D917&amp;"|"&amp;J917,"")</f>
        <v>Tida Tech, Таиланд|Шкала|Сервис (ЗЧ)|3</v>
      </c>
      <c t="str" r="V917" s="6">
        <f>IF(C917="План",A917&amp;"|"&amp;J917,"")</f>
        <v/>
      </c>
    </row>
    <row r="918">
      <c r="A918" s="3" t="inlineStr">
        <is>
          <t>Tida Tech, Таиланд</t>
        </is>
      </c>
      <c r="B918" s="3" t="inlineStr">
        <is>
          <t>Заруб</t>
        </is>
      </c>
      <c r="C918" s="3" t="inlineStr">
        <is>
          <t>Шкала</t>
        </is>
      </c>
      <c r="D918" s="3" t="inlineStr">
        <is>
          <t>Сервис (ЗЧ)</t>
        </is>
      </c>
      <c r="E918" s="3" t="inlineStr">
        <is>
          <t>Сервис (ЗЧ) — абсолютные отгрузки за 6 месяцев</t>
        </is>
      </c>
      <c r="F918" s="3" t="inlineStr">
        <is>
          <t>Скидка по сервису</t>
        </is>
      </c>
      <c r="G918" s="4" t="n">
        <v>1</v>
      </c>
      <c r="H918" s="4" t="inlineStr">
        <is>
          <t>да</t>
        </is>
      </c>
      <c r="I918" s="3" t="inlineStr">
        <is>
          <t>8750–16875</t>
        </is>
      </c>
      <c r="J918" s="4" t="n">
        <v>4</v>
      </c>
      <c r="K918" s="4" t="n">
        <v>8750</v>
      </c>
      <c r="L918" s="4" t="n">
        <v>16875</v>
      </c>
      <c r="M918" s="8" t="n">
        <v>0.11</v>
      </c>
      <c r="N918" s="4" t="inlineStr">
        <is>
          <t>%</t>
        </is>
      </c>
      <c r="O918" s="3" t="inlineStr">
        <is>
          <t>Tida Tech</t>
        </is>
      </c>
      <c r="P918" s="3" t="inlineStr">
        <is>
          <t>F27</t>
        </is>
      </c>
      <c t="str" r="Q918" s="6">
        <f>A918&amp;"|"&amp;C918&amp;"|"&amp;D918&amp;"|"&amp;G918</f>
        <v>Tida Tech, Таиланд|Шкала|Сервис (ЗЧ)|1</v>
      </c>
      <c t="str" r="R918" s="6">
        <f>A918&amp;"|"&amp;C918&amp;"|"&amp;D918&amp;"|"&amp;J918</f>
        <v>Tida Tech, Таиланд|Шкала|Сервис (ЗЧ)|4</v>
      </c>
      <c t="str" r="S918" s="6">
        <f>A918&amp;"|"&amp;C918&amp;"|"&amp;D918&amp;"|"&amp;G918&amp;"|"&amp;J918</f>
        <v>Tida Tech, Таиланд|Шкала|Сервис (ЗЧ)|1|4</v>
      </c>
      <c t="str" r="T918" s="6">
        <f>A918&amp;"|"&amp;C918&amp;"|"&amp;G918</f>
        <v>Tida Tech, Таиланд|Шкала|1</v>
      </c>
      <c t="str" r="U918" s="6">
        <f>IF(H918="да",A918&amp;"|"&amp;C918&amp;"|"&amp;D918&amp;"|"&amp;J918,"")</f>
        <v>Tida Tech, Таиланд|Шкала|Сервис (ЗЧ)|4</v>
      </c>
      <c t="str" r="V918" s="6">
        <f>IF(C918="План",A918&amp;"|"&amp;J918,"")</f>
        <v/>
      </c>
    </row>
    <row r="919">
      <c r="A919" s="3" t="inlineStr">
        <is>
          <t>Tida Tech, Таиланд</t>
        </is>
      </c>
      <c r="B919" s="3" t="inlineStr">
        <is>
          <t>Заруб</t>
        </is>
      </c>
      <c r="C919" s="3" t="inlineStr">
        <is>
          <t>Шкала</t>
        </is>
      </c>
      <c r="D919" s="3" t="inlineStr">
        <is>
          <t>Сервис (ЗЧ)</t>
        </is>
      </c>
      <c r="E919" s="3" t="inlineStr">
        <is>
          <t>Сервис (ЗЧ) — абсолютные отгрузки за 6 месяцев</t>
        </is>
      </c>
      <c r="F919" s="3" t="inlineStr">
        <is>
          <t>Скидка по сервису</t>
        </is>
      </c>
      <c r="G919" s="4" t="n">
        <v>1</v>
      </c>
      <c r="H919" s="4" t="inlineStr">
        <is>
          <t>да</t>
        </is>
      </c>
      <c r="I919" s="3" t="inlineStr">
        <is>
          <t>16875–33125</t>
        </is>
      </c>
      <c r="J919" s="4" t="n">
        <v>5</v>
      </c>
      <c r="K919" s="4" t="n">
        <v>16875</v>
      </c>
      <c r="L919" s="4" t="n">
        <v>33125</v>
      </c>
      <c r="M919" s="8" t="n">
        <v>0.13</v>
      </c>
      <c r="N919" s="4" t="inlineStr">
        <is>
          <t>%</t>
        </is>
      </c>
      <c r="O919" s="3" t="inlineStr">
        <is>
          <t>Tida Tech</t>
        </is>
      </c>
      <c r="P919" s="3" t="inlineStr">
        <is>
          <t>F28</t>
        </is>
      </c>
      <c t="str" r="Q919" s="6">
        <f>A919&amp;"|"&amp;C919&amp;"|"&amp;D919&amp;"|"&amp;G919</f>
        <v>Tida Tech, Таиланд|Шкала|Сервис (ЗЧ)|1</v>
      </c>
      <c t="str" r="R919" s="6">
        <f>A919&amp;"|"&amp;C919&amp;"|"&amp;D919&amp;"|"&amp;J919</f>
        <v>Tida Tech, Таиланд|Шкала|Сервис (ЗЧ)|5</v>
      </c>
      <c t="str" r="S919" s="6">
        <f>A919&amp;"|"&amp;C919&amp;"|"&amp;D919&amp;"|"&amp;G919&amp;"|"&amp;J919</f>
        <v>Tida Tech, Таиланд|Шкала|Сервис (ЗЧ)|1|5</v>
      </c>
      <c t="str" r="T919" s="6">
        <f>A919&amp;"|"&amp;C919&amp;"|"&amp;G919</f>
        <v>Tida Tech, Таиланд|Шкала|1</v>
      </c>
      <c t="str" r="U919" s="6">
        <f>IF(H919="да",A919&amp;"|"&amp;C919&amp;"|"&amp;D919&amp;"|"&amp;J919,"")</f>
        <v>Tida Tech, Таиланд|Шкала|Сервис (ЗЧ)|5</v>
      </c>
      <c t="str" r="V919" s="6">
        <f>IF(C919="План",A919&amp;"|"&amp;J919,"")</f>
        <v/>
      </c>
    </row>
    <row r="920">
      <c r="A920" s="3" t="inlineStr">
        <is>
          <t>Tida Tech, Таиланд</t>
        </is>
      </c>
      <c r="B920" s="3" t="inlineStr">
        <is>
          <t>Заруб</t>
        </is>
      </c>
      <c r="C920" s="3" t="inlineStr">
        <is>
          <t>Шкала</t>
        </is>
      </c>
      <c r="D920" s="3" t="inlineStr">
        <is>
          <t>Сервис (ЗЧ)</t>
        </is>
      </c>
      <c r="E920" s="3" t="inlineStr">
        <is>
          <t>Сервис (ЗЧ) — абсолютные отгрузки за 6 месяцев</t>
        </is>
      </c>
      <c r="F920" s="3" t="inlineStr">
        <is>
          <t>Скидка по сервису</t>
        </is>
      </c>
      <c r="G920" s="4" t="n">
        <v>1</v>
      </c>
      <c r="H920" s="4" t="inlineStr">
        <is>
          <t>да</t>
        </is>
      </c>
      <c r="I920" s="3" t="inlineStr">
        <is>
          <t>33125–50000</t>
        </is>
      </c>
      <c r="J920" s="4" t="n">
        <v>6</v>
      </c>
      <c r="K920" s="4" t="n">
        <v>33125</v>
      </c>
      <c r="L920" s="4" t="n">
        <v>50000</v>
      </c>
      <c r="M920" s="8" t="n">
        <v>0.15</v>
      </c>
      <c r="N920" s="4" t="inlineStr">
        <is>
          <t>%</t>
        </is>
      </c>
      <c r="O920" s="3" t="inlineStr">
        <is>
          <t>Tida Tech</t>
        </is>
      </c>
      <c r="P920" s="3" t="inlineStr">
        <is>
          <t>F29</t>
        </is>
      </c>
      <c t="str" r="Q920" s="6">
        <f>A920&amp;"|"&amp;C920&amp;"|"&amp;D920&amp;"|"&amp;G920</f>
        <v>Tida Tech, Таиланд|Шкала|Сервис (ЗЧ)|1</v>
      </c>
      <c t="str" r="R920" s="6">
        <f>A920&amp;"|"&amp;C920&amp;"|"&amp;D920&amp;"|"&amp;J920</f>
        <v>Tida Tech, Таиланд|Шкала|Сервис (ЗЧ)|6</v>
      </c>
      <c t="str" r="S920" s="6">
        <f>A920&amp;"|"&amp;C920&amp;"|"&amp;D920&amp;"|"&amp;G920&amp;"|"&amp;J920</f>
        <v>Tida Tech, Таиланд|Шкала|Сервис (ЗЧ)|1|6</v>
      </c>
      <c t="str" r="T920" s="6">
        <f>A920&amp;"|"&amp;C920&amp;"|"&amp;G920</f>
        <v>Tida Tech, Таиланд|Шкала|1</v>
      </c>
      <c t="str" r="U920" s="6">
        <f>IF(H920="да",A920&amp;"|"&amp;C920&amp;"|"&amp;D920&amp;"|"&amp;J920,"")</f>
        <v>Tida Tech, Таиланд|Шкала|Сервис (ЗЧ)|6</v>
      </c>
      <c t="str" r="V920" s="6">
        <f>IF(C920="План",A920&amp;"|"&amp;J920,"")</f>
        <v/>
      </c>
    </row>
    <row r="921">
      <c r="A921" s="3" t="inlineStr">
        <is>
          <t>Tida Tech, Таиланд</t>
        </is>
      </c>
      <c r="B921" s="3" t="inlineStr">
        <is>
          <t>Заруб</t>
        </is>
      </c>
      <c r="C921" s="3" t="inlineStr">
        <is>
          <t>Шкала</t>
        </is>
      </c>
      <c r="D921" s="3" t="inlineStr">
        <is>
          <t>Сервис (ЗЧ)</t>
        </is>
      </c>
      <c r="E921" s="3" t="inlineStr">
        <is>
          <t>Сервис (ЗЧ) — абсолютные отгрузки за 6 месяцев</t>
        </is>
      </c>
      <c r="F921" s="3" t="inlineStr">
        <is>
          <t>Скидка по сервису</t>
        </is>
      </c>
      <c r="G921" s="4" t="n">
        <v>1</v>
      </c>
      <c r="H921" s="4" t="inlineStr">
        <is>
          <t>да</t>
        </is>
      </c>
      <c r="I921" s="3" t="inlineStr">
        <is>
          <t>50000–87500</t>
        </is>
      </c>
      <c r="J921" s="4" t="n">
        <v>7</v>
      </c>
      <c r="K921" s="4" t="n">
        <v>50000</v>
      </c>
      <c r="L921" s="4" t="n">
        <v>87500</v>
      </c>
      <c r="M921" s="8" t="n">
        <v>0.17</v>
      </c>
      <c r="N921" s="4" t="inlineStr">
        <is>
          <t>%</t>
        </is>
      </c>
      <c r="O921" s="3" t="inlineStr">
        <is>
          <t>Tida Tech</t>
        </is>
      </c>
      <c r="P921" s="3" t="inlineStr">
        <is>
          <t>F30</t>
        </is>
      </c>
      <c t="str" r="Q921" s="6">
        <f>A921&amp;"|"&amp;C921&amp;"|"&amp;D921&amp;"|"&amp;G921</f>
        <v>Tida Tech, Таиланд|Шкала|Сервис (ЗЧ)|1</v>
      </c>
      <c t="str" r="R921" s="6">
        <f>A921&amp;"|"&amp;C921&amp;"|"&amp;D921&amp;"|"&amp;J921</f>
        <v>Tida Tech, Таиланд|Шкала|Сервис (ЗЧ)|7</v>
      </c>
      <c t="str" r="S921" s="6">
        <f>A921&amp;"|"&amp;C921&amp;"|"&amp;D921&amp;"|"&amp;G921&amp;"|"&amp;J921</f>
        <v>Tida Tech, Таиланд|Шкала|Сервис (ЗЧ)|1|7</v>
      </c>
      <c t="str" r="T921" s="6">
        <f>A921&amp;"|"&amp;C921&amp;"|"&amp;G921</f>
        <v>Tida Tech, Таиланд|Шкала|1</v>
      </c>
      <c t="str" r="U921" s="6">
        <f>IF(H921="да",A921&amp;"|"&amp;C921&amp;"|"&amp;D921&amp;"|"&amp;J921,"")</f>
        <v>Tida Tech, Таиланд|Шкала|Сервис (ЗЧ)|7</v>
      </c>
      <c t="str" r="V921" s="6">
        <f>IF(C921="План",A921&amp;"|"&amp;J921,"")</f>
        <v/>
      </c>
    </row>
    <row r="922">
      <c r="A922" s="3" t="inlineStr">
        <is>
          <t>Tida Tech, Таиланд</t>
        </is>
      </c>
      <c r="B922" s="3" t="inlineStr">
        <is>
          <t>Заруб</t>
        </is>
      </c>
      <c r="C922" s="3" t="inlineStr">
        <is>
          <t>Шкала</t>
        </is>
      </c>
      <c r="D922" s="3" t="inlineStr">
        <is>
          <t>Сервис (ЗЧ)</t>
        </is>
      </c>
      <c r="E922" s="3" t="inlineStr">
        <is>
          <t>Сервис (ЗЧ) — абсолютные отгрузки за 6 месяцев</t>
        </is>
      </c>
      <c r="F922" s="3" t="inlineStr">
        <is>
          <t>Скидка по сервису</t>
        </is>
      </c>
      <c r="G922" s="4" t="n">
        <v>1</v>
      </c>
      <c r="H922" s="4" t="inlineStr">
        <is>
          <t>да</t>
        </is>
      </c>
      <c r="I922" s="3" t="inlineStr">
        <is>
          <t>87500+</t>
        </is>
      </c>
      <c r="J922" s="4" t="n">
        <v>8</v>
      </c>
      <c r="K922" s="4" t="n">
        <v>87500</v>
      </c>
      <c r="L922" s="4" t="n">
        <v>0</v>
      </c>
      <c r="M922" s="8" t="n">
        <v>0.19</v>
      </c>
      <c r="N922" s="4" t="inlineStr">
        <is>
          <t>%</t>
        </is>
      </c>
      <c r="O922" s="3" t="inlineStr">
        <is>
          <t>Tida Tech</t>
        </is>
      </c>
      <c r="P922" s="3" t="inlineStr">
        <is>
          <t>F31</t>
        </is>
      </c>
      <c t="str" r="Q922" s="6">
        <f>A922&amp;"|"&amp;C922&amp;"|"&amp;D922&amp;"|"&amp;G922</f>
        <v>Tida Tech, Таиланд|Шкала|Сервис (ЗЧ)|1</v>
      </c>
      <c t="str" r="R922" s="6">
        <f>A922&amp;"|"&amp;C922&amp;"|"&amp;D922&amp;"|"&amp;J922</f>
        <v>Tida Tech, Таиланд|Шкала|Сервис (ЗЧ)|8</v>
      </c>
      <c t="str" r="S922" s="6">
        <f>A922&amp;"|"&amp;C922&amp;"|"&amp;D922&amp;"|"&amp;G922&amp;"|"&amp;J922</f>
        <v>Tida Tech, Таиланд|Шкала|Сервис (ЗЧ)|1|8</v>
      </c>
      <c t="str" r="T922" s="6">
        <f>A922&amp;"|"&amp;C922&amp;"|"&amp;G922</f>
        <v>Tida Tech, Таиланд|Шкала|1</v>
      </c>
      <c t="str" r="U922" s="6">
        <f>IF(H922="да",A922&amp;"|"&amp;C922&amp;"|"&amp;D922&amp;"|"&amp;J922,"")</f>
        <v>Tida Tech, Таиланд|Шкала|Сервис (ЗЧ)|8</v>
      </c>
      <c t="str" r="V922" s="6">
        <f>IF(C922="План",A922&amp;"|"&amp;J922,"")</f>
        <v/>
      </c>
    </row>
    <row r="923">
      <c r="A923" s="3" t="inlineStr">
        <is>
          <t>Ari Makina, Турция</t>
        </is>
      </c>
      <c r="B923" s="3" t="inlineStr">
        <is>
          <t>Заруб</t>
        </is>
      </c>
      <c r="C923" s="3" t="inlineStr">
        <is>
          <t>План</t>
        </is>
      </c>
      <c r="D923" s="3" t="inlineStr">
        <is>
          <t>Итого по дилеру</t>
        </is>
      </c>
      <c r="E923" s="3" t="inlineStr">
        <is>
          <t>План и бонусы</t>
        </is>
      </c>
      <c r="F923" s="3" t="inlineStr">
        <is>
          <t>Выручка 2023</t>
        </is>
      </c>
      <c r="G923" s="4" t="n">
        <v>1</v>
      </c>
      <c r="H923" s="4" t="n"/>
      <c r="I923" s="3" t="n"/>
      <c r="J923" s="4" t="n">
        <v>1</v>
      </c>
      <c r="K923" s="4" t="n"/>
      <c r="L923" s="4" t="n"/>
      <c r="M923" s="5" t="n">
        <v>37122.21</v>
      </c>
      <c r="N923" s="4" t="inlineStr">
        <is>
          <t>EUR</t>
        </is>
      </c>
      <c r="O923" s="3" t="inlineStr">
        <is>
          <t>Ari Makina</t>
        </is>
      </c>
      <c r="P923" s="3" t="inlineStr">
        <is>
          <t>D4</t>
        </is>
      </c>
      <c t="str" r="Q923" s="6">
        <f>A923&amp;"|"&amp;C923&amp;"|"&amp;D923&amp;"|"&amp;G923</f>
        <v>Ari Makina, Турция|План|Итого по дилеру|1</v>
      </c>
      <c t="str" r="R923" s="6">
        <f>A923&amp;"|"&amp;C923&amp;"|"&amp;D923&amp;"|"&amp;J923</f>
        <v>Ari Makina, Турция|План|Итого по дилеру|1</v>
      </c>
      <c t="str" r="S923" s="6">
        <f>A923&amp;"|"&amp;C923&amp;"|"&amp;D923&amp;"|"&amp;G923&amp;"|"&amp;J923</f>
        <v>Ari Makina, Турция|План|Итого по дилеру|1|1</v>
      </c>
      <c t="str" r="T923" s="6">
        <f>A923&amp;"|"&amp;C923&amp;"|"&amp;G923</f>
        <v>Ari Makina, Турция|План|1</v>
      </c>
      <c t="str" r="U923" s="6">
        <f>IF(H923="да",A923&amp;"|"&amp;C923&amp;"|"&amp;D923&amp;"|"&amp;J923,"")</f>
        <v/>
      </c>
      <c t="str" r="V923" s="6">
        <f>IF(C923="План",A923&amp;"|"&amp;J923,"")</f>
        <v>Ari Makina, Турция|1</v>
      </c>
    </row>
    <row r="924">
      <c r="A924" s="3" t="inlineStr">
        <is>
          <t>Ari Makina, Турция</t>
        </is>
      </c>
      <c r="B924" s="3" t="inlineStr">
        <is>
          <t>Заруб</t>
        </is>
      </c>
      <c r="C924" s="3" t="inlineStr">
        <is>
          <t>План</t>
        </is>
      </c>
      <c r="D924" s="3" t="inlineStr">
        <is>
          <t>Итого по дилеру</t>
        </is>
      </c>
      <c r="E924" s="3" t="inlineStr">
        <is>
          <t>План и бонусы</t>
        </is>
      </c>
      <c r="F924" s="3" t="inlineStr">
        <is>
          <t>Выручка 2024</t>
        </is>
      </c>
      <c r="G924" s="4" t="n">
        <v>1</v>
      </c>
      <c r="H924" s="4" t="n"/>
      <c r="I924" s="3" t="n"/>
      <c r="J924" s="4" t="n">
        <v>2</v>
      </c>
      <c r="K924" s="4" t="n"/>
      <c r="L924" s="4" t="n"/>
      <c r="M924" s="5" t="n">
        <v>33756</v>
      </c>
      <c r="N924" s="4" t="inlineStr">
        <is>
          <t>EUR</t>
        </is>
      </c>
      <c r="O924" s="3" t="inlineStr">
        <is>
          <t>Ari Makina</t>
        </is>
      </c>
      <c r="P924" s="3" t="inlineStr">
        <is>
          <t>E4</t>
        </is>
      </c>
      <c t="str" r="Q924" s="6">
        <f>A924&amp;"|"&amp;C924&amp;"|"&amp;D924&amp;"|"&amp;G924</f>
        <v>Ari Makina, Турция|План|Итого по дилеру|1</v>
      </c>
      <c t="str" r="R924" s="6">
        <f>A924&amp;"|"&amp;C924&amp;"|"&amp;D924&amp;"|"&amp;J924</f>
        <v>Ari Makina, Турция|План|Итого по дилеру|2</v>
      </c>
      <c t="str" r="S924" s="6">
        <f>A924&amp;"|"&amp;C924&amp;"|"&amp;D924&amp;"|"&amp;G924&amp;"|"&amp;J924</f>
        <v>Ari Makina, Турция|План|Итого по дилеру|1|2</v>
      </c>
      <c t="str" r="T924" s="6">
        <f>A924&amp;"|"&amp;C924&amp;"|"&amp;G924</f>
        <v>Ari Makina, Турция|План|1</v>
      </c>
      <c t="str" r="U924" s="6">
        <f>IF(H924="да",A924&amp;"|"&amp;C924&amp;"|"&amp;D924&amp;"|"&amp;J924,"")</f>
        <v/>
      </c>
      <c t="str" r="V924" s="6">
        <f>IF(C924="План",A924&amp;"|"&amp;J924,"")</f>
        <v>Ari Makina, Турция|2</v>
      </c>
    </row>
    <row r="925">
      <c r="A925" s="3" t="inlineStr">
        <is>
          <t>Ari Makina, Турция</t>
        </is>
      </c>
      <c r="B925" s="3" t="inlineStr">
        <is>
          <t>Заруб</t>
        </is>
      </c>
      <c r="C925" s="3" t="inlineStr">
        <is>
          <t>План</t>
        </is>
      </c>
      <c r="D925" s="3" t="inlineStr">
        <is>
          <t>Итого по дилеру</t>
        </is>
      </c>
      <c r="E925" s="3" t="inlineStr">
        <is>
          <t>План и бонусы</t>
        </is>
      </c>
      <c r="F925" s="3" t="inlineStr">
        <is>
          <t>План 2025</t>
        </is>
      </c>
      <c r="G925" s="4" t="n">
        <v>1</v>
      </c>
      <c r="H925" s="4" t="n"/>
      <c r="I925" s="3" t="n"/>
      <c r="J925" s="4" t="n">
        <v>3</v>
      </c>
      <c r="K925" s="4" t="n"/>
      <c r="L925" s="4" t="n"/>
      <c r="M925" s="5" t="n">
        <v>75000</v>
      </c>
      <c r="N925" s="4" t="inlineStr">
        <is>
          <t>EUR</t>
        </is>
      </c>
      <c r="O925" s="3" t="inlineStr">
        <is>
          <t>Ari Makina</t>
        </is>
      </c>
      <c r="P925" s="3" t="inlineStr">
        <is>
          <t>F4</t>
        </is>
      </c>
      <c t="str" r="Q925" s="6">
        <f>A925&amp;"|"&amp;C925&amp;"|"&amp;D925&amp;"|"&amp;G925</f>
        <v>Ari Makina, Турция|План|Итого по дилеру|1</v>
      </c>
      <c t="str" r="R925" s="6">
        <f>A925&amp;"|"&amp;C925&amp;"|"&amp;D925&amp;"|"&amp;J925</f>
        <v>Ari Makina, Турция|План|Итого по дилеру|3</v>
      </c>
      <c t="str" r="S925" s="6">
        <f>A925&amp;"|"&amp;C925&amp;"|"&amp;D925&amp;"|"&amp;G925&amp;"|"&amp;J925</f>
        <v>Ari Makina, Турция|План|Итого по дилеру|1|3</v>
      </c>
      <c t="str" r="T925" s="6">
        <f>A925&amp;"|"&amp;C925&amp;"|"&amp;G925</f>
        <v>Ari Makina, Турция|План|1</v>
      </c>
      <c t="str" r="U925" s="6">
        <f>IF(H925="да",A925&amp;"|"&amp;C925&amp;"|"&amp;D925&amp;"|"&amp;J925,"")</f>
        <v/>
      </c>
      <c t="str" r="V925" s="6">
        <f>IF(C925="План",A925&amp;"|"&amp;J925,"")</f>
        <v>Ari Makina, Турция|3</v>
      </c>
    </row>
    <row r="926">
      <c r="A926" s="3" t="inlineStr">
        <is>
          <t>Ari Makina, Турция</t>
        </is>
      </c>
      <c r="B926" s="3" t="inlineStr">
        <is>
          <t>Заруб</t>
        </is>
      </c>
      <c r="C926" s="3" t="inlineStr">
        <is>
          <t>План</t>
        </is>
      </c>
      <c r="D926" s="3" t="inlineStr">
        <is>
          <t>Итого по дилеру</t>
        </is>
      </c>
      <c r="E926" s="3" t="inlineStr">
        <is>
          <t>План и бонусы</t>
        </is>
      </c>
      <c r="F926" s="3" t="inlineStr">
        <is>
          <t>Прирост П/Ф</t>
        </is>
      </c>
      <c r="G926" s="4" t="n">
        <v>1</v>
      </c>
      <c r="H926" s="4" t="n"/>
      <c r="I926" s="3" t="n"/>
      <c r="J926" s="4" t="n">
        <v>4</v>
      </c>
      <c r="K926" s="4" t="n"/>
      <c r="L926" s="4" t="n"/>
      <c r="M926" s="7" t="n">
        <v>1.22182723071454</v>
      </c>
      <c r="N926" s="4" t="inlineStr">
        <is>
          <t>%</t>
        </is>
      </c>
      <c r="O926" s="3" t="inlineStr">
        <is>
          <t>Ari Makina</t>
        </is>
      </c>
      <c r="P926" s="3" t="inlineStr">
        <is>
          <t>G4</t>
        </is>
      </c>
      <c t="str" r="Q926" s="6">
        <f>A926&amp;"|"&amp;C926&amp;"|"&amp;D926&amp;"|"&amp;G926</f>
        <v>Ari Makina, Турция|План|Итого по дилеру|1</v>
      </c>
      <c t="str" r="R926" s="6">
        <f>A926&amp;"|"&amp;C926&amp;"|"&amp;D926&amp;"|"&amp;J926</f>
        <v>Ari Makina, Турция|План|Итого по дилеру|4</v>
      </c>
      <c t="str" r="S926" s="6">
        <f>A926&amp;"|"&amp;C926&amp;"|"&amp;D926&amp;"|"&amp;G926&amp;"|"&amp;J926</f>
        <v>Ari Makina, Турция|План|Итого по дилеру|1|4</v>
      </c>
      <c t="str" r="T926" s="6">
        <f>A926&amp;"|"&amp;C926&amp;"|"&amp;G926</f>
        <v>Ari Makina, Турция|План|1</v>
      </c>
      <c t="str" r="U926" s="6">
        <f>IF(H926="да",A926&amp;"|"&amp;C926&amp;"|"&amp;D926&amp;"|"&amp;J926,"")</f>
        <v/>
      </c>
      <c t="str" r="V926" s="6">
        <f>IF(C926="План",A926&amp;"|"&amp;J926,"")</f>
        <v>Ari Makina, Турция|4</v>
      </c>
    </row>
    <row r="927">
      <c r="A927" s="3" t="inlineStr">
        <is>
          <t>Ari Makina, Турция</t>
        </is>
      </c>
      <c r="B927" s="3" t="inlineStr">
        <is>
          <t>Заруб</t>
        </is>
      </c>
      <c r="C927" s="3" t="inlineStr">
        <is>
          <t>План</t>
        </is>
      </c>
      <c r="D927" s="3" t="inlineStr">
        <is>
          <t>Оборудование</t>
        </is>
      </c>
      <c r="E927" s="3" t="inlineStr">
        <is>
          <t>План и бонусы</t>
        </is>
      </c>
      <c r="F927" s="3" t="inlineStr">
        <is>
          <t>Выручка 2023</t>
        </is>
      </c>
      <c r="G927" s="4" t="n">
        <v>2</v>
      </c>
      <c r="H927" s="4" t="n"/>
      <c r="I927" s="3" t="n"/>
      <c r="J927" s="4" t="n">
        <v>1</v>
      </c>
      <c r="K927" s="4" t="n"/>
      <c r="L927" s="4" t="n"/>
      <c r="M927" s="5" t="n">
        <v>36733</v>
      </c>
      <c r="N927" s="4" t="inlineStr">
        <is>
          <t>EUR</t>
        </is>
      </c>
      <c r="O927" s="3" t="inlineStr">
        <is>
          <t>Ari Makina</t>
        </is>
      </c>
      <c r="P927" s="3" t="inlineStr">
        <is>
          <t>D5</t>
        </is>
      </c>
      <c t="str" r="Q927" s="6">
        <f>A927&amp;"|"&amp;C927&amp;"|"&amp;D927&amp;"|"&amp;G927</f>
        <v>Ari Makina, Турция|План|Оборудование|2</v>
      </c>
      <c t="str" r="R927" s="6">
        <f>A927&amp;"|"&amp;C927&amp;"|"&amp;D927&amp;"|"&amp;J927</f>
        <v>Ari Makina, Турция|План|Оборудование|1</v>
      </c>
      <c t="str" r="S927" s="6">
        <f>A927&amp;"|"&amp;C927&amp;"|"&amp;D927&amp;"|"&amp;G927&amp;"|"&amp;J927</f>
        <v>Ari Makina, Турция|План|Оборудование|2|1</v>
      </c>
      <c t="str" r="T927" s="6">
        <f>A927&amp;"|"&amp;C927&amp;"|"&amp;G927</f>
        <v>Ari Makina, Турция|План|2</v>
      </c>
      <c t="str" r="U927" s="6">
        <f>IF(H927="да",A927&amp;"|"&amp;C927&amp;"|"&amp;D927&amp;"|"&amp;J927,"")</f>
        <v/>
      </c>
      <c t="str" r="V927" s="6">
        <f>IF(C927="План",A927&amp;"|"&amp;J927,"")</f>
        <v>Ari Makina, Турция|1</v>
      </c>
    </row>
    <row r="928">
      <c r="A928" s="3" t="inlineStr">
        <is>
          <t>Ari Makina, Турция</t>
        </is>
      </c>
      <c r="B928" s="3" t="inlineStr">
        <is>
          <t>Заруб</t>
        </is>
      </c>
      <c r="C928" s="3" t="inlineStr">
        <is>
          <t>План</t>
        </is>
      </c>
      <c r="D928" s="3" t="inlineStr">
        <is>
          <t>Оборудование</t>
        </is>
      </c>
      <c r="E928" s="3" t="inlineStr">
        <is>
          <t>План и бонусы</t>
        </is>
      </c>
      <c r="F928" s="3" t="inlineStr">
        <is>
          <t>Выручка 2024</t>
        </is>
      </c>
      <c r="G928" s="4" t="n">
        <v>2</v>
      </c>
      <c r="H928" s="4" t="n"/>
      <c r="I928" s="3" t="n"/>
      <c r="J928" s="4" t="n">
        <v>2</v>
      </c>
      <c r="K928" s="4" t="n"/>
      <c r="L928" s="4" t="n"/>
      <c r="M928" s="5" t="n">
        <v>33756</v>
      </c>
      <c r="N928" s="4" t="inlineStr">
        <is>
          <t>EUR</t>
        </is>
      </c>
      <c r="O928" s="3" t="inlineStr">
        <is>
          <t>Ari Makina</t>
        </is>
      </c>
      <c r="P928" s="3" t="inlineStr">
        <is>
          <t>E5</t>
        </is>
      </c>
      <c t="str" r="Q928" s="6">
        <f>A928&amp;"|"&amp;C928&amp;"|"&amp;D928&amp;"|"&amp;G928</f>
        <v>Ari Makina, Турция|План|Оборудование|2</v>
      </c>
      <c t="str" r="R928" s="6">
        <f>A928&amp;"|"&amp;C928&amp;"|"&amp;D928&amp;"|"&amp;J928</f>
        <v>Ari Makina, Турция|План|Оборудование|2</v>
      </c>
      <c t="str" r="S928" s="6">
        <f>A928&amp;"|"&amp;C928&amp;"|"&amp;D928&amp;"|"&amp;G928&amp;"|"&amp;J928</f>
        <v>Ari Makina, Турция|План|Оборудование|2|2</v>
      </c>
      <c t="str" r="T928" s="6">
        <f>A928&amp;"|"&amp;C928&amp;"|"&amp;G928</f>
        <v>Ari Makina, Турция|План|2</v>
      </c>
      <c t="str" r="U928" s="6">
        <f>IF(H928="да",A928&amp;"|"&amp;C928&amp;"|"&amp;D928&amp;"|"&amp;J928,"")</f>
        <v/>
      </c>
      <c t="str" r="V928" s="6">
        <f>IF(C928="План",A928&amp;"|"&amp;J928,"")</f>
        <v>Ari Makina, Турция|2</v>
      </c>
    </row>
    <row r="929">
      <c r="A929" s="3" t="inlineStr">
        <is>
          <t>Ari Makina, Турция</t>
        </is>
      </c>
      <c r="B929" s="3" t="inlineStr">
        <is>
          <t>Заруб</t>
        </is>
      </c>
      <c r="C929" s="3" t="inlineStr">
        <is>
          <t>План</t>
        </is>
      </c>
      <c r="D929" s="3" t="inlineStr">
        <is>
          <t>Оборудование</t>
        </is>
      </c>
      <c r="E929" s="3" t="inlineStr">
        <is>
          <t>План и бонусы</t>
        </is>
      </c>
      <c r="F929" s="3" t="inlineStr">
        <is>
          <t>План 2025</t>
        </is>
      </c>
      <c r="G929" s="4" t="n">
        <v>2</v>
      </c>
      <c r="H929" s="4" t="n"/>
      <c r="I929" s="3" t="n"/>
      <c r="J929" s="4" t="n">
        <v>3</v>
      </c>
      <c r="K929" s="4" t="n"/>
      <c r="L929" s="4" t="n"/>
      <c r="M929" s="5" t="n">
        <v>75000</v>
      </c>
      <c r="N929" s="4" t="inlineStr">
        <is>
          <t>EUR</t>
        </is>
      </c>
      <c r="O929" s="3" t="inlineStr">
        <is>
          <t>Ari Makina</t>
        </is>
      </c>
      <c r="P929" s="3" t="inlineStr">
        <is>
          <t>F5</t>
        </is>
      </c>
      <c t="str" r="Q929" s="6">
        <f>A929&amp;"|"&amp;C929&amp;"|"&amp;D929&amp;"|"&amp;G929</f>
        <v>Ari Makina, Турция|План|Оборудование|2</v>
      </c>
      <c t="str" r="R929" s="6">
        <f>A929&amp;"|"&amp;C929&amp;"|"&amp;D929&amp;"|"&amp;J929</f>
        <v>Ari Makina, Турция|План|Оборудование|3</v>
      </c>
      <c t="str" r="S929" s="6">
        <f>A929&amp;"|"&amp;C929&amp;"|"&amp;D929&amp;"|"&amp;G929&amp;"|"&amp;J929</f>
        <v>Ari Makina, Турция|План|Оборудование|2|3</v>
      </c>
      <c t="str" r="T929" s="6">
        <f>A929&amp;"|"&amp;C929&amp;"|"&amp;G929</f>
        <v>Ari Makina, Турция|План|2</v>
      </c>
      <c t="str" r="U929" s="6">
        <f>IF(H929="да",A929&amp;"|"&amp;C929&amp;"|"&amp;D929&amp;"|"&amp;J929,"")</f>
        <v/>
      </c>
      <c t="str" r="V929" s="6">
        <f>IF(C929="План",A929&amp;"|"&amp;J929,"")</f>
        <v>Ari Makina, Турция|3</v>
      </c>
    </row>
    <row r="930">
      <c r="A930" s="3" t="inlineStr">
        <is>
          <t>Ari Makina, Турция</t>
        </is>
      </c>
      <c r="B930" s="3" t="inlineStr">
        <is>
          <t>Заруб</t>
        </is>
      </c>
      <c r="C930" s="3" t="inlineStr">
        <is>
          <t>План</t>
        </is>
      </c>
      <c r="D930" s="3" t="inlineStr">
        <is>
          <t>Оборудование</t>
        </is>
      </c>
      <c r="E930" s="3" t="inlineStr">
        <is>
          <t>План и бонусы</t>
        </is>
      </c>
      <c r="F930" s="3" t="inlineStr">
        <is>
          <t>Скидка в 1 кв. 2025 ф.г.*</t>
        </is>
      </c>
      <c r="G930" s="4" t="n">
        <v>2</v>
      </c>
      <c r="H930" s="4" t="n"/>
      <c r="I930" s="3" t="n"/>
      <c r="J930" s="4" t="n">
        <v>5</v>
      </c>
      <c r="K930" s="4" t="n"/>
      <c r="L930" s="4" t="n"/>
      <c r="M930" s="8" t="n">
        <v>0.16</v>
      </c>
      <c r="N930" s="4" t="inlineStr">
        <is>
          <t>%</t>
        </is>
      </c>
      <c r="O930" s="3" t="inlineStr">
        <is>
          <t>Ari Makina</t>
        </is>
      </c>
      <c r="P930" s="3" t="inlineStr">
        <is>
          <t>H5</t>
        </is>
      </c>
      <c t="str" r="Q930" s="6">
        <f>A930&amp;"|"&amp;C930&amp;"|"&amp;D930&amp;"|"&amp;G930</f>
        <v>Ari Makina, Турция|План|Оборудование|2</v>
      </c>
      <c t="str" r="R930" s="6">
        <f>A930&amp;"|"&amp;C930&amp;"|"&amp;D930&amp;"|"&amp;J930</f>
        <v>Ari Makina, Турция|План|Оборудование|5</v>
      </c>
      <c t="str" r="S930" s="6">
        <f>A930&amp;"|"&amp;C930&amp;"|"&amp;D930&amp;"|"&amp;G930&amp;"|"&amp;J930</f>
        <v>Ari Makina, Турция|План|Оборудование|2|5</v>
      </c>
      <c t="str" r="T930" s="6">
        <f>A930&amp;"|"&amp;C930&amp;"|"&amp;G930</f>
        <v>Ari Makina, Турция|План|2</v>
      </c>
      <c t="str" r="U930" s="6">
        <f>IF(H930="да",A930&amp;"|"&amp;C930&amp;"|"&amp;D930&amp;"|"&amp;J930,"")</f>
        <v/>
      </c>
      <c t="str" r="V930" s="6">
        <f>IF(C930="План",A930&amp;"|"&amp;J930,"")</f>
        <v>Ari Makina, Турция|5</v>
      </c>
    </row>
    <row r="931">
      <c r="A931" s="3" t="inlineStr">
        <is>
          <t>Ari Makina, Турция</t>
        </is>
      </c>
      <c r="B931" s="3" t="inlineStr">
        <is>
          <t>Заруб</t>
        </is>
      </c>
      <c r="C931" s="3" t="inlineStr">
        <is>
          <t>План</t>
        </is>
      </c>
      <c r="D931" s="3" t="inlineStr">
        <is>
          <t>Расходные материалы</t>
        </is>
      </c>
      <c r="E931" s="3" t="inlineStr">
        <is>
          <t>План и бонусы</t>
        </is>
      </c>
      <c r="F931" s="3" t="inlineStr">
        <is>
          <t>Выручка 2023</t>
        </is>
      </c>
      <c r="G931" s="4" t="n">
        <v>3</v>
      </c>
      <c r="H931" s="4" t="n"/>
      <c r="I931" s="3" t="n"/>
      <c r="J931" s="4" t="n">
        <v>1</v>
      </c>
      <c r="K931" s="4" t="n"/>
      <c r="L931" s="4" t="n"/>
      <c r="M931" s="5" t="n">
        <v>389.21</v>
      </c>
      <c r="N931" s="4" t="inlineStr">
        <is>
          <t>EUR</t>
        </is>
      </c>
      <c r="O931" s="3" t="inlineStr">
        <is>
          <t>Ari Makina</t>
        </is>
      </c>
      <c r="P931" s="3" t="inlineStr">
        <is>
          <t>D6</t>
        </is>
      </c>
      <c t="str" r="Q931" s="6">
        <f>A931&amp;"|"&amp;C931&amp;"|"&amp;D931&amp;"|"&amp;G931</f>
        <v>Ari Makina, Турция|План|Расходные материалы|3</v>
      </c>
      <c t="str" r="R931" s="6">
        <f>A931&amp;"|"&amp;C931&amp;"|"&amp;D931&amp;"|"&amp;J931</f>
        <v>Ari Makina, Турция|План|Расходные материалы|1</v>
      </c>
      <c t="str" r="S931" s="6">
        <f>A931&amp;"|"&amp;C931&amp;"|"&amp;D931&amp;"|"&amp;G931&amp;"|"&amp;J931</f>
        <v>Ari Makina, Турция|План|Расходные материалы|3|1</v>
      </c>
      <c t="str" r="T931" s="6">
        <f>A931&amp;"|"&amp;C931&amp;"|"&amp;G931</f>
        <v>Ari Makina, Турция|План|3</v>
      </c>
      <c t="str" r="U931" s="6">
        <f>IF(H931="да",A931&amp;"|"&amp;C931&amp;"|"&amp;D931&amp;"|"&amp;J931,"")</f>
        <v/>
      </c>
      <c t="str" r="V931" s="6">
        <f>IF(C931="План",A931&amp;"|"&amp;J931,"")</f>
        <v>Ari Makina, Турция|1</v>
      </c>
    </row>
    <row r="932">
      <c r="A932" s="3" t="inlineStr">
        <is>
          <t>Ari Makina, Турция</t>
        </is>
      </c>
      <c r="B932" s="3" t="inlineStr">
        <is>
          <t>Заруб</t>
        </is>
      </c>
      <c r="C932" s="3" t="inlineStr">
        <is>
          <t>Шкала</t>
        </is>
      </c>
      <c r="D932" s="3" t="inlineStr">
        <is>
          <t>Оборудование</t>
        </is>
      </c>
      <c r="E932" s="3" t="inlineStr">
        <is>
          <t>Оборудование — за полугодие</t>
        </is>
      </c>
      <c r="F932" s="3" t="inlineStr">
        <is>
          <t>Базовое вознаграждение за Дилерский договор</t>
        </is>
      </c>
      <c r="G932" s="4" t="n">
        <v>1</v>
      </c>
      <c r="H932" s="4" t="n"/>
      <c r="I932" s="3" t="inlineStr">
        <is>
          <t>до 75</t>
        </is>
      </c>
      <c r="J932" s="4" t="n">
        <v>1</v>
      </c>
      <c r="K932" s="4" t="n"/>
      <c r="L932" s="4" t="n"/>
      <c r="M932" s="8" t="n">
        <v>0.06</v>
      </c>
      <c r="N932" s="4" t="inlineStr">
        <is>
          <t>%</t>
        </is>
      </c>
      <c r="O932" s="3" t="inlineStr">
        <is>
          <t>Ari Makina</t>
        </is>
      </c>
      <c r="P932" s="3" t="inlineStr">
        <is>
          <t>E14</t>
        </is>
      </c>
      <c t="str" r="Q932" s="6">
        <f>A932&amp;"|"&amp;C932&amp;"|"&amp;D932&amp;"|"&amp;G932</f>
        <v>Ari Makina, Турция|Шкала|Оборудование|1</v>
      </c>
      <c t="str" r="R932" s="6">
        <f>A932&amp;"|"&amp;C932&amp;"|"&amp;D932&amp;"|"&amp;J932</f>
        <v>Ari Makina, Турция|Шкала|Оборудование|1</v>
      </c>
      <c t="str" r="S932" s="6">
        <f>A932&amp;"|"&amp;C932&amp;"|"&amp;D932&amp;"|"&amp;G932&amp;"|"&amp;J932</f>
        <v>Ari Makina, Турция|Шкала|Оборудование|1|1</v>
      </c>
      <c t="str" r="T932" s="6">
        <f>A932&amp;"|"&amp;C932&amp;"|"&amp;G932</f>
        <v>Ari Makina, Турция|Шкала|1</v>
      </c>
      <c t="str" r="U932" s="6">
        <f>IF(H932="да",A932&amp;"|"&amp;C932&amp;"|"&amp;D932&amp;"|"&amp;J932,"")</f>
        <v/>
      </c>
      <c t="str" r="V932" s="6">
        <f>IF(C932="План",A932&amp;"|"&amp;J932,"")</f>
        <v/>
      </c>
    </row>
    <row r="933">
      <c r="A933" s="3" t="inlineStr">
        <is>
          <t>Ari Makina, Турция</t>
        </is>
      </c>
      <c r="B933" s="3" t="inlineStr">
        <is>
          <t>Заруб</t>
        </is>
      </c>
      <c r="C933" s="3" t="inlineStr">
        <is>
          <t>Шкала</t>
        </is>
      </c>
      <c r="D933" s="3" t="inlineStr">
        <is>
          <t>Оборудование</t>
        </is>
      </c>
      <c r="E933" s="3" t="inlineStr">
        <is>
          <t>Оборудование — за полугодие</t>
        </is>
      </c>
      <c r="F933" s="3" t="inlineStr">
        <is>
          <t>Базовое вознаграждение за Дилерский договор</t>
        </is>
      </c>
      <c r="G933" s="4" t="n">
        <v>1</v>
      </c>
      <c r="H933" s="4" t="n"/>
      <c r="I933" s="3" t="inlineStr">
        <is>
          <t>75-114</t>
        </is>
      </c>
      <c r="J933" s="4" t="n">
        <v>2</v>
      </c>
      <c r="K933" s="4" t="n"/>
      <c r="L933" s="4" t="n"/>
      <c r="M933" s="8" t="n">
        <v>0.06</v>
      </c>
      <c r="N933" s="4" t="inlineStr">
        <is>
          <t>%</t>
        </is>
      </c>
      <c r="O933" s="3" t="inlineStr">
        <is>
          <t>Ari Makina</t>
        </is>
      </c>
      <c r="P933" s="3" t="inlineStr">
        <is>
          <t>F14</t>
        </is>
      </c>
      <c t="str" r="Q933" s="6">
        <f>A933&amp;"|"&amp;C933&amp;"|"&amp;D933&amp;"|"&amp;G933</f>
        <v>Ari Makina, Турция|Шкала|Оборудование|1</v>
      </c>
      <c t="str" r="R933" s="6">
        <f>A933&amp;"|"&amp;C933&amp;"|"&amp;D933&amp;"|"&amp;J933</f>
        <v>Ari Makina, Турция|Шкала|Оборудование|2</v>
      </c>
      <c t="str" r="S933" s="6">
        <f>A933&amp;"|"&amp;C933&amp;"|"&amp;D933&amp;"|"&amp;G933&amp;"|"&amp;J933</f>
        <v>Ari Makina, Турция|Шкала|Оборудование|1|2</v>
      </c>
      <c t="str" r="T933" s="6">
        <f>A933&amp;"|"&amp;C933&amp;"|"&amp;G933</f>
        <v>Ari Makina, Турция|Шкала|1</v>
      </c>
      <c t="str" r="U933" s="6">
        <f>IF(H933="да",A933&amp;"|"&amp;C933&amp;"|"&amp;D933&amp;"|"&amp;J933,"")</f>
        <v/>
      </c>
      <c t="str" r="V933" s="6">
        <f>IF(C933="План",A933&amp;"|"&amp;J933,"")</f>
        <v/>
      </c>
    </row>
    <row r="934">
      <c r="A934" s="3" t="inlineStr">
        <is>
          <t>Ari Makina, Турция</t>
        </is>
      </c>
      <c r="B934" s="3" t="inlineStr">
        <is>
          <t>Заруб</t>
        </is>
      </c>
      <c r="C934" s="3" t="inlineStr">
        <is>
          <t>Шкала</t>
        </is>
      </c>
      <c r="D934" s="3" t="inlineStr">
        <is>
          <t>Оборудование</t>
        </is>
      </c>
      <c r="E934" s="3" t="inlineStr">
        <is>
          <t>Оборудование — за полугодие</t>
        </is>
      </c>
      <c r="F934" s="3" t="inlineStr">
        <is>
          <t>Базовое вознаграждение за Дилерский договор</t>
        </is>
      </c>
      <c r="G934" s="4" t="n">
        <v>1</v>
      </c>
      <c r="H934" s="4" t="n"/>
      <c r="I934" s="3" t="inlineStr">
        <is>
          <t>115-149</t>
        </is>
      </c>
      <c r="J934" s="4" t="n">
        <v>3</v>
      </c>
      <c r="K934" s="4" t="n"/>
      <c r="L934" s="4" t="n"/>
      <c r="M934" s="8" t="n">
        <v>0.06</v>
      </c>
      <c r="N934" s="4" t="inlineStr">
        <is>
          <t>%</t>
        </is>
      </c>
      <c r="O934" s="3" t="inlineStr">
        <is>
          <t>Ari Makina</t>
        </is>
      </c>
      <c r="P934" s="3" t="inlineStr">
        <is>
          <t>G14</t>
        </is>
      </c>
      <c t="str" r="Q934" s="6">
        <f>A934&amp;"|"&amp;C934&amp;"|"&amp;D934&amp;"|"&amp;G934</f>
        <v>Ari Makina, Турция|Шкала|Оборудование|1</v>
      </c>
      <c t="str" r="R934" s="6">
        <f>A934&amp;"|"&amp;C934&amp;"|"&amp;D934&amp;"|"&amp;J934</f>
        <v>Ari Makina, Турция|Шкала|Оборудование|3</v>
      </c>
      <c t="str" r="S934" s="6">
        <f>A934&amp;"|"&amp;C934&amp;"|"&amp;D934&amp;"|"&amp;G934&amp;"|"&amp;J934</f>
        <v>Ari Makina, Турция|Шкала|Оборудование|1|3</v>
      </c>
      <c t="str" r="T934" s="6">
        <f>A934&amp;"|"&amp;C934&amp;"|"&amp;G934</f>
        <v>Ari Makina, Турция|Шкала|1</v>
      </c>
      <c t="str" r="U934" s="6">
        <f>IF(H934="да",A934&amp;"|"&amp;C934&amp;"|"&amp;D934&amp;"|"&amp;J934,"")</f>
        <v/>
      </c>
      <c t="str" r="V934" s="6">
        <f>IF(C934="План",A934&amp;"|"&amp;J934,"")</f>
        <v/>
      </c>
    </row>
    <row r="935">
      <c r="A935" s="3" t="inlineStr">
        <is>
          <t>Ari Makina, Турция</t>
        </is>
      </c>
      <c r="B935" s="3" t="inlineStr">
        <is>
          <t>Заруб</t>
        </is>
      </c>
      <c r="C935" s="3" t="inlineStr">
        <is>
          <t>Шкала</t>
        </is>
      </c>
      <c r="D935" s="3" t="inlineStr">
        <is>
          <t>Оборудование</t>
        </is>
      </c>
      <c r="E935" s="3" t="inlineStr">
        <is>
          <t>Оборудование — за полугодие</t>
        </is>
      </c>
      <c r="F935" s="3" t="inlineStr">
        <is>
          <t>Базовое вознаграждение за Дилерский договор</t>
        </is>
      </c>
      <c r="G935" s="4" t="n">
        <v>1</v>
      </c>
      <c r="H935" s="4" t="n"/>
      <c r="I935" s="3" t="inlineStr">
        <is>
          <t>150-189</t>
        </is>
      </c>
      <c r="J935" s="4" t="n">
        <v>4</v>
      </c>
      <c r="K935" s="4" t="n"/>
      <c r="L935" s="4" t="n"/>
      <c r="M935" s="8" t="n">
        <v>0.06</v>
      </c>
      <c r="N935" s="4" t="inlineStr">
        <is>
          <t>%</t>
        </is>
      </c>
      <c r="O935" s="3" t="inlineStr">
        <is>
          <t>Ari Makina</t>
        </is>
      </c>
      <c r="P935" s="3" t="inlineStr">
        <is>
          <t>H14</t>
        </is>
      </c>
      <c t="str" r="Q935" s="6">
        <f>A935&amp;"|"&amp;C935&amp;"|"&amp;D935&amp;"|"&amp;G935</f>
        <v>Ari Makina, Турция|Шкала|Оборудование|1</v>
      </c>
      <c t="str" r="R935" s="6">
        <f>A935&amp;"|"&amp;C935&amp;"|"&amp;D935&amp;"|"&amp;J935</f>
        <v>Ari Makina, Турция|Шкала|Оборудование|4</v>
      </c>
      <c t="str" r="S935" s="6">
        <f>A935&amp;"|"&amp;C935&amp;"|"&amp;D935&amp;"|"&amp;G935&amp;"|"&amp;J935</f>
        <v>Ari Makina, Турция|Шкала|Оборудование|1|4</v>
      </c>
      <c t="str" r="T935" s="6">
        <f>A935&amp;"|"&amp;C935&amp;"|"&amp;G935</f>
        <v>Ari Makina, Турция|Шкала|1</v>
      </c>
      <c t="str" r="U935" s="6">
        <f>IF(H935="да",A935&amp;"|"&amp;C935&amp;"|"&amp;D935&amp;"|"&amp;J935,"")</f>
        <v/>
      </c>
      <c t="str" r="V935" s="6">
        <f>IF(C935="План",A935&amp;"|"&amp;J935,"")</f>
        <v/>
      </c>
    </row>
    <row r="936">
      <c r="A936" s="3" t="inlineStr">
        <is>
          <t>Ari Makina, Турция</t>
        </is>
      </c>
      <c r="B936" s="3" t="inlineStr">
        <is>
          <t>Заруб</t>
        </is>
      </c>
      <c r="C936" s="3" t="inlineStr">
        <is>
          <t>Шкала</t>
        </is>
      </c>
      <c r="D936" s="3" t="inlineStr">
        <is>
          <t>Оборудование</t>
        </is>
      </c>
      <c r="E936" s="3" t="inlineStr">
        <is>
          <t>Оборудование — за полугодие</t>
        </is>
      </c>
      <c r="F936" s="3" t="inlineStr">
        <is>
          <t>Базовое вознаграждение за Дилерский договор</t>
        </is>
      </c>
      <c r="G936" s="4" t="n">
        <v>1</v>
      </c>
      <c r="H936" s="4" t="n"/>
      <c r="I936" s="3" t="inlineStr">
        <is>
          <t>190-224</t>
        </is>
      </c>
      <c r="J936" s="4" t="n">
        <v>5</v>
      </c>
      <c r="K936" s="4" t="n"/>
      <c r="L936" s="4" t="n"/>
      <c r="M936" s="8" t="n">
        <v>0.06</v>
      </c>
      <c r="N936" s="4" t="inlineStr">
        <is>
          <t>%</t>
        </is>
      </c>
      <c r="O936" s="3" t="inlineStr">
        <is>
          <t>Ari Makina</t>
        </is>
      </c>
      <c r="P936" s="3" t="inlineStr">
        <is>
          <t>I14</t>
        </is>
      </c>
      <c t="str" r="Q936" s="6">
        <f>A936&amp;"|"&amp;C936&amp;"|"&amp;D936&amp;"|"&amp;G936</f>
        <v>Ari Makina, Турция|Шкала|Оборудование|1</v>
      </c>
      <c t="str" r="R936" s="6">
        <f>A936&amp;"|"&amp;C936&amp;"|"&amp;D936&amp;"|"&amp;J936</f>
        <v>Ari Makina, Турция|Шкала|Оборудование|5</v>
      </c>
      <c t="str" r="S936" s="6">
        <f>A936&amp;"|"&amp;C936&amp;"|"&amp;D936&amp;"|"&amp;G936&amp;"|"&amp;J936</f>
        <v>Ari Makina, Турция|Шкала|Оборудование|1|5</v>
      </c>
      <c t="str" r="T936" s="6">
        <f>A936&amp;"|"&amp;C936&amp;"|"&amp;G936</f>
        <v>Ari Makina, Турция|Шкала|1</v>
      </c>
      <c t="str" r="U936" s="6">
        <f>IF(H936="да",A936&amp;"|"&amp;C936&amp;"|"&amp;D936&amp;"|"&amp;J936,"")</f>
        <v/>
      </c>
      <c t="str" r="V936" s="6">
        <f>IF(C936="План",A936&amp;"|"&amp;J936,"")</f>
        <v/>
      </c>
    </row>
    <row r="937">
      <c r="A937" s="3" t="inlineStr">
        <is>
          <t>Ari Makina, Турция</t>
        </is>
      </c>
      <c r="B937" s="3" t="inlineStr">
        <is>
          <t>Заруб</t>
        </is>
      </c>
      <c r="C937" s="3" t="inlineStr">
        <is>
          <t>Шкала</t>
        </is>
      </c>
      <c r="D937" s="3" t="inlineStr">
        <is>
          <t>Оборудование</t>
        </is>
      </c>
      <c r="E937" s="3" t="inlineStr">
        <is>
          <t>Оборудование — за полугодие</t>
        </is>
      </c>
      <c r="F937" s="3" t="inlineStr">
        <is>
          <t>Базовое вознаграждение за Дилерский договор</t>
        </is>
      </c>
      <c r="G937" s="4" t="n">
        <v>1</v>
      </c>
      <c r="H937" s="4" t="n"/>
      <c r="I937" s="3" t="inlineStr">
        <is>
          <t>225 и более</t>
        </is>
      </c>
      <c r="J937" s="4" t="n">
        <v>6</v>
      </c>
      <c r="K937" s="4" t="n"/>
      <c r="L937" s="4" t="n"/>
      <c r="M937" s="8" t="n">
        <v>0.06</v>
      </c>
      <c r="N937" s="4" t="inlineStr">
        <is>
          <t>%</t>
        </is>
      </c>
      <c r="O937" s="3" t="inlineStr">
        <is>
          <t>Ari Makina</t>
        </is>
      </c>
      <c r="P937" s="3" t="inlineStr">
        <is>
          <t>J14</t>
        </is>
      </c>
      <c t="str" r="Q937" s="6">
        <f>A937&amp;"|"&amp;C937&amp;"|"&amp;D937&amp;"|"&amp;G937</f>
        <v>Ari Makina, Турция|Шкала|Оборудование|1</v>
      </c>
      <c t="str" r="R937" s="6">
        <f>A937&amp;"|"&amp;C937&amp;"|"&amp;D937&amp;"|"&amp;J937</f>
        <v>Ari Makina, Турция|Шкала|Оборудование|6</v>
      </c>
      <c t="str" r="S937" s="6">
        <f>A937&amp;"|"&amp;C937&amp;"|"&amp;D937&amp;"|"&amp;G937&amp;"|"&amp;J937</f>
        <v>Ari Makina, Турция|Шкала|Оборудование|1|6</v>
      </c>
      <c t="str" r="T937" s="6">
        <f>A937&amp;"|"&amp;C937&amp;"|"&amp;G937</f>
        <v>Ari Makina, Турция|Шкала|1</v>
      </c>
      <c t="str" r="U937" s="6">
        <f>IF(H937="да",A937&amp;"|"&amp;C937&amp;"|"&amp;D937&amp;"|"&amp;J937,"")</f>
        <v/>
      </c>
      <c t="str" r="V937" s="6">
        <f>IF(C937="План",A937&amp;"|"&amp;J937,"")</f>
        <v/>
      </c>
    </row>
    <row r="938">
      <c r="A938" s="3" t="inlineStr">
        <is>
          <t>Ari Makina, Турция</t>
        </is>
      </c>
      <c r="B938" s="3" t="inlineStr">
        <is>
          <t>Заруб</t>
        </is>
      </c>
      <c r="C938" s="3" t="inlineStr">
        <is>
          <t>Шкала</t>
        </is>
      </c>
      <c r="D938" s="3" t="inlineStr">
        <is>
          <t>Оборудование</t>
        </is>
      </c>
      <c r="E938" s="3" t="inlineStr">
        <is>
          <t>Оборудование — за полугодие</t>
        </is>
      </c>
      <c r="F938" s="3" t="inlineStr">
        <is>
          <t>Наличие сервисного центра и гарантийное обслуживание</t>
        </is>
      </c>
      <c r="G938" s="4" t="n">
        <v>2</v>
      </c>
      <c r="H938" s="4" t="n"/>
      <c r="I938" s="3" t="inlineStr">
        <is>
          <t>до 75</t>
        </is>
      </c>
      <c r="J938" s="4" t="n">
        <v>1</v>
      </c>
      <c r="K938" s="4" t="n"/>
      <c r="L938" s="4" t="n"/>
      <c r="M938" s="8" t="n">
        <v>0.01</v>
      </c>
      <c r="N938" s="4" t="inlineStr">
        <is>
          <t>%</t>
        </is>
      </c>
      <c r="O938" s="3" t="inlineStr">
        <is>
          <t>Ari Makina</t>
        </is>
      </c>
      <c r="P938" s="3" t="inlineStr">
        <is>
          <t>E15</t>
        </is>
      </c>
      <c t="str" r="Q938" s="6">
        <f>A938&amp;"|"&amp;C938&amp;"|"&amp;D938&amp;"|"&amp;G938</f>
        <v>Ari Makina, Турция|Шкала|Оборудование|2</v>
      </c>
      <c t="str" r="R938" s="6">
        <f>A938&amp;"|"&amp;C938&amp;"|"&amp;D938&amp;"|"&amp;J938</f>
        <v>Ari Makina, Турция|Шкала|Оборудование|1</v>
      </c>
      <c t="str" r="S938" s="6">
        <f>A938&amp;"|"&amp;C938&amp;"|"&amp;D938&amp;"|"&amp;G938&amp;"|"&amp;J938</f>
        <v>Ari Makina, Турция|Шкала|Оборудование|2|1</v>
      </c>
      <c t="str" r="T938" s="6">
        <f>A938&amp;"|"&amp;C938&amp;"|"&amp;G938</f>
        <v>Ari Makina, Турция|Шкала|2</v>
      </c>
      <c t="str" r="U938" s="6">
        <f>IF(H938="да",A938&amp;"|"&amp;C938&amp;"|"&amp;D938&amp;"|"&amp;J938,"")</f>
        <v/>
      </c>
      <c t="str" r="V938" s="6">
        <f>IF(C938="План",A938&amp;"|"&amp;J938,"")</f>
        <v/>
      </c>
    </row>
    <row r="939">
      <c r="A939" s="3" t="inlineStr">
        <is>
          <t>Ari Makina, Турция</t>
        </is>
      </c>
      <c r="B939" s="3" t="inlineStr">
        <is>
          <t>Заруб</t>
        </is>
      </c>
      <c r="C939" s="3" t="inlineStr">
        <is>
          <t>Шкала</t>
        </is>
      </c>
      <c r="D939" s="3" t="inlineStr">
        <is>
          <t>Оборудование</t>
        </is>
      </c>
      <c r="E939" s="3" t="inlineStr">
        <is>
          <t>Оборудование — за полугодие</t>
        </is>
      </c>
      <c r="F939" s="3" t="inlineStr">
        <is>
          <t>Наличие сервисного центра и гарантийное обслуживание</t>
        </is>
      </c>
      <c r="G939" s="4" t="n">
        <v>2</v>
      </c>
      <c r="H939" s="4" t="n"/>
      <c r="I939" s="3" t="inlineStr">
        <is>
          <t>75-114</t>
        </is>
      </c>
      <c r="J939" s="4" t="n">
        <v>2</v>
      </c>
      <c r="K939" s="4" t="n"/>
      <c r="L939" s="4" t="n"/>
      <c r="M939" s="8" t="n">
        <v>0.01</v>
      </c>
      <c r="N939" s="4" t="inlineStr">
        <is>
          <t>%</t>
        </is>
      </c>
      <c r="O939" s="3" t="inlineStr">
        <is>
          <t>Ari Makina</t>
        </is>
      </c>
      <c r="P939" s="3" t="inlineStr">
        <is>
          <t>F15</t>
        </is>
      </c>
      <c t="str" r="Q939" s="6">
        <f>A939&amp;"|"&amp;C939&amp;"|"&amp;D939&amp;"|"&amp;G939</f>
        <v>Ari Makina, Турция|Шкала|Оборудование|2</v>
      </c>
      <c t="str" r="R939" s="6">
        <f>A939&amp;"|"&amp;C939&amp;"|"&amp;D939&amp;"|"&amp;J939</f>
        <v>Ari Makina, Турция|Шкала|Оборудование|2</v>
      </c>
      <c t="str" r="S939" s="6">
        <f>A939&amp;"|"&amp;C939&amp;"|"&amp;D939&amp;"|"&amp;G939&amp;"|"&amp;J939</f>
        <v>Ari Makina, Турция|Шкала|Оборудование|2|2</v>
      </c>
      <c t="str" r="T939" s="6">
        <f>A939&amp;"|"&amp;C939&amp;"|"&amp;G939</f>
        <v>Ari Makina, Турция|Шкала|2</v>
      </c>
      <c t="str" r="U939" s="6">
        <f>IF(H939="да",A939&amp;"|"&amp;C939&amp;"|"&amp;D939&amp;"|"&amp;J939,"")</f>
        <v/>
      </c>
      <c t="str" r="V939" s="6">
        <f>IF(C939="План",A939&amp;"|"&amp;J939,"")</f>
        <v/>
      </c>
    </row>
    <row r="940">
      <c r="A940" s="3" t="inlineStr">
        <is>
          <t>Ari Makina, Турция</t>
        </is>
      </c>
      <c r="B940" s="3" t="inlineStr">
        <is>
          <t>Заруб</t>
        </is>
      </c>
      <c r="C940" s="3" t="inlineStr">
        <is>
          <t>Шкала</t>
        </is>
      </c>
      <c r="D940" s="3" t="inlineStr">
        <is>
          <t>Оборудование</t>
        </is>
      </c>
      <c r="E940" s="3" t="inlineStr">
        <is>
          <t>Оборудование — за полугодие</t>
        </is>
      </c>
      <c r="F940" s="3" t="inlineStr">
        <is>
          <t>Наличие сервисного центра и гарантийное обслуживание</t>
        </is>
      </c>
      <c r="G940" s="4" t="n">
        <v>2</v>
      </c>
      <c r="H940" s="4" t="n"/>
      <c r="I940" s="3" t="inlineStr">
        <is>
          <t>115-149</t>
        </is>
      </c>
      <c r="J940" s="4" t="n">
        <v>3</v>
      </c>
      <c r="K940" s="4" t="n"/>
      <c r="L940" s="4" t="n"/>
      <c r="M940" s="8" t="n">
        <v>0.01</v>
      </c>
      <c r="N940" s="4" t="inlineStr">
        <is>
          <t>%</t>
        </is>
      </c>
      <c r="O940" s="3" t="inlineStr">
        <is>
          <t>Ari Makina</t>
        </is>
      </c>
      <c r="P940" s="3" t="inlineStr">
        <is>
          <t>G15</t>
        </is>
      </c>
      <c t="str" r="Q940" s="6">
        <f>A940&amp;"|"&amp;C940&amp;"|"&amp;D940&amp;"|"&amp;G940</f>
        <v>Ari Makina, Турция|Шкала|Оборудование|2</v>
      </c>
      <c t="str" r="R940" s="6">
        <f>A940&amp;"|"&amp;C940&amp;"|"&amp;D940&amp;"|"&amp;J940</f>
        <v>Ari Makina, Турция|Шкала|Оборудование|3</v>
      </c>
      <c t="str" r="S940" s="6">
        <f>A940&amp;"|"&amp;C940&amp;"|"&amp;D940&amp;"|"&amp;G940&amp;"|"&amp;J940</f>
        <v>Ari Makina, Турция|Шкала|Оборудование|2|3</v>
      </c>
      <c t="str" r="T940" s="6">
        <f>A940&amp;"|"&amp;C940&amp;"|"&amp;G940</f>
        <v>Ari Makina, Турция|Шкала|2</v>
      </c>
      <c t="str" r="U940" s="6">
        <f>IF(H940="да",A940&amp;"|"&amp;C940&amp;"|"&amp;D940&amp;"|"&amp;J940,"")</f>
        <v/>
      </c>
      <c t="str" r="V940" s="6">
        <f>IF(C940="План",A940&amp;"|"&amp;J940,"")</f>
        <v/>
      </c>
    </row>
    <row r="941">
      <c r="A941" s="3" t="inlineStr">
        <is>
          <t>Ari Makina, Турция</t>
        </is>
      </c>
      <c r="B941" s="3" t="inlineStr">
        <is>
          <t>Заруб</t>
        </is>
      </c>
      <c r="C941" s="3" t="inlineStr">
        <is>
          <t>Шкала</t>
        </is>
      </c>
      <c r="D941" s="3" t="inlineStr">
        <is>
          <t>Оборудование</t>
        </is>
      </c>
      <c r="E941" s="3" t="inlineStr">
        <is>
          <t>Оборудование — за полугодие</t>
        </is>
      </c>
      <c r="F941" s="3" t="inlineStr">
        <is>
          <t>Наличие сервисного центра и гарантийное обслуживание</t>
        </is>
      </c>
      <c r="G941" s="4" t="n">
        <v>2</v>
      </c>
      <c r="H941" s="4" t="n"/>
      <c r="I941" s="3" t="inlineStr">
        <is>
          <t>150-189</t>
        </is>
      </c>
      <c r="J941" s="4" t="n">
        <v>4</v>
      </c>
      <c r="K941" s="4" t="n"/>
      <c r="L941" s="4" t="n"/>
      <c r="M941" s="8" t="n">
        <v>0.01</v>
      </c>
      <c r="N941" s="4" t="inlineStr">
        <is>
          <t>%</t>
        </is>
      </c>
      <c r="O941" s="3" t="inlineStr">
        <is>
          <t>Ari Makina</t>
        </is>
      </c>
      <c r="P941" s="3" t="inlineStr">
        <is>
          <t>H15</t>
        </is>
      </c>
      <c t="str" r="Q941" s="6">
        <f>A941&amp;"|"&amp;C941&amp;"|"&amp;D941&amp;"|"&amp;G941</f>
        <v>Ari Makina, Турция|Шкала|Оборудование|2</v>
      </c>
      <c t="str" r="R941" s="6">
        <f>A941&amp;"|"&amp;C941&amp;"|"&amp;D941&amp;"|"&amp;J941</f>
        <v>Ari Makina, Турция|Шкала|Оборудование|4</v>
      </c>
      <c t="str" r="S941" s="6">
        <f>A941&amp;"|"&amp;C941&amp;"|"&amp;D941&amp;"|"&amp;G941&amp;"|"&amp;J941</f>
        <v>Ari Makina, Турция|Шкала|Оборудование|2|4</v>
      </c>
      <c t="str" r="T941" s="6">
        <f>A941&amp;"|"&amp;C941&amp;"|"&amp;G941</f>
        <v>Ari Makina, Турция|Шкала|2</v>
      </c>
      <c t="str" r="U941" s="6">
        <f>IF(H941="да",A941&amp;"|"&amp;C941&amp;"|"&amp;D941&amp;"|"&amp;J941,"")</f>
        <v/>
      </c>
      <c t="str" r="V941" s="6">
        <f>IF(C941="План",A941&amp;"|"&amp;J941,"")</f>
        <v/>
      </c>
    </row>
    <row r="942">
      <c r="A942" s="3" t="inlineStr">
        <is>
          <t>Ari Makina, Турция</t>
        </is>
      </c>
      <c r="B942" s="3" t="inlineStr">
        <is>
          <t>Заруб</t>
        </is>
      </c>
      <c r="C942" s="3" t="inlineStr">
        <is>
          <t>Шкала</t>
        </is>
      </c>
      <c r="D942" s="3" t="inlineStr">
        <is>
          <t>Оборудование</t>
        </is>
      </c>
      <c r="E942" s="3" t="inlineStr">
        <is>
          <t>Оборудование — за полугодие</t>
        </is>
      </c>
      <c r="F942" s="3" t="inlineStr">
        <is>
          <t>Наличие сервисного центра и гарантийное обслуживание</t>
        </is>
      </c>
      <c r="G942" s="4" t="n">
        <v>2</v>
      </c>
      <c r="H942" s="4" t="n"/>
      <c r="I942" s="3" t="inlineStr">
        <is>
          <t>190-224</t>
        </is>
      </c>
      <c r="J942" s="4" t="n">
        <v>5</v>
      </c>
      <c r="K942" s="4" t="n"/>
      <c r="L942" s="4" t="n"/>
      <c r="M942" s="8" t="n">
        <v>0.01</v>
      </c>
      <c r="N942" s="4" t="inlineStr">
        <is>
          <t>%</t>
        </is>
      </c>
      <c r="O942" s="3" t="inlineStr">
        <is>
          <t>Ari Makina</t>
        </is>
      </c>
      <c r="P942" s="3" t="inlineStr">
        <is>
          <t>I15</t>
        </is>
      </c>
      <c t="str" r="Q942" s="6">
        <f>A942&amp;"|"&amp;C942&amp;"|"&amp;D942&amp;"|"&amp;G942</f>
        <v>Ari Makina, Турция|Шкала|Оборудование|2</v>
      </c>
      <c t="str" r="R942" s="6">
        <f>A942&amp;"|"&amp;C942&amp;"|"&amp;D942&amp;"|"&amp;J942</f>
        <v>Ari Makina, Турция|Шкала|Оборудование|5</v>
      </c>
      <c t="str" r="S942" s="6">
        <f>A942&amp;"|"&amp;C942&amp;"|"&amp;D942&amp;"|"&amp;G942&amp;"|"&amp;J942</f>
        <v>Ari Makina, Турция|Шкала|Оборудование|2|5</v>
      </c>
      <c t="str" r="T942" s="6">
        <f>A942&amp;"|"&amp;C942&amp;"|"&amp;G942</f>
        <v>Ari Makina, Турция|Шкала|2</v>
      </c>
      <c t="str" r="U942" s="6">
        <f>IF(H942="да",A942&amp;"|"&amp;C942&amp;"|"&amp;D942&amp;"|"&amp;J942,"")</f>
        <v/>
      </c>
      <c t="str" r="V942" s="6">
        <f>IF(C942="План",A942&amp;"|"&amp;J942,"")</f>
        <v/>
      </c>
    </row>
    <row r="943">
      <c r="A943" s="3" t="inlineStr">
        <is>
          <t>Ari Makina, Турция</t>
        </is>
      </c>
      <c r="B943" s="3" t="inlineStr">
        <is>
          <t>Заруб</t>
        </is>
      </c>
      <c r="C943" s="3" t="inlineStr">
        <is>
          <t>Шкала</t>
        </is>
      </c>
      <c r="D943" s="3" t="inlineStr">
        <is>
          <t>Оборудование</t>
        </is>
      </c>
      <c r="E943" s="3" t="inlineStr">
        <is>
          <t>Оборудование — за полугодие</t>
        </is>
      </c>
      <c r="F943" s="3" t="inlineStr">
        <is>
          <t>Наличие сервисного центра и гарантийное обслуживание</t>
        </is>
      </c>
      <c r="G943" s="4" t="n">
        <v>2</v>
      </c>
      <c r="H943" s="4" t="n"/>
      <c r="I943" s="3" t="inlineStr">
        <is>
          <t>225 и более</t>
        </is>
      </c>
      <c r="J943" s="4" t="n">
        <v>6</v>
      </c>
      <c r="K943" s="4" t="n"/>
      <c r="L943" s="4" t="n"/>
      <c r="M943" s="8" t="n">
        <v>0.01</v>
      </c>
      <c r="N943" s="4" t="inlineStr">
        <is>
          <t>%</t>
        </is>
      </c>
      <c r="O943" s="3" t="inlineStr">
        <is>
          <t>Ari Makina</t>
        </is>
      </c>
      <c r="P943" s="3" t="inlineStr">
        <is>
          <t>J15</t>
        </is>
      </c>
      <c t="str" r="Q943" s="6">
        <f>A943&amp;"|"&amp;C943&amp;"|"&amp;D943&amp;"|"&amp;G943</f>
        <v>Ari Makina, Турция|Шкала|Оборудование|2</v>
      </c>
      <c t="str" r="R943" s="6">
        <f>A943&amp;"|"&amp;C943&amp;"|"&amp;D943&amp;"|"&amp;J943</f>
        <v>Ari Makina, Турция|Шкала|Оборудование|6</v>
      </c>
      <c t="str" r="S943" s="6">
        <f>A943&amp;"|"&amp;C943&amp;"|"&amp;D943&amp;"|"&amp;G943&amp;"|"&amp;J943</f>
        <v>Ari Makina, Турция|Шкала|Оборудование|2|6</v>
      </c>
      <c t="str" r="T943" s="6">
        <f>A943&amp;"|"&amp;C943&amp;"|"&amp;G943</f>
        <v>Ari Makina, Турция|Шкала|2</v>
      </c>
      <c t="str" r="U943" s="6">
        <f>IF(H943="да",A943&amp;"|"&amp;C943&amp;"|"&amp;D943&amp;"|"&amp;J943,"")</f>
        <v/>
      </c>
      <c t="str" r="V943" s="6">
        <f>IF(C943="План",A943&amp;"|"&amp;J943,"")</f>
        <v/>
      </c>
    </row>
    <row r="944">
      <c r="A944" s="3" t="inlineStr">
        <is>
          <t>Ari Makina, Турция</t>
        </is>
      </c>
      <c r="B944" s="3" t="inlineStr">
        <is>
          <t>Заруб</t>
        </is>
      </c>
      <c r="C944" s="3" t="inlineStr">
        <is>
          <t>Шкала</t>
        </is>
      </c>
      <c r="D944" s="3" t="inlineStr">
        <is>
          <t>Оборудование</t>
        </is>
      </c>
      <c r="E944" s="3" t="inlineStr">
        <is>
          <t>Оборудование — за полугодие</t>
        </is>
      </c>
      <c r="F944" s="3" t="inlineStr">
        <is>
          <t>Объем закупок МП</t>
        </is>
      </c>
      <c r="G944" s="4" t="n">
        <v>3</v>
      </c>
      <c r="H944" s="4" t="n"/>
      <c r="I944" s="3" t="inlineStr">
        <is>
          <t>до 75</t>
        </is>
      </c>
      <c r="J944" s="4" t="n">
        <v>1</v>
      </c>
      <c r="K944" s="4" t="n"/>
      <c r="L944" s="4" t="n"/>
      <c r="M944" s="8" t="n">
        <v>0</v>
      </c>
      <c r="N944" s="4" t="inlineStr">
        <is>
          <t>%</t>
        </is>
      </c>
      <c r="O944" s="3" t="inlineStr">
        <is>
          <t>Ari Makina</t>
        </is>
      </c>
      <c r="P944" s="3" t="inlineStr">
        <is>
          <t>E16</t>
        </is>
      </c>
      <c t="str" r="Q944" s="6">
        <f>A944&amp;"|"&amp;C944&amp;"|"&amp;D944&amp;"|"&amp;G944</f>
        <v>Ari Makina, Турция|Шкала|Оборудование|3</v>
      </c>
      <c t="str" r="R944" s="6">
        <f>A944&amp;"|"&amp;C944&amp;"|"&amp;D944&amp;"|"&amp;J944</f>
        <v>Ari Makina, Турция|Шкала|Оборудование|1</v>
      </c>
      <c t="str" r="S944" s="6">
        <f>A944&amp;"|"&amp;C944&amp;"|"&amp;D944&amp;"|"&amp;G944&amp;"|"&amp;J944</f>
        <v>Ari Makina, Турция|Шкала|Оборудование|3|1</v>
      </c>
      <c t="str" r="T944" s="6">
        <f>A944&amp;"|"&amp;C944&amp;"|"&amp;G944</f>
        <v>Ari Makina, Турция|Шкала|3</v>
      </c>
      <c t="str" r="U944" s="6">
        <f>IF(H944="да",A944&amp;"|"&amp;C944&amp;"|"&amp;D944&amp;"|"&amp;J944,"")</f>
        <v/>
      </c>
      <c t="str" r="V944" s="6">
        <f>IF(C944="План",A944&amp;"|"&amp;J944,"")</f>
        <v/>
      </c>
    </row>
    <row r="945">
      <c r="A945" s="3" t="inlineStr">
        <is>
          <t>Ari Makina, Турция</t>
        </is>
      </c>
      <c r="B945" s="3" t="inlineStr">
        <is>
          <t>Заруб</t>
        </is>
      </c>
      <c r="C945" s="3" t="inlineStr">
        <is>
          <t>Шкала</t>
        </is>
      </c>
      <c r="D945" s="3" t="inlineStr">
        <is>
          <t>Оборудование</t>
        </is>
      </c>
      <c r="E945" s="3" t="inlineStr">
        <is>
          <t>Оборудование — за полугодие</t>
        </is>
      </c>
      <c r="F945" s="3" t="inlineStr">
        <is>
          <t>Объем закупок МП</t>
        </is>
      </c>
      <c r="G945" s="4" t="n">
        <v>3</v>
      </c>
      <c r="H945" s="4" t="n"/>
      <c r="I945" s="3" t="inlineStr">
        <is>
          <t>75-114</t>
        </is>
      </c>
      <c r="J945" s="4" t="n">
        <v>2</v>
      </c>
      <c r="K945" s="4" t="n"/>
      <c r="L945" s="4" t="n"/>
      <c r="M945" s="8" t="n">
        <v>0.09</v>
      </c>
      <c r="N945" s="4" t="inlineStr">
        <is>
          <t>%</t>
        </is>
      </c>
      <c r="O945" s="3" t="inlineStr">
        <is>
          <t>Ari Makina</t>
        </is>
      </c>
      <c r="P945" s="3" t="inlineStr">
        <is>
          <t>F16</t>
        </is>
      </c>
      <c t="str" r="Q945" s="6">
        <f>A945&amp;"|"&amp;C945&amp;"|"&amp;D945&amp;"|"&amp;G945</f>
        <v>Ari Makina, Турция|Шкала|Оборудование|3</v>
      </c>
      <c t="str" r="R945" s="6">
        <f>A945&amp;"|"&amp;C945&amp;"|"&amp;D945&amp;"|"&amp;J945</f>
        <v>Ari Makina, Турция|Шкала|Оборудование|2</v>
      </c>
      <c t="str" r="S945" s="6">
        <f>A945&amp;"|"&amp;C945&amp;"|"&amp;D945&amp;"|"&amp;G945&amp;"|"&amp;J945</f>
        <v>Ari Makina, Турция|Шкала|Оборудование|3|2</v>
      </c>
      <c t="str" r="T945" s="6">
        <f>A945&amp;"|"&amp;C945&amp;"|"&amp;G945</f>
        <v>Ari Makina, Турция|Шкала|3</v>
      </c>
      <c t="str" r="U945" s="6">
        <f>IF(H945="да",A945&amp;"|"&amp;C945&amp;"|"&amp;D945&amp;"|"&amp;J945,"")</f>
        <v/>
      </c>
      <c t="str" r="V945" s="6">
        <f>IF(C945="План",A945&amp;"|"&amp;J945,"")</f>
        <v/>
      </c>
    </row>
    <row r="946">
      <c r="A946" s="3" t="inlineStr">
        <is>
          <t>Ari Makina, Турция</t>
        </is>
      </c>
      <c r="B946" s="3" t="inlineStr">
        <is>
          <t>Заруб</t>
        </is>
      </c>
      <c r="C946" s="3" t="inlineStr">
        <is>
          <t>Шкала</t>
        </is>
      </c>
      <c r="D946" s="3" t="inlineStr">
        <is>
          <t>Оборудование</t>
        </is>
      </c>
      <c r="E946" s="3" t="inlineStr">
        <is>
          <t>Оборудование — за полугодие</t>
        </is>
      </c>
      <c r="F946" s="3" t="inlineStr">
        <is>
          <t>Объем закупок МП</t>
        </is>
      </c>
      <c r="G946" s="4" t="n">
        <v>3</v>
      </c>
      <c r="H946" s="4" t="n"/>
      <c r="I946" s="3" t="inlineStr">
        <is>
          <t>115-149</t>
        </is>
      </c>
      <c r="J946" s="4" t="n">
        <v>3</v>
      </c>
      <c r="K946" s="4" t="n"/>
      <c r="L946" s="4" t="n"/>
      <c r="M946" s="8" t="n">
        <v>0.1</v>
      </c>
      <c r="N946" s="4" t="inlineStr">
        <is>
          <t>%</t>
        </is>
      </c>
      <c r="O946" s="3" t="inlineStr">
        <is>
          <t>Ari Makina</t>
        </is>
      </c>
      <c r="P946" s="3" t="inlineStr">
        <is>
          <t>G16</t>
        </is>
      </c>
      <c t="str" r="Q946" s="6">
        <f>A946&amp;"|"&amp;C946&amp;"|"&amp;D946&amp;"|"&amp;G946</f>
        <v>Ari Makina, Турция|Шкала|Оборудование|3</v>
      </c>
      <c t="str" r="R946" s="6">
        <f>A946&amp;"|"&amp;C946&amp;"|"&amp;D946&amp;"|"&amp;J946</f>
        <v>Ari Makina, Турция|Шкала|Оборудование|3</v>
      </c>
      <c t="str" r="S946" s="6">
        <f>A946&amp;"|"&amp;C946&amp;"|"&amp;D946&amp;"|"&amp;G946&amp;"|"&amp;J946</f>
        <v>Ari Makina, Турция|Шкала|Оборудование|3|3</v>
      </c>
      <c t="str" r="T946" s="6">
        <f>A946&amp;"|"&amp;C946&amp;"|"&amp;G946</f>
        <v>Ari Makina, Турция|Шкала|3</v>
      </c>
      <c t="str" r="U946" s="6">
        <f>IF(H946="да",A946&amp;"|"&amp;C946&amp;"|"&amp;D946&amp;"|"&amp;J946,"")</f>
        <v/>
      </c>
      <c t="str" r="V946" s="6">
        <f>IF(C946="План",A946&amp;"|"&amp;J946,"")</f>
        <v/>
      </c>
    </row>
    <row r="947">
      <c r="A947" s="3" t="inlineStr">
        <is>
          <t>Ari Makina, Турция</t>
        </is>
      </c>
      <c r="B947" s="3" t="inlineStr">
        <is>
          <t>Заруб</t>
        </is>
      </c>
      <c r="C947" s="3" t="inlineStr">
        <is>
          <t>Шкала</t>
        </is>
      </c>
      <c r="D947" s="3" t="inlineStr">
        <is>
          <t>Оборудование</t>
        </is>
      </c>
      <c r="E947" s="3" t="inlineStr">
        <is>
          <t>Оборудование — за полугодие</t>
        </is>
      </c>
      <c r="F947" s="3" t="inlineStr">
        <is>
          <t>Объем закупок МП</t>
        </is>
      </c>
      <c r="G947" s="4" t="n">
        <v>3</v>
      </c>
      <c r="H947" s="4" t="n"/>
      <c r="I947" s="3" t="inlineStr">
        <is>
          <t>150-189</t>
        </is>
      </c>
      <c r="J947" s="4" t="n">
        <v>4</v>
      </c>
      <c r="K947" s="4" t="n"/>
      <c r="L947" s="4" t="n"/>
      <c r="M947" s="8" t="n">
        <v>0.11</v>
      </c>
      <c r="N947" s="4" t="inlineStr">
        <is>
          <t>%</t>
        </is>
      </c>
      <c r="O947" s="3" t="inlineStr">
        <is>
          <t>Ari Makina</t>
        </is>
      </c>
      <c r="P947" s="3" t="inlineStr">
        <is>
          <t>H16</t>
        </is>
      </c>
      <c t="str" r="Q947" s="6">
        <f>A947&amp;"|"&amp;C947&amp;"|"&amp;D947&amp;"|"&amp;G947</f>
        <v>Ari Makina, Турция|Шкала|Оборудование|3</v>
      </c>
      <c t="str" r="R947" s="6">
        <f>A947&amp;"|"&amp;C947&amp;"|"&amp;D947&amp;"|"&amp;J947</f>
        <v>Ari Makina, Турция|Шкала|Оборудование|4</v>
      </c>
      <c t="str" r="S947" s="6">
        <f>A947&amp;"|"&amp;C947&amp;"|"&amp;D947&amp;"|"&amp;G947&amp;"|"&amp;J947</f>
        <v>Ari Makina, Турция|Шкала|Оборудование|3|4</v>
      </c>
      <c t="str" r="T947" s="6">
        <f>A947&amp;"|"&amp;C947&amp;"|"&amp;G947</f>
        <v>Ari Makina, Турция|Шкала|3</v>
      </c>
      <c t="str" r="U947" s="6">
        <f>IF(H947="да",A947&amp;"|"&amp;C947&amp;"|"&amp;D947&amp;"|"&amp;J947,"")</f>
        <v/>
      </c>
      <c t="str" r="V947" s="6">
        <f>IF(C947="План",A947&amp;"|"&amp;J947,"")</f>
        <v/>
      </c>
    </row>
    <row r="948">
      <c r="A948" s="3" t="inlineStr">
        <is>
          <t>Ari Makina, Турция</t>
        </is>
      </c>
      <c r="B948" s="3" t="inlineStr">
        <is>
          <t>Заруб</t>
        </is>
      </c>
      <c r="C948" s="3" t="inlineStr">
        <is>
          <t>Шкала</t>
        </is>
      </c>
      <c r="D948" s="3" t="inlineStr">
        <is>
          <t>Оборудование</t>
        </is>
      </c>
      <c r="E948" s="3" t="inlineStr">
        <is>
          <t>Оборудование — за полугодие</t>
        </is>
      </c>
      <c r="F948" s="3" t="inlineStr">
        <is>
          <t>Объем закупок МП</t>
        </is>
      </c>
      <c r="G948" s="4" t="n">
        <v>3</v>
      </c>
      <c r="H948" s="4" t="n"/>
      <c r="I948" s="3" t="inlineStr">
        <is>
          <t>190-224</t>
        </is>
      </c>
      <c r="J948" s="4" t="n">
        <v>5</v>
      </c>
      <c r="K948" s="4" t="n"/>
      <c r="L948" s="4" t="n"/>
      <c r="M948" s="8" t="n">
        <v>0.12</v>
      </c>
      <c r="N948" s="4" t="inlineStr">
        <is>
          <t>%</t>
        </is>
      </c>
      <c r="O948" s="3" t="inlineStr">
        <is>
          <t>Ari Makina</t>
        </is>
      </c>
      <c r="P948" s="3" t="inlineStr">
        <is>
          <t>I16</t>
        </is>
      </c>
      <c t="str" r="Q948" s="6">
        <f>A948&amp;"|"&amp;C948&amp;"|"&amp;D948&amp;"|"&amp;G948</f>
        <v>Ari Makina, Турция|Шкала|Оборудование|3</v>
      </c>
      <c t="str" r="R948" s="6">
        <f>A948&amp;"|"&amp;C948&amp;"|"&amp;D948&amp;"|"&amp;J948</f>
        <v>Ari Makina, Турция|Шкала|Оборудование|5</v>
      </c>
      <c t="str" r="S948" s="6">
        <f>A948&amp;"|"&amp;C948&amp;"|"&amp;D948&amp;"|"&amp;G948&amp;"|"&amp;J948</f>
        <v>Ari Makina, Турция|Шкала|Оборудование|3|5</v>
      </c>
      <c t="str" r="T948" s="6">
        <f>A948&amp;"|"&amp;C948&amp;"|"&amp;G948</f>
        <v>Ari Makina, Турция|Шкала|3</v>
      </c>
      <c t="str" r="U948" s="6">
        <f>IF(H948="да",A948&amp;"|"&amp;C948&amp;"|"&amp;D948&amp;"|"&amp;J948,"")</f>
        <v/>
      </c>
      <c t="str" r="V948" s="6">
        <f>IF(C948="План",A948&amp;"|"&amp;J948,"")</f>
        <v/>
      </c>
    </row>
    <row r="949">
      <c r="A949" s="3" t="inlineStr">
        <is>
          <t>Ari Makina, Турция</t>
        </is>
      </c>
      <c r="B949" s="3" t="inlineStr">
        <is>
          <t>Заруб</t>
        </is>
      </c>
      <c r="C949" s="3" t="inlineStr">
        <is>
          <t>Шкала</t>
        </is>
      </c>
      <c r="D949" s="3" t="inlineStr">
        <is>
          <t>Оборудование</t>
        </is>
      </c>
      <c r="E949" s="3" t="inlineStr">
        <is>
          <t>Оборудование — за полугодие</t>
        </is>
      </c>
      <c r="F949" s="3" t="inlineStr">
        <is>
          <t>Объем закупок МП</t>
        </is>
      </c>
      <c r="G949" s="4" t="n">
        <v>3</v>
      </c>
      <c r="H949" s="4" t="n"/>
      <c r="I949" s="3" t="inlineStr">
        <is>
          <t>225 и более</t>
        </is>
      </c>
      <c r="J949" s="4" t="n">
        <v>6</v>
      </c>
      <c r="K949" s="4" t="n"/>
      <c r="L949" s="4" t="n"/>
      <c r="M949" s="8" t="n">
        <v>0.13</v>
      </c>
      <c r="N949" s="4" t="inlineStr">
        <is>
          <t>%</t>
        </is>
      </c>
      <c r="O949" s="3" t="inlineStr">
        <is>
          <t>Ari Makina</t>
        </is>
      </c>
      <c r="P949" s="3" t="inlineStr">
        <is>
          <t>J16</t>
        </is>
      </c>
      <c t="str" r="Q949" s="6">
        <f>A949&amp;"|"&amp;C949&amp;"|"&amp;D949&amp;"|"&amp;G949</f>
        <v>Ari Makina, Турция|Шкала|Оборудование|3</v>
      </c>
      <c t="str" r="R949" s="6">
        <f>A949&amp;"|"&amp;C949&amp;"|"&amp;D949&amp;"|"&amp;J949</f>
        <v>Ari Makina, Турция|Шкала|Оборудование|6</v>
      </c>
      <c t="str" r="S949" s="6">
        <f>A949&amp;"|"&amp;C949&amp;"|"&amp;D949&amp;"|"&amp;G949&amp;"|"&amp;J949</f>
        <v>Ari Makina, Турция|Шкала|Оборудование|3|6</v>
      </c>
      <c t="str" r="T949" s="6">
        <f>A949&amp;"|"&amp;C949&amp;"|"&amp;G949</f>
        <v>Ari Makina, Турция|Шкала|3</v>
      </c>
      <c t="str" r="U949" s="6">
        <f>IF(H949="да",A949&amp;"|"&amp;C949&amp;"|"&amp;D949&amp;"|"&amp;J949,"")</f>
        <v/>
      </c>
      <c t="str" r="V949" s="6">
        <f>IF(C949="План",A949&amp;"|"&amp;J949,"")</f>
        <v/>
      </c>
    </row>
    <row r="950">
      <c r="A950" s="3" t="inlineStr">
        <is>
          <t>Ari Makina, Турция</t>
        </is>
      </c>
      <c r="B950" s="3" t="inlineStr">
        <is>
          <t>Заруб</t>
        </is>
      </c>
      <c r="C950" s="3" t="inlineStr">
        <is>
          <t>Шкала</t>
        </is>
      </c>
      <c r="D950" s="3" t="inlineStr">
        <is>
          <t>Оборудование</t>
        </is>
      </c>
      <c r="E950" s="3" t="inlineStr">
        <is>
          <t>Оборудование — за полугодие</t>
        </is>
      </c>
      <c r="F950" s="3" t="inlineStr">
        <is>
          <t>ИТОГО</t>
        </is>
      </c>
      <c r="G950" s="4" t="n">
        <v>4</v>
      </c>
      <c r="H950" s="4" t="inlineStr">
        <is>
          <t>да</t>
        </is>
      </c>
      <c r="I950" s="3" t="inlineStr">
        <is>
          <t>до 75</t>
        </is>
      </c>
      <c r="J950" s="4" t="n">
        <v>1</v>
      </c>
      <c r="K950" s="4" t="n"/>
      <c r="L950" s="4" t="n"/>
      <c r="M950" s="8" t="n">
        <v>0.14</v>
      </c>
      <c r="N950" s="4" t="inlineStr">
        <is>
          <t>%</t>
        </is>
      </c>
      <c r="O950" s="3" t="inlineStr">
        <is>
          <t>Ari Makina</t>
        </is>
      </c>
      <c r="P950" s="3" t="inlineStr">
        <is>
          <t>E17</t>
        </is>
      </c>
      <c t="str" r="Q950" s="6">
        <f>A950&amp;"|"&amp;C950&amp;"|"&amp;D950&amp;"|"&amp;G950</f>
        <v>Ari Makina, Турция|Шкала|Оборудование|4</v>
      </c>
      <c t="str" r="R950" s="6">
        <f>A950&amp;"|"&amp;C950&amp;"|"&amp;D950&amp;"|"&amp;J950</f>
        <v>Ari Makina, Турция|Шкала|Оборудование|1</v>
      </c>
      <c t="str" r="S950" s="6">
        <f>A950&amp;"|"&amp;C950&amp;"|"&amp;D950&amp;"|"&amp;G950&amp;"|"&amp;J950</f>
        <v>Ari Makina, Турция|Шкала|Оборудование|4|1</v>
      </c>
      <c t="str" r="T950" s="6">
        <f>A950&amp;"|"&amp;C950&amp;"|"&amp;G950</f>
        <v>Ari Makina, Турция|Шкала|4</v>
      </c>
      <c t="str" r="U950" s="6">
        <f>IF(H950="да",A950&amp;"|"&amp;C950&amp;"|"&amp;D950&amp;"|"&amp;J950,"")</f>
        <v>Ari Makina, Турция|Шкала|Оборудование|1</v>
      </c>
      <c t="str" r="V950" s="6">
        <f>IF(C950="План",A950&amp;"|"&amp;J950,"")</f>
        <v/>
      </c>
    </row>
    <row r="951">
      <c r="A951" s="3" t="inlineStr">
        <is>
          <t>Ari Makina, Турция</t>
        </is>
      </c>
      <c r="B951" s="3" t="inlineStr">
        <is>
          <t>Заруб</t>
        </is>
      </c>
      <c r="C951" s="3" t="inlineStr">
        <is>
          <t>Шкала</t>
        </is>
      </c>
      <c r="D951" s="3" t="inlineStr">
        <is>
          <t>Оборудование</t>
        </is>
      </c>
      <c r="E951" s="3" t="inlineStr">
        <is>
          <t>Оборудование — за полугодие</t>
        </is>
      </c>
      <c r="F951" s="3" t="inlineStr">
        <is>
          <t>ИТОГО</t>
        </is>
      </c>
      <c r="G951" s="4" t="n">
        <v>4</v>
      </c>
      <c r="H951" s="4" t="inlineStr">
        <is>
          <t>да</t>
        </is>
      </c>
      <c r="I951" s="3" t="inlineStr">
        <is>
          <t>75-114</t>
        </is>
      </c>
      <c r="J951" s="4" t="n">
        <v>2</v>
      </c>
      <c r="K951" s="4" t="n"/>
      <c r="L951" s="4" t="n"/>
      <c r="M951" s="8" t="n">
        <v>0.16</v>
      </c>
      <c r="N951" s="4" t="inlineStr">
        <is>
          <t>%</t>
        </is>
      </c>
      <c r="O951" s="3" t="inlineStr">
        <is>
          <t>Ari Makina</t>
        </is>
      </c>
      <c r="P951" s="3" t="inlineStr">
        <is>
          <t>F17</t>
        </is>
      </c>
      <c t="str" r="Q951" s="6">
        <f>A951&amp;"|"&amp;C951&amp;"|"&amp;D951&amp;"|"&amp;G951</f>
        <v>Ari Makina, Турция|Шкала|Оборудование|4</v>
      </c>
      <c t="str" r="R951" s="6">
        <f>A951&amp;"|"&amp;C951&amp;"|"&amp;D951&amp;"|"&amp;J951</f>
        <v>Ari Makina, Турция|Шкала|Оборудование|2</v>
      </c>
      <c t="str" r="S951" s="6">
        <f>A951&amp;"|"&amp;C951&amp;"|"&amp;D951&amp;"|"&amp;G951&amp;"|"&amp;J951</f>
        <v>Ari Makina, Турция|Шкала|Оборудование|4|2</v>
      </c>
      <c t="str" r="T951" s="6">
        <f>A951&amp;"|"&amp;C951&amp;"|"&amp;G951</f>
        <v>Ari Makina, Турция|Шкала|4</v>
      </c>
      <c t="str" r="U951" s="6">
        <f>IF(H951="да",A951&amp;"|"&amp;C951&amp;"|"&amp;D951&amp;"|"&amp;J951,"")</f>
        <v>Ari Makina, Турция|Шкала|Оборудование|2</v>
      </c>
      <c t="str" r="V951" s="6">
        <f>IF(C951="План",A951&amp;"|"&amp;J951,"")</f>
        <v/>
      </c>
    </row>
    <row r="952">
      <c r="A952" s="3" t="inlineStr">
        <is>
          <t>Ari Makina, Турция</t>
        </is>
      </c>
      <c r="B952" s="3" t="inlineStr">
        <is>
          <t>Заруб</t>
        </is>
      </c>
      <c r="C952" s="3" t="inlineStr">
        <is>
          <t>Шкала</t>
        </is>
      </c>
      <c r="D952" s="3" t="inlineStr">
        <is>
          <t>Оборудование</t>
        </is>
      </c>
      <c r="E952" s="3" t="inlineStr">
        <is>
          <t>Оборудование — за полугодие</t>
        </is>
      </c>
      <c r="F952" s="3" t="inlineStr">
        <is>
          <t>ИТОГО</t>
        </is>
      </c>
      <c r="G952" s="4" t="n">
        <v>4</v>
      </c>
      <c r="H952" s="4" t="inlineStr">
        <is>
          <t>да</t>
        </is>
      </c>
      <c r="I952" s="3" t="inlineStr">
        <is>
          <t>115-149</t>
        </is>
      </c>
      <c r="J952" s="4" t="n">
        <v>3</v>
      </c>
      <c r="K952" s="4" t="n"/>
      <c r="L952" s="4" t="n"/>
      <c r="M952" s="8" t="n">
        <v>0.17</v>
      </c>
      <c r="N952" s="4" t="inlineStr">
        <is>
          <t>%</t>
        </is>
      </c>
      <c r="O952" s="3" t="inlineStr">
        <is>
          <t>Ari Makina</t>
        </is>
      </c>
      <c r="P952" s="3" t="inlineStr">
        <is>
          <t>G17</t>
        </is>
      </c>
      <c t="str" r="Q952" s="6">
        <f>A952&amp;"|"&amp;C952&amp;"|"&amp;D952&amp;"|"&amp;G952</f>
        <v>Ari Makina, Турция|Шкала|Оборудование|4</v>
      </c>
      <c t="str" r="R952" s="6">
        <f>A952&amp;"|"&amp;C952&amp;"|"&amp;D952&amp;"|"&amp;J952</f>
        <v>Ari Makina, Турция|Шкала|Оборудование|3</v>
      </c>
      <c t="str" r="S952" s="6">
        <f>A952&amp;"|"&amp;C952&amp;"|"&amp;D952&amp;"|"&amp;G952&amp;"|"&amp;J952</f>
        <v>Ari Makina, Турция|Шкала|Оборудование|4|3</v>
      </c>
      <c t="str" r="T952" s="6">
        <f>A952&amp;"|"&amp;C952&amp;"|"&amp;G952</f>
        <v>Ari Makina, Турция|Шкала|4</v>
      </c>
      <c t="str" r="U952" s="6">
        <f>IF(H952="да",A952&amp;"|"&amp;C952&amp;"|"&amp;D952&amp;"|"&amp;J952,"")</f>
        <v>Ari Makina, Турция|Шкала|Оборудование|3</v>
      </c>
      <c t="str" r="V952" s="6">
        <f>IF(C952="План",A952&amp;"|"&amp;J952,"")</f>
        <v/>
      </c>
    </row>
    <row r="953">
      <c r="A953" s="3" t="inlineStr">
        <is>
          <t>Ari Makina, Турция</t>
        </is>
      </c>
      <c r="B953" s="3" t="inlineStr">
        <is>
          <t>Заруб</t>
        </is>
      </c>
      <c r="C953" s="3" t="inlineStr">
        <is>
          <t>Шкала</t>
        </is>
      </c>
      <c r="D953" s="3" t="inlineStr">
        <is>
          <t>Оборудование</t>
        </is>
      </c>
      <c r="E953" s="3" t="inlineStr">
        <is>
          <t>Оборудование — за полугодие</t>
        </is>
      </c>
      <c r="F953" s="3" t="inlineStr">
        <is>
          <t>ИТОГО</t>
        </is>
      </c>
      <c r="G953" s="4" t="n">
        <v>4</v>
      </c>
      <c r="H953" s="4" t="inlineStr">
        <is>
          <t>да</t>
        </is>
      </c>
      <c r="I953" s="3" t="inlineStr">
        <is>
          <t>150-189</t>
        </is>
      </c>
      <c r="J953" s="4" t="n">
        <v>4</v>
      </c>
      <c r="K953" s="4" t="n"/>
      <c r="L953" s="4" t="n"/>
      <c r="M953" s="8" t="n">
        <v>0.18</v>
      </c>
      <c r="N953" s="4" t="inlineStr">
        <is>
          <t>%</t>
        </is>
      </c>
      <c r="O953" s="3" t="inlineStr">
        <is>
          <t>Ari Makina</t>
        </is>
      </c>
      <c r="P953" s="3" t="inlineStr">
        <is>
          <t>H17</t>
        </is>
      </c>
      <c t="str" r="Q953" s="6">
        <f>A953&amp;"|"&amp;C953&amp;"|"&amp;D953&amp;"|"&amp;G953</f>
        <v>Ari Makina, Турция|Шкала|Оборудование|4</v>
      </c>
      <c t="str" r="R953" s="6">
        <f>A953&amp;"|"&amp;C953&amp;"|"&amp;D953&amp;"|"&amp;J953</f>
        <v>Ari Makina, Турция|Шкала|Оборудование|4</v>
      </c>
      <c t="str" r="S953" s="6">
        <f>A953&amp;"|"&amp;C953&amp;"|"&amp;D953&amp;"|"&amp;G953&amp;"|"&amp;J953</f>
        <v>Ari Makina, Турция|Шкала|Оборудование|4|4</v>
      </c>
      <c t="str" r="T953" s="6">
        <f>A953&amp;"|"&amp;C953&amp;"|"&amp;G953</f>
        <v>Ari Makina, Турция|Шкала|4</v>
      </c>
      <c t="str" r="U953" s="6">
        <f>IF(H953="да",A953&amp;"|"&amp;C953&amp;"|"&amp;D953&amp;"|"&amp;J953,"")</f>
        <v>Ari Makina, Турция|Шкала|Оборудование|4</v>
      </c>
      <c t="str" r="V953" s="6">
        <f>IF(C953="План",A953&amp;"|"&amp;J953,"")</f>
        <v/>
      </c>
    </row>
    <row r="954">
      <c r="A954" s="3" t="inlineStr">
        <is>
          <t>Ari Makina, Турция</t>
        </is>
      </c>
      <c r="B954" s="3" t="inlineStr">
        <is>
          <t>Заруб</t>
        </is>
      </c>
      <c r="C954" s="3" t="inlineStr">
        <is>
          <t>Шкала</t>
        </is>
      </c>
      <c r="D954" s="3" t="inlineStr">
        <is>
          <t>Оборудование</t>
        </is>
      </c>
      <c r="E954" s="3" t="inlineStr">
        <is>
          <t>Оборудование — за полугодие</t>
        </is>
      </c>
      <c r="F954" s="3" t="inlineStr">
        <is>
          <t>ИТОГО</t>
        </is>
      </c>
      <c r="G954" s="4" t="n">
        <v>4</v>
      </c>
      <c r="H954" s="4" t="inlineStr">
        <is>
          <t>да</t>
        </is>
      </c>
      <c r="I954" s="3" t="inlineStr">
        <is>
          <t>190-224</t>
        </is>
      </c>
      <c r="J954" s="4" t="n">
        <v>5</v>
      </c>
      <c r="K954" s="4" t="n"/>
      <c r="L954" s="4" t="n"/>
      <c r="M954" s="8" t="n">
        <v>0.19</v>
      </c>
      <c r="N954" s="4" t="inlineStr">
        <is>
          <t>%</t>
        </is>
      </c>
      <c r="O954" s="3" t="inlineStr">
        <is>
          <t>Ari Makina</t>
        </is>
      </c>
      <c r="P954" s="3" t="inlineStr">
        <is>
          <t>I17</t>
        </is>
      </c>
      <c t="str" r="Q954" s="6">
        <f>A954&amp;"|"&amp;C954&amp;"|"&amp;D954&amp;"|"&amp;G954</f>
        <v>Ari Makina, Турция|Шкала|Оборудование|4</v>
      </c>
      <c t="str" r="R954" s="6">
        <f>A954&amp;"|"&amp;C954&amp;"|"&amp;D954&amp;"|"&amp;J954</f>
        <v>Ari Makina, Турция|Шкала|Оборудование|5</v>
      </c>
      <c t="str" r="S954" s="6">
        <f>A954&amp;"|"&amp;C954&amp;"|"&amp;D954&amp;"|"&amp;G954&amp;"|"&amp;J954</f>
        <v>Ari Makina, Турция|Шкала|Оборудование|4|5</v>
      </c>
      <c t="str" r="T954" s="6">
        <f>A954&amp;"|"&amp;C954&amp;"|"&amp;G954</f>
        <v>Ari Makina, Турция|Шкала|4</v>
      </c>
      <c t="str" r="U954" s="6">
        <f>IF(H954="да",A954&amp;"|"&amp;C954&amp;"|"&amp;D954&amp;"|"&amp;J954,"")</f>
        <v>Ari Makina, Турция|Шкала|Оборудование|5</v>
      </c>
      <c t="str" r="V954" s="6">
        <f>IF(C954="План",A954&amp;"|"&amp;J954,"")</f>
        <v/>
      </c>
    </row>
    <row r="955">
      <c r="A955" s="3" t="inlineStr">
        <is>
          <t>Ari Makina, Турция</t>
        </is>
      </c>
      <c r="B955" s="3" t="inlineStr">
        <is>
          <t>Заруб</t>
        </is>
      </c>
      <c r="C955" s="3" t="inlineStr">
        <is>
          <t>Шкала</t>
        </is>
      </c>
      <c r="D955" s="3" t="inlineStr">
        <is>
          <t>Оборудование</t>
        </is>
      </c>
      <c r="E955" s="3" t="inlineStr">
        <is>
          <t>Оборудование — за полугодие</t>
        </is>
      </c>
      <c r="F955" s="3" t="inlineStr">
        <is>
          <t>ИТОГО</t>
        </is>
      </c>
      <c r="G955" s="4" t="n">
        <v>4</v>
      </c>
      <c r="H955" s="4" t="inlineStr">
        <is>
          <t>да</t>
        </is>
      </c>
      <c r="I955" s="3" t="inlineStr">
        <is>
          <t>225 и более</t>
        </is>
      </c>
      <c r="J955" s="4" t="n">
        <v>6</v>
      </c>
      <c r="K955" s="4" t="n"/>
      <c r="L955" s="4" t="n"/>
      <c r="M955" s="8" t="n">
        <v>0.2</v>
      </c>
      <c r="N955" s="4" t="inlineStr">
        <is>
          <t>%</t>
        </is>
      </c>
      <c r="O955" s="3" t="inlineStr">
        <is>
          <t>Ari Makina</t>
        </is>
      </c>
      <c r="P955" s="3" t="inlineStr">
        <is>
          <t>J17</t>
        </is>
      </c>
      <c t="str" r="Q955" s="6">
        <f>A955&amp;"|"&amp;C955&amp;"|"&amp;D955&amp;"|"&amp;G955</f>
        <v>Ari Makina, Турция|Шкала|Оборудование|4</v>
      </c>
      <c t="str" r="R955" s="6">
        <f>A955&amp;"|"&amp;C955&amp;"|"&amp;D955&amp;"|"&amp;J955</f>
        <v>Ari Makina, Турция|Шкала|Оборудование|6</v>
      </c>
      <c t="str" r="S955" s="6">
        <f>A955&amp;"|"&amp;C955&amp;"|"&amp;D955&amp;"|"&amp;G955&amp;"|"&amp;J955</f>
        <v>Ari Makina, Турция|Шкала|Оборудование|4|6</v>
      </c>
      <c t="str" r="T955" s="6">
        <f>A955&amp;"|"&amp;C955&amp;"|"&amp;G955</f>
        <v>Ari Makina, Турция|Шкала|4</v>
      </c>
      <c t="str" r="U955" s="6">
        <f>IF(H955="да",A955&amp;"|"&amp;C955&amp;"|"&amp;D955&amp;"|"&amp;J955,"")</f>
        <v>Ari Makina, Турция|Шкала|Оборудование|6</v>
      </c>
      <c t="str" r="V955" s="6">
        <f>IF(C955="План",A955&amp;"|"&amp;J955,"")</f>
        <v/>
      </c>
    </row>
    <row r="956">
      <c r="A956" s="3" t="inlineStr">
        <is>
          <t>Ari Makina, Турция</t>
        </is>
      </c>
      <c r="B956" s="3" t="inlineStr">
        <is>
          <t>Заруб</t>
        </is>
      </c>
      <c r="C956" s="3" t="inlineStr">
        <is>
          <t>Шкала</t>
        </is>
      </c>
      <c r="D956" s="3" t="inlineStr">
        <is>
          <t>Расходные материалы</t>
        </is>
      </c>
      <c r="E956" s="3" t="inlineStr">
        <is>
          <t>Расходные материалы — за полугодие</t>
        </is>
      </c>
      <c r="F956" s="3" t="inlineStr">
        <is>
          <t>Объем закупок РМ</t>
        </is>
      </c>
      <c r="G956" s="4" t="n">
        <v>1</v>
      </c>
      <c r="H956" s="4" t="n"/>
      <c r="I956" s="3" t="inlineStr">
        <is>
          <t>до 24</t>
        </is>
      </c>
      <c r="J956" s="4" t="n">
        <v>1</v>
      </c>
      <c r="K956" s="4" t="n"/>
      <c r="L956" s="4" t="n"/>
      <c r="M956" s="8" t="n">
        <v>0</v>
      </c>
      <c r="N956" s="4" t="inlineStr">
        <is>
          <t>%</t>
        </is>
      </c>
      <c r="O956" s="3" t="inlineStr">
        <is>
          <t>Ari Makina</t>
        </is>
      </c>
      <c r="P956" s="3" t="inlineStr">
        <is>
          <t>E20</t>
        </is>
      </c>
      <c t="str" r="Q956" s="6">
        <f>A956&amp;"|"&amp;C956&amp;"|"&amp;D956&amp;"|"&amp;G956</f>
        <v>Ari Makina, Турция|Шкала|Расходные материалы|1</v>
      </c>
      <c t="str" r="R956" s="6">
        <f>A956&amp;"|"&amp;C956&amp;"|"&amp;D956&amp;"|"&amp;J956</f>
        <v>Ari Makina, Турция|Шкала|Расходные материалы|1</v>
      </c>
      <c t="str" r="S956" s="6">
        <f>A956&amp;"|"&amp;C956&amp;"|"&amp;D956&amp;"|"&amp;G956&amp;"|"&amp;J956</f>
        <v>Ari Makina, Турция|Шкала|Расходные материалы|1|1</v>
      </c>
      <c t="str" r="T956" s="6">
        <f>A956&amp;"|"&amp;C956&amp;"|"&amp;G956</f>
        <v>Ari Makina, Турция|Шкала|1</v>
      </c>
      <c t="str" r="U956" s="6">
        <f>IF(H956="да",A956&amp;"|"&amp;C956&amp;"|"&amp;D956&amp;"|"&amp;J956,"")</f>
        <v/>
      </c>
      <c t="str" r="V956" s="6">
        <f>IF(C956="План",A956&amp;"|"&amp;J956,"")</f>
        <v/>
      </c>
    </row>
    <row r="957">
      <c r="A957" s="3" t="inlineStr">
        <is>
          <t>Ari Makina, Турция</t>
        </is>
      </c>
      <c r="B957" s="3" t="inlineStr">
        <is>
          <t>Заруб</t>
        </is>
      </c>
      <c r="C957" s="3" t="inlineStr">
        <is>
          <t>Шкала</t>
        </is>
      </c>
      <c r="D957" s="3" t="inlineStr">
        <is>
          <t>Расходные материалы</t>
        </is>
      </c>
      <c r="E957" s="3" t="inlineStr">
        <is>
          <t>Расходные материалы — за полугодие</t>
        </is>
      </c>
      <c r="F957" s="3" t="inlineStr">
        <is>
          <t>Объем закупок РМ</t>
        </is>
      </c>
      <c r="G957" s="4" t="n">
        <v>1</v>
      </c>
      <c r="H957" s="4" t="n"/>
      <c r="I957" s="3" t="inlineStr">
        <is>
          <t>25-34</t>
        </is>
      </c>
      <c r="J957" s="4" t="n">
        <v>2</v>
      </c>
      <c r="K957" s="4" t="n"/>
      <c r="L957" s="4" t="n"/>
      <c r="M957" s="8" t="n">
        <v>0.01</v>
      </c>
      <c r="N957" s="4" t="inlineStr">
        <is>
          <t>%</t>
        </is>
      </c>
      <c r="O957" s="3" t="inlineStr">
        <is>
          <t>Ari Makina</t>
        </is>
      </c>
      <c r="P957" s="3" t="inlineStr">
        <is>
          <t>F20</t>
        </is>
      </c>
      <c t="str" r="Q957" s="6">
        <f>A957&amp;"|"&amp;C957&amp;"|"&amp;D957&amp;"|"&amp;G957</f>
        <v>Ari Makina, Турция|Шкала|Расходные материалы|1</v>
      </c>
      <c t="str" r="R957" s="6">
        <f>A957&amp;"|"&amp;C957&amp;"|"&amp;D957&amp;"|"&amp;J957</f>
        <v>Ari Makina, Турция|Шкала|Расходные материалы|2</v>
      </c>
      <c t="str" r="S957" s="6">
        <f>A957&amp;"|"&amp;C957&amp;"|"&amp;D957&amp;"|"&amp;G957&amp;"|"&amp;J957</f>
        <v>Ari Makina, Турция|Шкала|Расходные материалы|1|2</v>
      </c>
      <c t="str" r="T957" s="6">
        <f>A957&amp;"|"&amp;C957&amp;"|"&amp;G957</f>
        <v>Ari Makina, Турция|Шкала|1</v>
      </c>
      <c t="str" r="U957" s="6">
        <f>IF(H957="да",A957&amp;"|"&amp;C957&amp;"|"&amp;D957&amp;"|"&amp;J957,"")</f>
        <v/>
      </c>
      <c t="str" r="V957" s="6">
        <f>IF(C957="План",A957&amp;"|"&amp;J957,"")</f>
        <v/>
      </c>
    </row>
    <row r="958">
      <c r="A958" s="3" t="inlineStr">
        <is>
          <t>Ari Makina, Турция</t>
        </is>
      </c>
      <c r="B958" s="3" t="inlineStr">
        <is>
          <t>Заруб</t>
        </is>
      </c>
      <c r="C958" s="3" t="inlineStr">
        <is>
          <t>Шкала</t>
        </is>
      </c>
      <c r="D958" s="3" t="inlineStr">
        <is>
          <t>Расходные материалы</t>
        </is>
      </c>
      <c r="E958" s="3" t="inlineStr">
        <is>
          <t>Расходные материалы — за полугодие</t>
        </is>
      </c>
      <c r="F958" s="3" t="inlineStr">
        <is>
          <t>Объем закупок РМ</t>
        </is>
      </c>
      <c r="G958" s="4" t="n">
        <v>1</v>
      </c>
      <c r="H958" s="4" t="n"/>
      <c r="I958" s="3" t="inlineStr">
        <is>
          <t>35-44</t>
        </is>
      </c>
      <c r="J958" s="4" t="n">
        <v>3</v>
      </c>
      <c r="K958" s="4" t="n"/>
      <c r="L958" s="4" t="n"/>
      <c r="M958" s="8" t="n">
        <v>0.02</v>
      </c>
      <c r="N958" s="4" t="inlineStr">
        <is>
          <t>%</t>
        </is>
      </c>
      <c r="O958" s="3" t="inlineStr">
        <is>
          <t>Ari Makina</t>
        </is>
      </c>
      <c r="P958" s="3" t="inlineStr">
        <is>
          <t>G20</t>
        </is>
      </c>
      <c t="str" r="Q958" s="6">
        <f>A958&amp;"|"&amp;C958&amp;"|"&amp;D958&amp;"|"&amp;G958</f>
        <v>Ari Makina, Турция|Шкала|Расходные материалы|1</v>
      </c>
      <c t="str" r="R958" s="6">
        <f>A958&amp;"|"&amp;C958&amp;"|"&amp;D958&amp;"|"&amp;J958</f>
        <v>Ari Makina, Турция|Шкала|Расходные материалы|3</v>
      </c>
      <c t="str" r="S958" s="6">
        <f>A958&amp;"|"&amp;C958&amp;"|"&amp;D958&amp;"|"&amp;G958&amp;"|"&amp;J958</f>
        <v>Ari Makina, Турция|Шкала|Расходные материалы|1|3</v>
      </c>
      <c t="str" r="T958" s="6">
        <f>A958&amp;"|"&amp;C958&amp;"|"&amp;G958</f>
        <v>Ari Makina, Турция|Шкала|1</v>
      </c>
      <c t="str" r="U958" s="6">
        <f>IF(H958="да",A958&amp;"|"&amp;C958&amp;"|"&amp;D958&amp;"|"&amp;J958,"")</f>
        <v/>
      </c>
      <c t="str" r="V958" s="6">
        <f>IF(C958="План",A958&amp;"|"&amp;J958,"")</f>
        <v/>
      </c>
    </row>
    <row r="959">
      <c r="A959" s="3" t="inlineStr">
        <is>
          <t>Ari Makina, Турция</t>
        </is>
      </c>
      <c r="B959" s="3" t="inlineStr">
        <is>
          <t>Заруб</t>
        </is>
      </c>
      <c r="C959" s="3" t="inlineStr">
        <is>
          <t>Шкала</t>
        </is>
      </c>
      <c r="D959" s="3" t="inlineStr">
        <is>
          <t>Расходные материалы</t>
        </is>
      </c>
      <c r="E959" s="3" t="inlineStr">
        <is>
          <t>Расходные материалы — за полугодие</t>
        </is>
      </c>
      <c r="F959" s="3" t="inlineStr">
        <is>
          <t>Объем закупок РМ</t>
        </is>
      </c>
      <c r="G959" s="4" t="n">
        <v>1</v>
      </c>
      <c r="H959" s="4" t="n"/>
      <c r="I959" s="3" t="inlineStr">
        <is>
          <t>45-54</t>
        </is>
      </c>
      <c r="J959" s="4" t="n">
        <v>4</v>
      </c>
      <c r="K959" s="4" t="n"/>
      <c r="L959" s="4" t="n"/>
      <c r="M959" s="8" t="n">
        <v>0.03</v>
      </c>
      <c r="N959" s="4" t="inlineStr">
        <is>
          <t>%</t>
        </is>
      </c>
      <c r="O959" s="3" t="inlineStr">
        <is>
          <t>Ari Makina</t>
        </is>
      </c>
      <c r="P959" s="3" t="inlineStr">
        <is>
          <t>H20</t>
        </is>
      </c>
      <c t="str" r="Q959" s="6">
        <f>A959&amp;"|"&amp;C959&amp;"|"&amp;D959&amp;"|"&amp;G959</f>
        <v>Ari Makina, Турция|Шкала|Расходные материалы|1</v>
      </c>
      <c t="str" r="R959" s="6">
        <f>A959&amp;"|"&amp;C959&amp;"|"&amp;D959&amp;"|"&amp;J959</f>
        <v>Ari Makina, Турция|Шкала|Расходные материалы|4</v>
      </c>
      <c t="str" r="S959" s="6">
        <f>A959&amp;"|"&amp;C959&amp;"|"&amp;D959&amp;"|"&amp;G959&amp;"|"&amp;J959</f>
        <v>Ari Makina, Турция|Шкала|Расходные материалы|1|4</v>
      </c>
      <c t="str" r="T959" s="6">
        <f>A959&amp;"|"&amp;C959&amp;"|"&amp;G959</f>
        <v>Ari Makina, Турция|Шкала|1</v>
      </c>
      <c t="str" r="U959" s="6">
        <f>IF(H959="да",A959&amp;"|"&amp;C959&amp;"|"&amp;D959&amp;"|"&amp;J959,"")</f>
        <v/>
      </c>
      <c t="str" r="V959" s="6">
        <f>IF(C959="План",A959&amp;"|"&amp;J959,"")</f>
        <v/>
      </c>
    </row>
    <row r="960">
      <c r="A960" s="3" t="inlineStr">
        <is>
          <t>Ari Makina, Турция</t>
        </is>
      </c>
      <c r="B960" s="3" t="inlineStr">
        <is>
          <t>Заруб</t>
        </is>
      </c>
      <c r="C960" s="3" t="inlineStr">
        <is>
          <t>Шкала</t>
        </is>
      </c>
      <c r="D960" s="3" t="inlineStr">
        <is>
          <t>Расходные материалы</t>
        </is>
      </c>
      <c r="E960" s="3" t="inlineStr">
        <is>
          <t>Расходные материалы — за полугодие</t>
        </is>
      </c>
      <c r="F960" s="3" t="inlineStr">
        <is>
          <t>Объем закупок РМ</t>
        </is>
      </c>
      <c r="G960" s="4" t="n">
        <v>1</v>
      </c>
      <c r="H960" s="4" t="n"/>
      <c r="I960" s="3" t="inlineStr">
        <is>
          <t>55-64</t>
        </is>
      </c>
      <c r="J960" s="4" t="n">
        <v>5</v>
      </c>
      <c r="K960" s="4" t="n"/>
      <c r="L960" s="4" t="n"/>
      <c r="M960" s="8" t="n">
        <v>0.04</v>
      </c>
      <c r="N960" s="4" t="inlineStr">
        <is>
          <t>%</t>
        </is>
      </c>
      <c r="O960" s="3" t="inlineStr">
        <is>
          <t>Ari Makina</t>
        </is>
      </c>
      <c r="P960" s="3" t="inlineStr">
        <is>
          <t>I20</t>
        </is>
      </c>
      <c t="str" r="Q960" s="6">
        <f>A960&amp;"|"&amp;C960&amp;"|"&amp;D960&amp;"|"&amp;G960</f>
        <v>Ari Makina, Турция|Шкала|Расходные материалы|1</v>
      </c>
      <c t="str" r="R960" s="6">
        <f>A960&amp;"|"&amp;C960&amp;"|"&amp;D960&amp;"|"&amp;J960</f>
        <v>Ari Makina, Турция|Шкала|Расходные материалы|5</v>
      </c>
      <c t="str" r="S960" s="6">
        <f>A960&amp;"|"&amp;C960&amp;"|"&amp;D960&amp;"|"&amp;G960&amp;"|"&amp;J960</f>
        <v>Ari Makina, Турция|Шкала|Расходные материалы|1|5</v>
      </c>
      <c t="str" r="T960" s="6">
        <f>A960&amp;"|"&amp;C960&amp;"|"&amp;G960</f>
        <v>Ari Makina, Турция|Шкала|1</v>
      </c>
      <c t="str" r="U960" s="6">
        <f>IF(H960="да",A960&amp;"|"&amp;C960&amp;"|"&amp;D960&amp;"|"&amp;J960,"")</f>
        <v/>
      </c>
      <c t="str" r="V960" s="6">
        <f>IF(C960="План",A960&amp;"|"&amp;J960,"")</f>
        <v/>
      </c>
    </row>
    <row r="961">
      <c r="A961" s="3" t="inlineStr">
        <is>
          <t>Ari Makina, Турция</t>
        </is>
      </c>
      <c r="B961" s="3" t="inlineStr">
        <is>
          <t>Заруб</t>
        </is>
      </c>
      <c r="C961" s="3" t="inlineStr">
        <is>
          <t>Шкала</t>
        </is>
      </c>
      <c r="D961" s="3" t="inlineStr">
        <is>
          <t>Расходные материалы</t>
        </is>
      </c>
      <c r="E961" s="3" t="inlineStr">
        <is>
          <t>Расходные материалы — за полугодие</t>
        </is>
      </c>
      <c r="F961" s="3" t="inlineStr">
        <is>
          <t>Объем закупок РМ</t>
        </is>
      </c>
      <c r="G961" s="4" t="n">
        <v>1</v>
      </c>
      <c r="H961" s="4" t="n"/>
      <c r="I961" s="3" t="inlineStr">
        <is>
          <t>65 и более</t>
        </is>
      </c>
      <c r="J961" s="4" t="n">
        <v>6</v>
      </c>
      <c r="K961" s="4" t="n"/>
      <c r="L961" s="4" t="n"/>
      <c r="M961" s="8" t="n">
        <v>0.05</v>
      </c>
      <c r="N961" s="4" t="inlineStr">
        <is>
          <t>%</t>
        </is>
      </c>
      <c r="O961" s="3" t="inlineStr">
        <is>
          <t>Ari Makina</t>
        </is>
      </c>
      <c r="P961" s="3" t="inlineStr">
        <is>
          <t>J20</t>
        </is>
      </c>
      <c t="str" r="Q961" s="6">
        <f>A961&amp;"|"&amp;C961&amp;"|"&amp;D961&amp;"|"&amp;G961</f>
        <v>Ari Makina, Турция|Шкала|Расходные материалы|1</v>
      </c>
      <c t="str" r="R961" s="6">
        <f>A961&amp;"|"&amp;C961&amp;"|"&amp;D961&amp;"|"&amp;J961</f>
        <v>Ari Makina, Турция|Шкала|Расходные материалы|6</v>
      </c>
      <c t="str" r="S961" s="6">
        <f>A961&amp;"|"&amp;C961&amp;"|"&amp;D961&amp;"|"&amp;G961&amp;"|"&amp;J961</f>
        <v>Ari Makina, Турция|Шкала|Расходные материалы|1|6</v>
      </c>
      <c t="str" r="T961" s="6">
        <f>A961&amp;"|"&amp;C961&amp;"|"&amp;G961</f>
        <v>Ari Makina, Турция|Шкала|1</v>
      </c>
      <c t="str" r="U961" s="6">
        <f>IF(H961="да",A961&amp;"|"&amp;C961&amp;"|"&amp;D961&amp;"|"&amp;J961,"")</f>
        <v/>
      </c>
      <c t="str" r="V961" s="6">
        <f>IF(C961="План",A961&amp;"|"&amp;J961,"")</f>
        <v/>
      </c>
    </row>
    <row r="962">
      <c r="A962" s="3" t="inlineStr">
        <is>
          <t>Ari Makina, Турция</t>
        </is>
      </c>
      <c r="B962" s="3" t="inlineStr">
        <is>
          <t>Заруб</t>
        </is>
      </c>
      <c r="C962" s="3" t="inlineStr">
        <is>
          <t>Шкала</t>
        </is>
      </c>
      <c r="D962" s="3" t="inlineStr">
        <is>
          <t>Сервис (ЗЧ)</t>
        </is>
      </c>
      <c r="E962" s="3" t="inlineStr">
        <is>
          <t>Сервис (ЗЧ) — абсолютные отгрузки за 6 месяцев</t>
        </is>
      </c>
      <c r="F962" s="3" t="inlineStr">
        <is>
          <t>Скидка по сервису</t>
        </is>
      </c>
      <c r="G962" s="4" t="n">
        <v>1</v>
      </c>
      <c r="H962" s="4" t="inlineStr">
        <is>
          <t>да</t>
        </is>
      </c>
      <c r="I962" s="3" t="inlineStr">
        <is>
          <t>0–1625</t>
        </is>
      </c>
      <c r="J962" s="4" t="n">
        <v>1</v>
      </c>
      <c r="K962" s="4" t="n">
        <v>0</v>
      </c>
      <c r="L962" s="4" t="n">
        <v>1625</v>
      </c>
      <c r="M962" s="8" t="n">
        <v>0.05</v>
      </c>
      <c r="N962" s="4" t="inlineStr">
        <is>
          <t>%</t>
        </is>
      </c>
      <c r="O962" s="3" t="inlineStr">
        <is>
          <t>Ari Makina</t>
        </is>
      </c>
      <c r="P962" s="3" t="inlineStr">
        <is>
          <t>F23</t>
        </is>
      </c>
      <c t="str" r="Q962" s="6">
        <f>A962&amp;"|"&amp;C962&amp;"|"&amp;D962&amp;"|"&amp;G962</f>
        <v>Ari Makina, Турция|Шкала|Сервис (ЗЧ)|1</v>
      </c>
      <c t="str" r="R962" s="6">
        <f>A962&amp;"|"&amp;C962&amp;"|"&amp;D962&amp;"|"&amp;J962</f>
        <v>Ari Makina, Турция|Шкала|Сервис (ЗЧ)|1</v>
      </c>
      <c t="str" r="S962" s="6">
        <f>A962&amp;"|"&amp;C962&amp;"|"&amp;D962&amp;"|"&amp;G962&amp;"|"&amp;J962</f>
        <v>Ari Makina, Турция|Шкала|Сервис (ЗЧ)|1|1</v>
      </c>
      <c t="str" r="T962" s="6">
        <f>A962&amp;"|"&amp;C962&amp;"|"&amp;G962</f>
        <v>Ari Makina, Турция|Шкала|1</v>
      </c>
      <c t="str" r="U962" s="6">
        <f>IF(H962="да",A962&amp;"|"&amp;C962&amp;"|"&amp;D962&amp;"|"&amp;J962,"")</f>
        <v>Ari Makina, Турция|Шкала|Сервис (ЗЧ)|1</v>
      </c>
      <c t="str" r="V962" s="6">
        <f>IF(C962="План",A962&amp;"|"&amp;J962,"")</f>
        <v/>
      </c>
    </row>
    <row r="963">
      <c r="A963" s="3" t="inlineStr">
        <is>
          <t>Ari Makina, Турция</t>
        </is>
      </c>
      <c r="B963" s="3" t="inlineStr">
        <is>
          <t>Заруб</t>
        </is>
      </c>
      <c r="C963" s="3" t="inlineStr">
        <is>
          <t>Шкала</t>
        </is>
      </c>
      <c r="D963" s="3" t="inlineStr">
        <is>
          <t>Сервис (ЗЧ)</t>
        </is>
      </c>
      <c r="E963" s="3" t="inlineStr">
        <is>
          <t>Сервис (ЗЧ) — абсолютные отгрузки за 6 месяцев</t>
        </is>
      </c>
      <c r="F963" s="3" t="inlineStr">
        <is>
          <t>Скидка по сервису</t>
        </is>
      </c>
      <c r="G963" s="4" t="n">
        <v>1</v>
      </c>
      <c r="H963" s="4" t="inlineStr">
        <is>
          <t>да</t>
        </is>
      </c>
      <c r="I963" s="3" t="inlineStr">
        <is>
          <t>1625–4375</t>
        </is>
      </c>
      <c r="J963" s="4" t="n">
        <v>2</v>
      </c>
      <c r="K963" s="4" t="n">
        <v>1625</v>
      </c>
      <c r="L963" s="4" t="n">
        <v>4375</v>
      </c>
      <c r="M963" s="8" t="n">
        <v>0.07000000000000001</v>
      </c>
      <c r="N963" s="4" t="inlineStr">
        <is>
          <t>%</t>
        </is>
      </c>
      <c r="O963" s="3" t="inlineStr">
        <is>
          <t>Ari Makina</t>
        </is>
      </c>
      <c r="P963" s="3" t="inlineStr">
        <is>
          <t>F24</t>
        </is>
      </c>
      <c t="str" r="Q963" s="6">
        <f>A963&amp;"|"&amp;C963&amp;"|"&amp;D963&amp;"|"&amp;G963</f>
        <v>Ari Makina, Турция|Шкала|Сервис (ЗЧ)|1</v>
      </c>
      <c t="str" r="R963" s="6">
        <f>A963&amp;"|"&amp;C963&amp;"|"&amp;D963&amp;"|"&amp;J963</f>
        <v>Ari Makina, Турция|Шкала|Сервис (ЗЧ)|2</v>
      </c>
      <c t="str" r="S963" s="6">
        <f>A963&amp;"|"&amp;C963&amp;"|"&amp;D963&amp;"|"&amp;G963&amp;"|"&amp;J963</f>
        <v>Ari Makina, Турция|Шкала|Сервис (ЗЧ)|1|2</v>
      </c>
      <c t="str" r="T963" s="6">
        <f>A963&amp;"|"&amp;C963&amp;"|"&amp;G963</f>
        <v>Ari Makina, Турция|Шкала|1</v>
      </c>
      <c t="str" r="U963" s="6">
        <f>IF(H963="да",A963&amp;"|"&amp;C963&amp;"|"&amp;D963&amp;"|"&amp;J963,"")</f>
        <v>Ari Makina, Турция|Шкала|Сервис (ЗЧ)|2</v>
      </c>
      <c t="str" r="V963" s="6">
        <f>IF(C963="План",A963&amp;"|"&amp;J963,"")</f>
        <v/>
      </c>
    </row>
    <row r="964">
      <c r="A964" s="3" t="inlineStr">
        <is>
          <t>Ari Makina, Турция</t>
        </is>
      </c>
      <c r="B964" s="3" t="inlineStr">
        <is>
          <t>Заруб</t>
        </is>
      </c>
      <c r="C964" s="3" t="inlineStr">
        <is>
          <t>Шкала</t>
        </is>
      </c>
      <c r="D964" s="3" t="inlineStr">
        <is>
          <t>Сервис (ЗЧ)</t>
        </is>
      </c>
      <c r="E964" s="3" t="inlineStr">
        <is>
          <t>Сервис (ЗЧ) — абсолютные отгрузки за 6 месяцев</t>
        </is>
      </c>
      <c r="F964" s="3" t="inlineStr">
        <is>
          <t>Скидка по сервису</t>
        </is>
      </c>
      <c r="G964" s="4" t="n">
        <v>1</v>
      </c>
      <c r="H964" s="4" t="inlineStr">
        <is>
          <t>да</t>
        </is>
      </c>
      <c r="I964" s="3" t="inlineStr">
        <is>
          <t>4375–8750</t>
        </is>
      </c>
      <c r="J964" s="4" t="n">
        <v>3</v>
      </c>
      <c r="K964" s="4" t="n">
        <v>4375</v>
      </c>
      <c r="L964" s="4" t="n">
        <v>8750</v>
      </c>
      <c r="M964" s="8" t="n">
        <v>0.09</v>
      </c>
      <c r="N964" s="4" t="inlineStr">
        <is>
          <t>%</t>
        </is>
      </c>
      <c r="O964" s="3" t="inlineStr">
        <is>
          <t>Ari Makina</t>
        </is>
      </c>
      <c r="P964" s="3" t="inlineStr">
        <is>
          <t>F25</t>
        </is>
      </c>
      <c t="str" r="Q964" s="6">
        <f>A964&amp;"|"&amp;C964&amp;"|"&amp;D964&amp;"|"&amp;G964</f>
        <v>Ari Makina, Турция|Шкала|Сервис (ЗЧ)|1</v>
      </c>
      <c t="str" r="R964" s="6">
        <f>A964&amp;"|"&amp;C964&amp;"|"&amp;D964&amp;"|"&amp;J964</f>
        <v>Ari Makina, Турция|Шкала|Сервис (ЗЧ)|3</v>
      </c>
      <c t="str" r="S964" s="6">
        <f>A964&amp;"|"&amp;C964&amp;"|"&amp;D964&amp;"|"&amp;G964&amp;"|"&amp;J964</f>
        <v>Ari Makina, Турция|Шкала|Сервис (ЗЧ)|1|3</v>
      </c>
      <c t="str" r="T964" s="6">
        <f>A964&amp;"|"&amp;C964&amp;"|"&amp;G964</f>
        <v>Ari Makina, Турция|Шкала|1</v>
      </c>
      <c t="str" r="U964" s="6">
        <f>IF(H964="да",A964&amp;"|"&amp;C964&amp;"|"&amp;D964&amp;"|"&amp;J964,"")</f>
        <v>Ari Makina, Турция|Шкала|Сервис (ЗЧ)|3</v>
      </c>
      <c t="str" r="V964" s="6">
        <f>IF(C964="План",A964&amp;"|"&amp;J964,"")</f>
        <v/>
      </c>
    </row>
    <row r="965">
      <c r="A965" s="3" t="inlineStr">
        <is>
          <t>Ari Makina, Турция</t>
        </is>
      </c>
      <c r="B965" s="3" t="inlineStr">
        <is>
          <t>Заруб</t>
        </is>
      </c>
      <c r="C965" s="3" t="inlineStr">
        <is>
          <t>Шкала</t>
        </is>
      </c>
      <c r="D965" s="3" t="inlineStr">
        <is>
          <t>Сервис (ЗЧ)</t>
        </is>
      </c>
      <c r="E965" s="3" t="inlineStr">
        <is>
          <t>Сервис (ЗЧ) — абсолютные отгрузки за 6 месяцев</t>
        </is>
      </c>
      <c r="F965" s="3" t="inlineStr">
        <is>
          <t>Скидка по сервису</t>
        </is>
      </c>
      <c r="G965" s="4" t="n">
        <v>1</v>
      </c>
      <c r="H965" s="4" t="inlineStr">
        <is>
          <t>да</t>
        </is>
      </c>
      <c r="I965" s="3" t="inlineStr">
        <is>
          <t>8750–16875</t>
        </is>
      </c>
      <c r="J965" s="4" t="n">
        <v>4</v>
      </c>
      <c r="K965" s="4" t="n">
        <v>8750</v>
      </c>
      <c r="L965" s="4" t="n">
        <v>16875</v>
      </c>
      <c r="M965" s="8" t="n">
        <v>0.11</v>
      </c>
      <c r="N965" s="4" t="inlineStr">
        <is>
          <t>%</t>
        </is>
      </c>
      <c r="O965" s="3" t="inlineStr">
        <is>
          <t>Ari Makina</t>
        </is>
      </c>
      <c r="P965" s="3" t="inlineStr">
        <is>
          <t>F26</t>
        </is>
      </c>
      <c t="str" r="Q965" s="6">
        <f>A965&amp;"|"&amp;C965&amp;"|"&amp;D965&amp;"|"&amp;G965</f>
        <v>Ari Makina, Турция|Шкала|Сервис (ЗЧ)|1</v>
      </c>
      <c t="str" r="R965" s="6">
        <f>A965&amp;"|"&amp;C965&amp;"|"&amp;D965&amp;"|"&amp;J965</f>
        <v>Ari Makina, Турция|Шкала|Сервис (ЗЧ)|4</v>
      </c>
      <c t="str" r="S965" s="6">
        <f>A965&amp;"|"&amp;C965&amp;"|"&amp;D965&amp;"|"&amp;G965&amp;"|"&amp;J965</f>
        <v>Ari Makina, Турция|Шкала|Сервис (ЗЧ)|1|4</v>
      </c>
      <c t="str" r="T965" s="6">
        <f>A965&amp;"|"&amp;C965&amp;"|"&amp;G965</f>
        <v>Ari Makina, Турция|Шкала|1</v>
      </c>
      <c t="str" r="U965" s="6">
        <f>IF(H965="да",A965&amp;"|"&amp;C965&amp;"|"&amp;D965&amp;"|"&amp;J965,"")</f>
        <v>Ari Makina, Турция|Шкала|Сервис (ЗЧ)|4</v>
      </c>
      <c t="str" r="V965" s="6">
        <f>IF(C965="План",A965&amp;"|"&amp;J965,"")</f>
        <v/>
      </c>
    </row>
    <row r="966">
      <c r="A966" s="3" t="inlineStr">
        <is>
          <t>Ari Makina, Турция</t>
        </is>
      </c>
      <c r="B966" s="3" t="inlineStr">
        <is>
          <t>Заруб</t>
        </is>
      </c>
      <c r="C966" s="3" t="inlineStr">
        <is>
          <t>Шкала</t>
        </is>
      </c>
      <c r="D966" s="3" t="inlineStr">
        <is>
          <t>Сервис (ЗЧ)</t>
        </is>
      </c>
      <c r="E966" s="3" t="inlineStr">
        <is>
          <t>Сервис (ЗЧ) — абсолютные отгрузки за 6 месяцев</t>
        </is>
      </c>
      <c r="F966" s="3" t="inlineStr">
        <is>
          <t>Скидка по сервису</t>
        </is>
      </c>
      <c r="G966" s="4" t="n">
        <v>1</v>
      </c>
      <c r="H966" s="4" t="inlineStr">
        <is>
          <t>да</t>
        </is>
      </c>
      <c r="I966" s="3" t="inlineStr">
        <is>
          <t>16875–33125</t>
        </is>
      </c>
      <c r="J966" s="4" t="n">
        <v>5</v>
      </c>
      <c r="K966" s="4" t="n">
        <v>16875</v>
      </c>
      <c r="L966" s="4" t="n">
        <v>33125</v>
      </c>
      <c r="M966" s="8" t="n">
        <v>0.13</v>
      </c>
      <c r="N966" s="4" t="inlineStr">
        <is>
          <t>%</t>
        </is>
      </c>
      <c r="O966" s="3" t="inlineStr">
        <is>
          <t>Ari Makina</t>
        </is>
      </c>
      <c r="P966" s="3" t="inlineStr">
        <is>
          <t>F27</t>
        </is>
      </c>
      <c t="str" r="Q966" s="6">
        <f>A966&amp;"|"&amp;C966&amp;"|"&amp;D966&amp;"|"&amp;G966</f>
        <v>Ari Makina, Турция|Шкала|Сервис (ЗЧ)|1</v>
      </c>
      <c t="str" r="R966" s="6">
        <f>A966&amp;"|"&amp;C966&amp;"|"&amp;D966&amp;"|"&amp;J966</f>
        <v>Ari Makina, Турция|Шкала|Сервис (ЗЧ)|5</v>
      </c>
      <c t="str" r="S966" s="6">
        <f>A966&amp;"|"&amp;C966&amp;"|"&amp;D966&amp;"|"&amp;G966&amp;"|"&amp;J966</f>
        <v>Ari Makina, Турция|Шкала|Сервис (ЗЧ)|1|5</v>
      </c>
      <c t="str" r="T966" s="6">
        <f>A966&amp;"|"&amp;C966&amp;"|"&amp;G966</f>
        <v>Ari Makina, Турция|Шкала|1</v>
      </c>
      <c t="str" r="U966" s="6">
        <f>IF(H966="да",A966&amp;"|"&amp;C966&amp;"|"&amp;D966&amp;"|"&amp;J966,"")</f>
        <v>Ari Makina, Турция|Шкала|Сервис (ЗЧ)|5</v>
      </c>
      <c t="str" r="V966" s="6">
        <f>IF(C966="План",A966&amp;"|"&amp;J966,"")</f>
        <v/>
      </c>
    </row>
    <row r="967">
      <c r="A967" s="3" t="inlineStr">
        <is>
          <t>Ari Makina, Турция</t>
        </is>
      </c>
      <c r="B967" s="3" t="inlineStr">
        <is>
          <t>Заруб</t>
        </is>
      </c>
      <c r="C967" s="3" t="inlineStr">
        <is>
          <t>Шкала</t>
        </is>
      </c>
      <c r="D967" s="3" t="inlineStr">
        <is>
          <t>Сервис (ЗЧ)</t>
        </is>
      </c>
      <c r="E967" s="3" t="inlineStr">
        <is>
          <t>Сервис (ЗЧ) — абсолютные отгрузки за 6 месяцев</t>
        </is>
      </c>
      <c r="F967" s="3" t="inlineStr">
        <is>
          <t>Скидка по сервису</t>
        </is>
      </c>
      <c r="G967" s="4" t="n">
        <v>1</v>
      </c>
      <c r="H967" s="4" t="inlineStr">
        <is>
          <t>да</t>
        </is>
      </c>
      <c r="I967" s="3" t="inlineStr">
        <is>
          <t>33125–50000</t>
        </is>
      </c>
      <c r="J967" s="4" t="n">
        <v>6</v>
      </c>
      <c r="K967" s="4" t="n">
        <v>33125</v>
      </c>
      <c r="L967" s="4" t="n">
        <v>50000</v>
      </c>
      <c r="M967" s="8" t="n">
        <v>0.15</v>
      </c>
      <c r="N967" s="4" t="inlineStr">
        <is>
          <t>%</t>
        </is>
      </c>
      <c r="O967" s="3" t="inlineStr">
        <is>
          <t>Ari Makina</t>
        </is>
      </c>
      <c r="P967" s="3" t="inlineStr">
        <is>
          <t>F28</t>
        </is>
      </c>
      <c t="str" r="Q967" s="6">
        <f>A967&amp;"|"&amp;C967&amp;"|"&amp;D967&amp;"|"&amp;G967</f>
        <v>Ari Makina, Турция|Шкала|Сервис (ЗЧ)|1</v>
      </c>
      <c t="str" r="R967" s="6">
        <f>A967&amp;"|"&amp;C967&amp;"|"&amp;D967&amp;"|"&amp;J967</f>
        <v>Ari Makina, Турция|Шкала|Сервис (ЗЧ)|6</v>
      </c>
      <c t="str" r="S967" s="6">
        <f>A967&amp;"|"&amp;C967&amp;"|"&amp;D967&amp;"|"&amp;G967&amp;"|"&amp;J967</f>
        <v>Ari Makina, Турция|Шкала|Сервис (ЗЧ)|1|6</v>
      </c>
      <c t="str" r="T967" s="6">
        <f>A967&amp;"|"&amp;C967&amp;"|"&amp;G967</f>
        <v>Ari Makina, Турция|Шкала|1</v>
      </c>
      <c t="str" r="U967" s="6">
        <f>IF(H967="да",A967&amp;"|"&amp;C967&amp;"|"&amp;D967&amp;"|"&amp;J967,"")</f>
        <v>Ari Makina, Турция|Шкала|Сервис (ЗЧ)|6</v>
      </c>
      <c t="str" r="V967" s="6">
        <f>IF(C967="План",A967&amp;"|"&amp;J967,"")</f>
        <v/>
      </c>
    </row>
    <row r="968">
      <c r="A968" s="3" t="inlineStr">
        <is>
          <t>Ari Makina, Турция</t>
        </is>
      </c>
      <c r="B968" s="3" t="inlineStr">
        <is>
          <t>Заруб</t>
        </is>
      </c>
      <c r="C968" s="3" t="inlineStr">
        <is>
          <t>Шкала</t>
        </is>
      </c>
      <c r="D968" s="3" t="inlineStr">
        <is>
          <t>Сервис (ЗЧ)</t>
        </is>
      </c>
      <c r="E968" s="3" t="inlineStr">
        <is>
          <t>Сервис (ЗЧ) — абсолютные отгрузки за 6 месяцев</t>
        </is>
      </c>
      <c r="F968" s="3" t="inlineStr">
        <is>
          <t>Скидка по сервису</t>
        </is>
      </c>
      <c r="G968" s="4" t="n">
        <v>1</v>
      </c>
      <c r="H968" s="4" t="inlineStr">
        <is>
          <t>да</t>
        </is>
      </c>
      <c r="I968" s="3" t="inlineStr">
        <is>
          <t>50000–87500</t>
        </is>
      </c>
      <c r="J968" s="4" t="n">
        <v>7</v>
      </c>
      <c r="K968" s="4" t="n">
        <v>50000</v>
      </c>
      <c r="L968" s="4" t="n">
        <v>87500</v>
      </c>
      <c r="M968" s="8" t="n">
        <v>0.17</v>
      </c>
      <c r="N968" s="4" t="inlineStr">
        <is>
          <t>%</t>
        </is>
      </c>
      <c r="O968" s="3" t="inlineStr">
        <is>
          <t>Ari Makina</t>
        </is>
      </c>
      <c r="P968" s="3" t="inlineStr">
        <is>
          <t>F29</t>
        </is>
      </c>
      <c t="str" r="Q968" s="6">
        <f>A968&amp;"|"&amp;C968&amp;"|"&amp;D968&amp;"|"&amp;G968</f>
        <v>Ari Makina, Турция|Шкала|Сервис (ЗЧ)|1</v>
      </c>
      <c t="str" r="R968" s="6">
        <f>A968&amp;"|"&amp;C968&amp;"|"&amp;D968&amp;"|"&amp;J968</f>
        <v>Ari Makina, Турция|Шкала|Сервис (ЗЧ)|7</v>
      </c>
      <c t="str" r="S968" s="6">
        <f>A968&amp;"|"&amp;C968&amp;"|"&amp;D968&amp;"|"&amp;G968&amp;"|"&amp;J968</f>
        <v>Ari Makina, Турция|Шкала|Сервис (ЗЧ)|1|7</v>
      </c>
      <c t="str" r="T968" s="6">
        <f>A968&amp;"|"&amp;C968&amp;"|"&amp;G968</f>
        <v>Ari Makina, Турция|Шкала|1</v>
      </c>
      <c t="str" r="U968" s="6">
        <f>IF(H968="да",A968&amp;"|"&amp;C968&amp;"|"&amp;D968&amp;"|"&amp;J968,"")</f>
        <v>Ari Makina, Турция|Шкала|Сервис (ЗЧ)|7</v>
      </c>
      <c t="str" r="V968" s="6">
        <f>IF(C968="План",A968&amp;"|"&amp;J968,"")</f>
        <v/>
      </c>
    </row>
    <row r="969">
      <c r="A969" s="3" t="inlineStr">
        <is>
          <t>Ari Makina, Турция</t>
        </is>
      </c>
      <c r="B969" s="3" t="inlineStr">
        <is>
          <t>Заруб</t>
        </is>
      </c>
      <c r="C969" s="3" t="inlineStr">
        <is>
          <t>Шкала</t>
        </is>
      </c>
      <c r="D969" s="3" t="inlineStr">
        <is>
          <t>Сервис (ЗЧ)</t>
        </is>
      </c>
      <c r="E969" s="3" t="inlineStr">
        <is>
          <t>Сервис (ЗЧ) — абсолютные отгрузки за 6 месяцев</t>
        </is>
      </c>
      <c r="F969" s="3" t="inlineStr">
        <is>
          <t>Скидка по сервису</t>
        </is>
      </c>
      <c r="G969" s="4" t="n">
        <v>1</v>
      </c>
      <c r="H969" s="4" t="inlineStr">
        <is>
          <t>да</t>
        </is>
      </c>
      <c r="I969" s="3" t="inlineStr">
        <is>
          <t>87500+</t>
        </is>
      </c>
      <c r="J969" s="4" t="n">
        <v>8</v>
      </c>
      <c r="K969" s="4" t="n">
        <v>87500</v>
      </c>
      <c r="L969" s="4" t="n">
        <v>0</v>
      </c>
      <c r="M969" s="8" t="n">
        <v>0.19</v>
      </c>
      <c r="N969" s="4" t="inlineStr">
        <is>
          <t>%</t>
        </is>
      </c>
      <c r="O969" s="3" t="inlineStr">
        <is>
          <t>Ari Makina</t>
        </is>
      </c>
      <c r="P969" s="3" t="inlineStr">
        <is>
          <t>F30</t>
        </is>
      </c>
      <c t="str" r="Q969" s="6">
        <f>A969&amp;"|"&amp;C969&amp;"|"&amp;D969&amp;"|"&amp;G969</f>
        <v>Ari Makina, Турция|Шкала|Сервис (ЗЧ)|1</v>
      </c>
      <c t="str" r="R969" s="6">
        <f>A969&amp;"|"&amp;C969&amp;"|"&amp;D969&amp;"|"&amp;J969</f>
        <v>Ari Makina, Турция|Шкала|Сервис (ЗЧ)|8</v>
      </c>
      <c t="str" r="S969" s="6">
        <f>A969&amp;"|"&amp;C969&amp;"|"&amp;D969&amp;"|"&amp;G969&amp;"|"&amp;J969</f>
        <v>Ari Makina, Турция|Шкала|Сервис (ЗЧ)|1|8</v>
      </c>
      <c t="str" r="T969" s="6">
        <f>A969&amp;"|"&amp;C969&amp;"|"&amp;G969</f>
        <v>Ari Makina, Турция|Шкала|1</v>
      </c>
      <c t="str" r="U969" s="6">
        <f>IF(H969="да",A969&amp;"|"&amp;C969&amp;"|"&amp;D969&amp;"|"&amp;J969,"")</f>
        <v>Ari Makina, Турция|Шкала|Сервис (ЗЧ)|8</v>
      </c>
      <c t="str" r="V969" s="6">
        <f>IF(C969="План",A969&amp;"|"&amp;J969,"")</f>
        <v/>
      </c>
    </row>
    <row r="970">
      <c r="A970" s="3" t="inlineStr">
        <is>
          <t>Кабири Хучанд ООО, Таджикистан</t>
        </is>
      </c>
      <c r="B970" s="3" t="inlineStr">
        <is>
          <t>Заруб</t>
        </is>
      </c>
      <c r="C970" s="3" t="inlineStr">
        <is>
          <t>План</t>
        </is>
      </c>
      <c r="D970" s="3" t="inlineStr">
        <is>
          <t>Итого по дилеру</t>
        </is>
      </c>
      <c r="E970" s="3" t="inlineStr">
        <is>
          <t>План и бонусы</t>
        </is>
      </c>
      <c r="F970" s="3" t="inlineStr">
        <is>
          <t>Выручка 2024</t>
        </is>
      </c>
      <c r="G970" s="4" t="n">
        <v>1</v>
      </c>
      <c r="H970" s="4" t="n"/>
      <c r="I970" s="3" t="n"/>
      <c r="J970" s="4" t="n">
        <v>1</v>
      </c>
      <c r="K970" s="4" t="n"/>
      <c r="L970" s="4" t="n"/>
      <c r="M970" s="5" t="n">
        <v>48597</v>
      </c>
      <c r="N970" s="4" t="inlineStr">
        <is>
          <t>EUR</t>
        </is>
      </c>
      <c r="O970" s="3" t="inlineStr">
        <is>
          <t>Кабири Хучанд ООО</t>
        </is>
      </c>
      <c r="P970" s="3" t="inlineStr">
        <is>
          <t>D4</t>
        </is>
      </c>
      <c t="str" r="Q970" s="6">
        <f>A970&amp;"|"&amp;C970&amp;"|"&amp;D970&amp;"|"&amp;G970</f>
        <v>Кабири Хучанд ООО, Таджикистан|План|Итого по дилеру|1</v>
      </c>
      <c t="str" r="R970" s="6">
        <f>A970&amp;"|"&amp;C970&amp;"|"&amp;D970&amp;"|"&amp;J970</f>
        <v>Кабири Хучанд ООО, Таджикистан|План|Итого по дилеру|1</v>
      </c>
      <c t="str" r="S970" s="6">
        <f>A970&amp;"|"&amp;C970&amp;"|"&amp;D970&amp;"|"&amp;G970&amp;"|"&amp;J970</f>
        <v>Кабири Хучанд ООО, Таджикистан|План|Итого по дилеру|1|1</v>
      </c>
      <c t="str" r="T970" s="6">
        <f>A970&amp;"|"&amp;C970&amp;"|"&amp;G970</f>
        <v>Кабири Хучанд ООО, Таджикистан|План|1</v>
      </c>
      <c t="str" r="U970" s="6">
        <f>IF(H970="да",A970&amp;"|"&amp;C970&amp;"|"&amp;D970&amp;"|"&amp;J970,"")</f>
        <v/>
      </c>
      <c t="str" r="V970" s="6">
        <f>IF(C970="План",A970&amp;"|"&amp;J970,"")</f>
        <v>Кабири Хучанд ООО, Таджикистан|1</v>
      </c>
    </row>
    <row r="971">
      <c r="A971" s="3" t="inlineStr">
        <is>
          <t>Кабири Хучанд ООО, Таджикистан</t>
        </is>
      </c>
      <c r="B971" s="3" t="inlineStr">
        <is>
          <t>Заруб</t>
        </is>
      </c>
      <c r="C971" s="3" t="inlineStr">
        <is>
          <t>План</t>
        </is>
      </c>
      <c r="D971" s="3" t="inlineStr">
        <is>
          <t>Итого по дилеру</t>
        </is>
      </c>
      <c r="E971" s="3" t="inlineStr">
        <is>
          <t>План и бонусы</t>
        </is>
      </c>
      <c r="F971" s="3" t="inlineStr">
        <is>
          <t>Выручка 2025</t>
        </is>
      </c>
      <c r="G971" s="4" t="n">
        <v>1</v>
      </c>
      <c r="H971" s="4" t="n"/>
      <c r="I971" s="3" t="n"/>
      <c r="J971" s="4" t="n">
        <v>2</v>
      </c>
      <c r="K971" s="4" t="n"/>
      <c r="L971" s="4" t="n"/>
      <c r="M971" s="5" t="n">
        <v>58272</v>
      </c>
      <c r="N971" s="4" t="inlineStr">
        <is>
          <t>EUR</t>
        </is>
      </c>
      <c r="O971" s="3" t="inlineStr">
        <is>
          <t>Кабири Хучанд ООО</t>
        </is>
      </c>
      <c r="P971" s="3" t="inlineStr">
        <is>
          <t>E4</t>
        </is>
      </c>
      <c t="str" r="Q971" s="6">
        <f>A971&amp;"|"&amp;C971&amp;"|"&amp;D971&amp;"|"&amp;G971</f>
        <v>Кабири Хучанд ООО, Таджикистан|План|Итого по дилеру|1</v>
      </c>
      <c t="str" r="R971" s="6">
        <f>A971&amp;"|"&amp;C971&amp;"|"&amp;D971&amp;"|"&amp;J971</f>
        <v>Кабири Хучанд ООО, Таджикистан|План|Итого по дилеру|2</v>
      </c>
      <c t="str" r="S971" s="6">
        <f>A971&amp;"|"&amp;C971&amp;"|"&amp;D971&amp;"|"&amp;G971&amp;"|"&amp;J971</f>
        <v>Кабири Хучанд ООО, Таджикистан|План|Итого по дилеру|1|2</v>
      </c>
      <c t="str" r="T971" s="6">
        <f>A971&amp;"|"&amp;C971&amp;"|"&amp;G971</f>
        <v>Кабири Хучанд ООО, Таджикистан|План|1</v>
      </c>
      <c t="str" r="U971" s="6">
        <f>IF(H971="да",A971&amp;"|"&amp;C971&amp;"|"&amp;D971&amp;"|"&amp;J971,"")</f>
        <v/>
      </c>
      <c t="str" r="V971" s="6">
        <f>IF(C971="План",A971&amp;"|"&amp;J971,"")</f>
        <v>Кабири Хучанд ООО, Таджикистан|2</v>
      </c>
    </row>
    <row r="972">
      <c r="A972" s="3" t="inlineStr">
        <is>
          <t>Кабири Хучанд ООО, Таджикистан</t>
        </is>
      </c>
      <c r="B972" s="3" t="inlineStr">
        <is>
          <t>Заруб</t>
        </is>
      </c>
      <c r="C972" s="3" t="inlineStr">
        <is>
          <t>План</t>
        </is>
      </c>
      <c r="D972" s="3" t="inlineStr">
        <is>
          <t>Итого по дилеру</t>
        </is>
      </c>
      <c r="E972" s="3" t="inlineStr">
        <is>
          <t>План и бонусы</t>
        </is>
      </c>
      <c r="F972" s="3" t="inlineStr">
        <is>
          <t>План 2026</t>
        </is>
      </c>
      <c r="G972" s="4" t="n">
        <v>1</v>
      </c>
      <c r="H972" s="4" t="n"/>
      <c r="I972" s="3" t="n"/>
      <c r="J972" s="4" t="n">
        <v>3</v>
      </c>
      <c r="K972" s="4" t="n"/>
      <c r="L972" s="4" t="n"/>
      <c r="M972" s="5" t="n">
        <v>150000</v>
      </c>
      <c r="N972" s="4" t="inlineStr">
        <is>
          <t>EUR</t>
        </is>
      </c>
      <c r="O972" s="3" t="inlineStr">
        <is>
          <t>Кабири Хучанд ООО</t>
        </is>
      </c>
      <c r="P972" s="3" t="inlineStr">
        <is>
          <t>F4</t>
        </is>
      </c>
      <c t="str" r="Q972" s="6">
        <f>A972&amp;"|"&amp;C972&amp;"|"&amp;D972&amp;"|"&amp;G972</f>
        <v>Кабири Хучанд ООО, Таджикистан|План|Итого по дилеру|1</v>
      </c>
      <c t="str" r="R972" s="6">
        <f>A972&amp;"|"&amp;C972&amp;"|"&amp;D972&amp;"|"&amp;J972</f>
        <v>Кабири Хучанд ООО, Таджикистан|План|Итого по дилеру|3</v>
      </c>
      <c t="str" r="S972" s="6">
        <f>A972&amp;"|"&amp;C972&amp;"|"&amp;D972&amp;"|"&amp;G972&amp;"|"&amp;J972</f>
        <v>Кабири Хучанд ООО, Таджикистан|План|Итого по дилеру|1|3</v>
      </c>
      <c t="str" r="T972" s="6">
        <f>A972&amp;"|"&amp;C972&amp;"|"&amp;G972</f>
        <v>Кабири Хучанд ООО, Таджикистан|План|1</v>
      </c>
      <c t="str" r="U972" s="6">
        <f>IF(H972="да",A972&amp;"|"&amp;C972&amp;"|"&amp;D972&amp;"|"&amp;J972,"")</f>
        <v/>
      </c>
      <c t="str" r="V972" s="6">
        <f>IF(C972="План",A972&amp;"|"&amp;J972,"")</f>
        <v>Кабири Хучанд ООО, Таджикистан|3</v>
      </c>
    </row>
    <row r="973">
      <c r="A973" s="3" t="inlineStr">
        <is>
          <t>Кабири Хучанд ООО, Таджикистан</t>
        </is>
      </c>
      <c r="B973" s="3" t="inlineStr">
        <is>
          <t>Заруб</t>
        </is>
      </c>
      <c r="C973" s="3" t="inlineStr">
        <is>
          <t>План</t>
        </is>
      </c>
      <c r="D973" s="3" t="inlineStr">
        <is>
          <t>Итого по дилеру</t>
        </is>
      </c>
      <c r="E973" s="3" t="inlineStr">
        <is>
          <t>План и бонусы</t>
        </is>
      </c>
      <c r="F973" s="3" t="inlineStr">
        <is>
          <t>Прирост П/Ф</t>
        </is>
      </c>
      <c r="G973" s="4" t="n">
        <v>1</v>
      </c>
      <c r="H973" s="4" t="n"/>
      <c r="I973" s="3" t="n"/>
      <c r="J973" s="4" t="n">
        <v>4</v>
      </c>
      <c r="K973" s="4" t="n"/>
      <c r="L973" s="4" t="n"/>
      <c r="M973" s="7" t="n">
        <v>1.574135090609555</v>
      </c>
      <c r="N973" s="4" t="inlineStr">
        <is>
          <t>%</t>
        </is>
      </c>
      <c r="O973" s="3" t="inlineStr">
        <is>
          <t>Кабири Хучанд ООО</t>
        </is>
      </c>
      <c r="P973" s="3" t="inlineStr">
        <is>
          <t>G4</t>
        </is>
      </c>
      <c t="str" r="Q973" s="6">
        <f>A973&amp;"|"&amp;C973&amp;"|"&amp;D973&amp;"|"&amp;G973</f>
        <v>Кабири Хучанд ООО, Таджикистан|План|Итого по дилеру|1</v>
      </c>
      <c t="str" r="R973" s="6">
        <f>A973&amp;"|"&amp;C973&amp;"|"&amp;D973&amp;"|"&amp;J973</f>
        <v>Кабири Хучанд ООО, Таджикистан|План|Итого по дилеру|4</v>
      </c>
      <c t="str" r="S973" s="6">
        <f>A973&amp;"|"&amp;C973&amp;"|"&amp;D973&amp;"|"&amp;G973&amp;"|"&amp;J973</f>
        <v>Кабири Хучанд ООО, Таджикистан|План|Итого по дилеру|1|4</v>
      </c>
      <c t="str" r="T973" s="6">
        <f>A973&amp;"|"&amp;C973&amp;"|"&amp;G973</f>
        <v>Кабири Хучанд ООО, Таджикистан|План|1</v>
      </c>
      <c t="str" r="U973" s="6">
        <f>IF(H973="да",A973&amp;"|"&amp;C973&amp;"|"&amp;D973&amp;"|"&amp;J973,"")</f>
        <v/>
      </c>
      <c t="str" r="V973" s="6">
        <f>IF(C973="План",A973&amp;"|"&amp;J973,"")</f>
        <v>Кабири Хучанд ООО, Таджикистан|4</v>
      </c>
    </row>
    <row r="974">
      <c r="A974" s="3" t="inlineStr">
        <is>
          <t>Кабири Хучанд ООО, Таджикистан</t>
        </is>
      </c>
      <c r="B974" s="3" t="inlineStr">
        <is>
          <t>Заруб</t>
        </is>
      </c>
      <c r="C974" s="3" t="inlineStr">
        <is>
          <t>План</t>
        </is>
      </c>
      <c r="D974" s="3" t="inlineStr">
        <is>
          <t>Сервис</t>
        </is>
      </c>
      <c r="E974" s="3" t="inlineStr">
        <is>
          <t>План и бонусы</t>
        </is>
      </c>
      <c r="F974" s="3" t="inlineStr">
        <is>
          <t>Выручка 2024</t>
        </is>
      </c>
      <c r="G974" s="4" t="n">
        <v>2</v>
      </c>
      <c r="H974" s="4" t="n"/>
      <c r="I974" s="3" t="n"/>
      <c r="J974" s="4" t="n">
        <v>1</v>
      </c>
      <c r="K974" s="4" t="n"/>
      <c r="L974" s="4" t="n"/>
      <c r="M974" s="5" t="n">
        <v>3147</v>
      </c>
      <c r="N974" s="4" t="inlineStr">
        <is>
          <t>EUR</t>
        </is>
      </c>
      <c r="O974" s="3" t="inlineStr">
        <is>
          <t>Кабири Хучанд ООО</t>
        </is>
      </c>
      <c r="P974" s="3" t="inlineStr">
        <is>
          <t>D5</t>
        </is>
      </c>
      <c t="str" r="Q974" s="6">
        <f>A974&amp;"|"&amp;C974&amp;"|"&amp;D974&amp;"|"&amp;G974</f>
        <v>Кабири Хучанд ООО, Таджикистан|План|Сервис|2</v>
      </c>
      <c t="str" r="R974" s="6">
        <f>A974&amp;"|"&amp;C974&amp;"|"&amp;D974&amp;"|"&amp;J974</f>
        <v>Кабири Хучанд ООО, Таджикистан|План|Сервис|1</v>
      </c>
      <c t="str" r="S974" s="6">
        <f>A974&amp;"|"&amp;C974&amp;"|"&amp;D974&amp;"|"&amp;G974&amp;"|"&amp;J974</f>
        <v>Кабири Хучанд ООО, Таджикистан|План|Сервис|2|1</v>
      </c>
      <c t="str" r="T974" s="6">
        <f>A974&amp;"|"&amp;C974&amp;"|"&amp;G974</f>
        <v>Кабири Хучанд ООО, Таджикистан|План|2</v>
      </c>
      <c t="str" r="U974" s="6">
        <f>IF(H974="да",A974&amp;"|"&amp;C974&amp;"|"&amp;D974&amp;"|"&amp;J974,"")</f>
        <v/>
      </c>
      <c t="str" r="V974" s="6">
        <f>IF(C974="План",A974&amp;"|"&amp;J974,"")</f>
        <v>Кабири Хучанд ООО, Таджикистан|1</v>
      </c>
    </row>
    <row r="975">
      <c r="A975" s="3" t="inlineStr">
        <is>
          <t>Кабири Хучанд ООО, Таджикистан</t>
        </is>
      </c>
      <c r="B975" s="3" t="inlineStr">
        <is>
          <t>Заруб</t>
        </is>
      </c>
      <c r="C975" s="3" t="inlineStr">
        <is>
          <t>План</t>
        </is>
      </c>
      <c r="D975" s="3" t="inlineStr">
        <is>
          <t>Сервис</t>
        </is>
      </c>
      <c r="E975" s="3" t="inlineStr">
        <is>
          <t>План и бонусы</t>
        </is>
      </c>
      <c r="F975" s="3" t="inlineStr">
        <is>
          <t>Выручка 2025</t>
        </is>
      </c>
      <c r="G975" s="4" t="n">
        <v>2</v>
      </c>
      <c r="H975" s="4" t="n"/>
      <c r="I975" s="3" t="n"/>
      <c r="J975" s="4" t="n">
        <v>2</v>
      </c>
      <c r="K975" s="4" t="n"/>
      <c r="L975" s="4" t="n"/>
      <c r="M975" s="5" t="n">
        <v>5453</v>
      </c>
      <c r="N975" s="4" t="inlineStr">
        <is>
          <t>EUR</t>
        </is>
      </c>
      <c r="O975" s="3" t="inlineStr">
        <is>
          <t>Кабири Хучанд ООО</t>
        </is>
      </c>
      <c r="P975" s="3" t="inlineStr">
        <is>
          <t>E5</t>
        </is>
      </c>
      <c t="str" r="Q975" s="6">
        <f>A975&amp;"|"&amp;C975&amp;"|"&amp;D975&amp;"|"&amp;G975</f>
        <v>Кабири Хучанд ООО, Таджикистан|План|Сервис|2</v>
      </c>
      <c t="str" r="R975" s="6">
        <f>A975&amp;"|"&amp;C975&amp;"|"&amp;D975&amp;"|"&amp;J975</f>
        <v>Кабири Хучанд ООО, Таджикистан|План|Сервис|2</v>
      </c>
      <c t="str" r="S975" s="6">
        <f>A975&amp;"|"&amp;C975&amp;"|"&amp;D975&amp;"|"&amp;G975&amp;"|"&amp;J975</f>
        <v>Кабири Хучанд ООО, Таджикистан|План|Сервис|2|2</v>
      </c>
      <c t="str" r="T975" s="6">
        <f>A975&amp;"|"&amp;C975&amp;"|"&amp;G975</f>
        <v>Кабири Хучанд ООО, Таджикистан|План|2</v>
      </c>
      <c t="str" r="U975" s="6">
        <f>IF(H975="да",A975&amp;"|"&amp;C975&amp;"|"&amp;D975&amp;"|"&amp;J975,"")</f>
        <v/>
      </c>
      <c t="str" r="V975" s="6">
        <f>IF(C975="План",A975&amp;"|"&amp;J975,"")</f>
        <v>Кабири Хучанд ООО, Таджикистан|2</v>
      </c>
    </row>
    <row r="976">
      <c r="A976" s="3" t="inlineStr">
        <is>
          <t>Кабири Хучанд ООО, Таджикистан</t>
        </is>
      </c>
      <c r="B976" s="3" t="inlineStr">
        <is>
          <t>Заруб</t>
        </is>
      </c>
      <c r="C976" s="3" t="inlineStr">
        <is>
          <t>План</t>
        </is>
      </c>
      <c r="D976" s="3" t="inlineStr">
        <is>
          <t>Сервис</t>
        </is>
      </c>
      <c r="E976" s="3" t="inlineStr">
        <is>
          <t>План и бонусы</t>
        </is>
      </c>
      <c r="F976" s="3" t="inlineStr">
        <is>
          <t>План 2026</t>
        </is>
      </c>
      <c r="G976" s="4" t="n">
        <v>2</v>
      </c>
      <c r="H976" s="4" t="n"/>
      <c r="I976" s="3" t="n"/>
      <c r="J976" s="4" t="n">
        <v>3</v>
      </c>
      <c r="K976" s="4" t="n"/>
      <c r="L976" s="4" t="n"/>
      <c r="M976" s="5" t="n">
        <v>0</v>
      </c>
      <c r="N976" s="4" t="inlineStr">
        <is>
          <t>EUR</t>
        </is>
      </c>
      <c r="O976" s="3" t="inlineStr">
        <is>
          <t>Кабири Хучанд ООО</t>
        </is>
      </c>
      <c r="P976" s="3" t="inlineStr">
        <is>
          <t>F5</t>
        </is>
      </c>
      <c t="str" r="Q976" s="6">
        <f>A976&amp;"|"&amp;C976&amp;"|"&amp;D976&amp;"|"&amp;G976</f>
        <v>Кабири Хучанд ООО, Таджикистан|План|Сервис|2</v>
      </c>
      <c t="str" r="R976" s="6">
        <f>A976&amp;"|"&amp;C976&amp;"|"&amp;D976&amp;"|"&amp;J976</f>
        <v>Кабири Хучанд ООО, Таджикистан|План|Сервис|3</v>
      </c>
      <c t="str" r="S976" s="6">
        <f>A976&amp;"|"&amp;C976&amp;"|"&amp;D976&amp;"|"&amp;G976&amp;"|"&amp;J976</f>
        <v>Кабири Хучанд ООО, Таджикистан|План|Сервис|2|3</v>
      </c>
      <c t="str" r="T976" s="6">
        <f>A976&amp;"|"&amp;C976&amp;"|"&amp;G976</f>
        <v>Кабири Хучанд ООО, Таджикистан|План|2</v>
      </c>
      <c t="str" r="U976" s="6">
        <f>IF(H976="да",A976&amp;"|"&amp;C976&amp;"|"&amp;D976&amp;"|"&amp;J976,"")</f>
        <v/>
      </c>
      <c t="str" r="V976" s="6">
        <f>IF(C976="План",A976&amp;"|"&amp;J976,"")</f>
        <v>Кабири Хучанд ООО, Таджикистан|3</v>
      </c>
    </row>
    <row r="977">
      <c r="A977" s="3" t="inlineStr">
        <is>
          <t>Кабири Хучанд ООО, Таджикистан</t>
        </is>
      </c>
      <c r="B977" s="3" t="inlineStr">
        <is>
          <t>Заруб</t>
        </is>
      </c>
      <c r="C977" s="3" t="inlineStr">
        <is>
          <t>План</t>
        </is>
      </c>
      <c r="D977" s="3" t="inlineStr">
        <is>
          <t>Сервис</t>
        </is>
      </c>
      <c r="E977" s="3" t="inlineStr">
        <is>
          <t>План и бонусы</t>
        </is>
      </c>
      <c r="F977" s="3" t="inlineStr">
        <is>
          <t>Размер бонуса по итогам 2026 г</t>
        </is>
      </c>
      <c r="G977" s="4" t="n">
        <v>2</v>
      </c>
      <c r="H977" s="4" t="n"/>
      <c r="I977" s="3" t="n"/>
      <c r="J977" s="4" t="n">
        <v>5</v>
      </c>
      <c r="K977" s="4" t="n"/>
      <c r="L977" s="4" t="n"/>
      <c r="M977" s="7" t="n">
        <v>0.01</v>
      </c>
      <c r="N977" s="4" t="inlineStr">
        <is>
          <t>%</t>
        </is>
      </c>
      <c r="O977" s="3" t="inlineStr">
        <is>
          <t>Кабири Хучанд ООО</t>
        </is>
      </c>
      <c r="P977" s="3" t="inlineStr">
        <is>
          <t>H5</t>
        </is>
      </c>
      <c t="str" r="Q977" s="6">
        <f>A977&amp;"|"&amp;C977&amp;"|"&amp;D977&amp;"|"&amp;G977</f>
        <v>Кабири Хучанд ООО, Таджикистан|План|Сервис|2</v>
      </c>
      <c t="str" r="R977" s="6">
        <f>A977&amp;"|"&amp;C977&amp;"|"&amp;D977&amp;"|"&amp;J977</f>
        <v>Кабири Хучанд ООО, Таджикистан|План|Сервис|5</v>
      </c>
      <c t="str" r="S977" s="6">
        <f>A977&amp;"|"&amp;C977&amp;"|"&amp;D977&amp;"|"&amp;G977&amp;"|"&amp;J977</f>
        <v>Кабири Хучанд ООО, Таджикистан|План|Сервис|2|5</v>
      </c>
      <c t="str" r="T977" s="6">
        <f>A977&amp;"|"&amp;C977&amp;"|"&amp;G977</f>
        <v>Кабири Хучанд ООО, Таджикистан|План|2</v>
      </c>
      <c t="str" r="U977" s="6">
        <f>IF(H977="да",A977&amp;"|"&amp;C977&amp;"|"&amp;D977&amp;"|"&amp;J977,"")</f>
        <v/>
      </c>
      <c t="str" r="V977" s="6">
        <f>IF(C977="План",A977&amp;"|"&amp;J977,"")</f>
        <v>Кабири Хучанд ООО, Таджикистан|5</v>
      </c>
    </row>
    <row r="978">
      <c r="A978" s="3" t="inlineStr">
        <is>
          <t>Кабири Хучанд ООО, Таджикистан</t>
        </is>
      </c>
      <c r="B978" s="3" t="inlineStr">
        <is>
          <t>Заруб</t>
        </is>
      </c>
      <c r="C978" s="3" t="inlineStr">
        <is>
          <t>План</t>
        </is>
      </c>
      <c r="D978" s="3" t="inlineStr">
        <is>
          <t>Сервис</t>
        </is>
      </c>
      <c r="E978" s="3" t="inlineStr">
        <is>
          <t>План и бонусы</t>
        </is>
      </c>
      <c r="F978" s="3" t="inlineStr">
        <is>
          <t>Скидка в 1 кв. 2026 ф.г.*</t>
        </is>
      </c>
      <c r="G978" s="4" t="n">
        <v>2</v>
      </c>
      <c r="H978" s="4" t="n"/>
      <c r="I978" s="3" t="n"/>
      <c r="J978" s="4" t="n">
        <v>6</v>
      </c>
      <c r="K978" s="4" t="n"/>
      <c r="L978" s="4" t="n"/>
      <c r="M978" s="8" t="n">
        <v>0.1</v>
      </c>
      <c r="N978" s="4" t="inlineStr">
        <is>
          <t>%</t>
        </is>
      </c>
      <c r="O978" s="3" t="inlineStr">
        <is>
          <t>Кабири Хучанд ООО</t>
        </is>
      </c>
      <c r="P978" s="3" t="inlineStr">
        <is>
          <t>I5</t>
        </is>
      </c>
      <c t="str" r="Q978" s="6">
        <f>A978&amp;"|"&amp;C978&amp;"|"&amp;D978&amp;"|"&amp;G978</f>
        <v>Кабири Хучанд ООО, Таджикистан|План|Сервис|2</v>
      </c>
      <c t="str" r="R978" s="6">
        <f>A978&amp;"|"&amp;C978&amp;"|"&amp;D978&amp;"|"&amp;J978</f>
        <v>Кабири Хучанд ООО, Таджикистан|План|Сервис|6</v>
      </c>
      <c t="str" r="S978" s="6">
        <f>A978&amp;"|"&amp;C978&amp;"|"&amp;D978&amp;"|"&amp;G978&amp;"|"&amp;J978</f>
        <v>Кабири Хучанд ООО, Таджикистан|План|Сервис|2|6</v>
      </c>
      <c t="str" r="T978" s="6">
        <f>A978&amp;"|"&amp;C978&amp;"|"&amp;G978</f>
        <v>Кабири Хучанд ООО, Таджикистан|План|2</v>
      </c>
      <c t="str" r="U978" s="6">
        <f>IF(H978="да",A978&amp;"|"&amp;C978&amp;"|"&amp;D978&amp;"|"&amp;J978,"")</f>
        <v/>
      </c>
      <c t="str" r="V978" s="6">
        <f>IF(C978="План",A978&amp;"|"&amp;J978,"")</f>
        <v>Кабири Хучанд ООО, Таджикистан|6</v>
      </c>
    </row>
    <row r="979">
      <c r="A979" s="3" t="inlineStr">
        <is>
          <t>Кабири Хучанд ООО, Таджикистан</t>
        </is>
      </c>
      <c r="B979" s="3" t="inlineStr">
        <is>
          <t>Заруб</t>
        </is>
      </c>
      <c r="C979" s="3" t="inlineStr">
        <is>
          <t>План</t>
        </is>
      </c>
      <c r="D979" s="3" t="inlineStr">
        <is>
          <t>Оборудование</t>
        </is>
      </c>
      <c r="E979" s="3" t="inlineStr">
        <is>
          <t>План и бонусы</t>
        </is>
      </c>
      <c r="F979" s="3" t="inlineStr">
        <is>
          <t>Выручка 2024</t>
        </is>
      </c>
      <c r="G979" s="4" t="n">
        <v>3</v>
      </c>
      <c r="H979" s="4" t="n"/>
      <c r="I979" s="3" t="n"/>
      <c r="J979" s="4" t="n">
        <v>1</v>
      </c>
      <c r="K979" s="4" t="n"/>
      <c r="L979" s="4" t="n"/>
      <c r="M979" s="5" t="n">
        <v>25838</v>
      </c>
      <c r="N979" s="4" t="inlineStr">
        <is>
          <t>EUR</t>
        </is>
      </c>
      <c r="O979" s="3" t="inlineStr">
        <is>
          <t>Кабири Хучанд ООО</t>
        </is>
      </c>
      <c r="P979" s="3" t="inlineStr">
        <is>
          <t>D6</t>
        </is>
      </c>
      <c t="str" r="Q979" s="6">
        <f>A979&amp;"|"&amp;C979&amp;"|"&amp;D979&amp;"|"&amp;G979</f>
        <v>Кабири Хучанд ООО, Таджикистан|План|Оборудование|3</v>
      </c>
      <c t="str" r="R979" s="6">
        <f>A979&amp;"|"&amp;C979&amp;"|"&amp;D979&amp;"|"&amp;J979</f>
        <v>Кабири Хучанд ООО, Таджикистан|План|Оборудование|1</v>
      </c>
      <c t="str" r="S979" s="6">
        <f>A979&amp;"|"&amp;C979&amp;"|"&amp;D979&amp;"|"&amp;G979&amp;"|"&amp;J979</f>
        <v>Кабири Хучанд ООО, Таджикистан|План|Оборудование|3|1</v>
      </c>
      <c t="str" r="T979" s="6">
        <f>A979&amp;"|"&amp;C979&amp;"|"&amp;G979</f>
        <v>Кабири Хучанд ООО, Таджикистан|План|3</v>
      </c>
      <c t="str" r="U979" s="6">
        <f>IF(H979="да",A979&amp;"|"&amp;C979&amp;"|"&amp;D979&amp;"|"&amp;J979,"")</f>
        <v/>
      </c>
      <c t="str" r="V979" s="6">
        <f>IF(C979="План",A979&amp;"|"&amp;J979,"")</f>
        <v>Кабири Хучанд ООО, Таджикистан|1</v>
      </c>
    </row>
    <row r="980">
      <c r="A980" s="3" t="inlineStr">
        <is>
          <t>Кабири Хучанд ООО, Таджикистан</t>
        </is>
      </c>
      <c r="B980" s="3" t="inlineStr">
        <is>
          <t>Заруб</t>
        </is>
      </c>
      <c r="C980" s="3" t="inlineStr">
        <is>
          <t>План</t>
        </is>
      </c>
      <c r="D980" s="3" t="inlineStr">
        <is>
          <t>Оборудование</t>
        </is>
      </c>
      <c r="E980" s="3" t="inlineStr">
        <is>
          <t>План и бонусы</t>
        </is>
      </c>
      <c r="F980" s="3" t="inlineStr">
        <is>
          <t>Выручка 2025</t>
        </is>
      </c>
      <c r="G980" s="4" t="n">
        <v>3</v>
      </c>
      <c r="H980" s="4" t="n"/>
      <c r="I980" s="3" t="n"/>
      <c r="J980" s="4" t="n">
        <v>2</v>
      </c>
      <c r="K980" s="4" t="n"/>
      <c r="L980" s="4" t="n"/>
      <c r="M980" s="5" t="n">
        <v>28315</v>
      </c>
      <c r="N980" s="4" t="inlineStr">
        <is>
          <t>EUR</t>
        </is>
      </c>
      <c r="O980" s="3" t="inlineStr">
        <is>
          <t>Кабири Хучанд ООО</t>
        </is>
      </c>
      <c r="P980" s="3" t="inlineStr">
        <is>
          <t>E6</t>
        </is>
      </c>
      <c t="str" r="Q980" s="6">
        <f>A980&amp;"|"&amp;C980&amp;"|"&amp;D980&amp;"|"&amp;G980</f>
        <v>Кабири Хучанд ООО, Таджикистан|План|Оборудование|3</v>
      </c>
      <c t="str" r="R980" s="6">
        <f>A980&amp;"|"&amp;C980&amp;"|"&amp;D980&amp;"|"&amp;J980</f>
        <v>Кабири Хучанд ООО, Таджикистан|План|Оборудование|2</v>
      </c>
      <c t="str" r="S980" s="6">
        <f>A980&amp;"|"&amp;C980&amp;"|"&amp;D980&amp;"|"&amp;G980&amp;"|"&amp;J980</f>
        <v>Кабири Хучанд ООО, Таджикистан|План|Оборудование|3|2</v>
      </c>
      <c t="str" r="T980" s="6">
        <f>A980&amp;"|"&amp;C980&amp;"|"&amp;G980</f>
        <v>Кабири Хучанд ООО, Таджикистан|План|3</v>
      </c>
      <c t="str" r="U980" s="6">
        <f>IF(H980="да",A980&amp;"|"&amp;C980&amp;"|"&amp;D980&amp;"|"&amp;J980,"")</f>
        <v/>
      </c>
      <c t="str" r="V980" s="6">
        <f>IF(C980="План",A980&amp;"|"&amp;J980,"")</f>
        <v>Кабири Хучанд ООО, Таджикистан|2</v>
      </c>
    </row>
    <row r="981">
      <c r="A981" s="3" t="inlineStr">
        <is>
          <t>Кабири Хучанд ООО, Таджикистан</t>
        </is>
      </c>
      <c r="B981" s="3" t="inlineStr">
        <is>
          <t>Заруб</t>
        </is>
      </c>
      <c r="C981" s="3" t="inlineStr">
        <is>
          <t>План</t>
        </is>
      </c>
      <c r="D981" s="3" t="inlineStr">
        <is>
          <t>Оборудование</t>
        </is>
      </c>
      <c r="E981" s="3" t="inlineStr">
        <is>
          <t>План и бонусы</t>
        </is>
      </c>
      <c r="F981" s="3" t="inlineStr">
        <is>
          <t>План 2026</t>
        </is>
      </c>
      <c r="G981" s="4" t="n">
        <v>3</v>
      </c>
      <c r="H981" s="4" t="n"/>
      <c r="I981" s="3" t="n"/>
      <c r="J981" s="4" t="n">
        <v>3</v>
      </c>
      <c r="K981" s="4" t="n"/>
      <c r="L981" s="4" t="n"/>
      <c r="M981" s="5" t="n">
        <v>75000</v>
      </c>
      <c r="N981" s="4" t="inlineStr">
        <is>
          <t>EUR</t>
        </is>
      </c>
      <c r="O981" s="3" t="inlineStr">
        <is>
          <t>Кабири Хучанд ООО</t>
        </is>
      </c>
      <c r="P981" s="3" t="inlineStr">
        <is>
          <t>F6</t>
        </is>
      </c>
      <c t="str" r="Q981" s="6">
        <f>A981&amp;"|"&amp;C981&amp;"|"&amp;D981&amp;"|"&amp;G981</f>
        <v>Кабири Хучанд ООО, Таджикистан|План|Оборудование|3</v>
      </c>
      <c t="str" r="R981" s="6">
        <f>A981&amp;"|"&amp;C981&amp;"|"&amp;D981&amp;"|"&amp;J981</f>
        <v>Кабири Хучанд ООО, Таджикистан|План|Оборудование|3</v>
      </c>
      <c t="str" r="S981" s="6">
        <f>A981&amp;"|"&amp;C981&amp;"|"&amp;D981&amp;"|"&amp;G981&amp;"|"&amp;J981</f>
        <v>Кабири Хучанд ООО, Таджикистан|План|Оборудование|3|3</v>
      </c>
      <c t="str" r="T981" s="6">
        <f>A981&amp;"|"&amp;C981&amp;"|"&amp;G981</f>
        <v>Кабири Хучанд ООО, Таджикистан|План|3</v>
      </c>
      <c t="str" r="U981" s="6">
        <f>IF(H981="да",A981&amp;"|"&amp;C981&amp;"|"&amp;D981&amp;"|"&amp;J981,"")</f>
        <v/>
      </c>
      <c t="str" r="V981" s="6">
        <f>IF(C981="План",A981&amp;"|"&amp;J981,"")</f>
        <v>Кабири Хучанд ООО, Таджикистан|3</v>
      </c>
    </row>
    <row r="982">
      <c r="A982" s="3" t="inlineStr">
        <is>
          <t>Кабири Хучанд ООО, Таджикистан</t>
        </is>
      </c>
      <c r="B982" s="3" t="inlineStr">
        <is>
          <t>Заруб</t>
        </is>
      </c>
      <c r="C982" s="3" t="inlineStr">
        <is>
          <t>План</t>
        </is>
      </c>
      <c r="D982" s="3" t="inlineStr">
        <is>
          <t>Оборудование</t>
        </is>
      </c>
      <c r="E982" s="3" t="inlineStr">
        <is>
          <t>План и бонусы</t>
        </is>
      </c>
      <c r="F982" s="3" t="inlineStr">
        <is>
          <t>Размер бонуса по итогам 2026 г</t>
        </is>
      </c>
      <c r="G982" s="4" t="n">
        <v>3</v>
      </c>
      <c r="H982" s="4" t="n"/>
      <c r="I982" s="3" t="n"/>
      <c r="J982" s="4" t="n">
        <v>5</v>
      </c>
      <c r="K982" s="4" t="n"/>
      <c r="L982" s="4" t="n"/>
      <c r="M982" s="7" t="n">
        <v>0.015</v>
      </c>
      <c r="N982" s="4" t="inlineStr">
        <is>
          <t>%</t>
        </is>
      </c>
      <c r="O982" s="3" t="inlineStr">
        <is>
          <t>Кабири Хучанд ООО</t>
        </is>
      </c>
      <c r="P982" s="3" t="inlineStr">
        <is>
          <t>H6</t>
        </is>
      </c>
      <c t="str" r="Q982" s="6">
        <f>A982&amp;"|"&amp;C982&amp;"|"&amp;D982&amp;"|"&amp;G982</f>
        <v>Кабири Хучанд ООО, Таджикистан|План|Оборудование|3</v>
      </c>
      <c t="str" r="R982" s="6">
        <f>A982&amp;"|"&amp;C982&amp;"|"&amp;D982&amp;"|"&amp;J982</f>
        <v>Кабири Хучанд ООО, Таджикистан|План|Оборудование|5</v>
      </c>
      <c t="str" r="S982" s="6">
        <f>A982&amp;"|"&amp;C982&amp;"|"&amp;D982&amp;"|"&amp;G982&amp;"|"&amp;J982</f>
        <v>Кабири Хучанд ООО, Таджикистан|План|Оборудование|3|5</v>
      </c>
      <c t="str" r="T982" s="6">
        <f>A982&amp;"|"&amp;C982&amp;"|"&amp;G982</f>
        <v>Кабири Хучанд ООО, Таджикистан|План|3</v>
      </c>
      <c t="str" r="U982" s="6">
        <f>IF(H982="да",A982&amp;"|"&amp;C982&amp;"|"&amp;D982&amp;"|"&amp;J982,"")</f>
        <v/>
      </c>
      <c t="str" r="V982" s="6">
        <f>IF(C982="План",A982&amp;"|"&amp;J982,"")</f>
        <v>Кабири Хучанд ООО, Таджикистан|5</v>
      </c>
    </row>
    <row r="983">
      <c r="A983" s="3" t="inlineStr">
        <is>
          <t>Кабири Хучанд ООО, Таджикистан</t>
        </is>
      </c>
      <c r="B983" s="3" t="inlineStr">
        <is>
          <t>Заруб</t>
        </is>
      </c>
      <c r="C983" s="3" t="inlineStr">
        <is>
          <t>План</t>
        </is>
      </c>
      <c r="D983" s="3" t="inlineStr">
        <is>
          <t>Оборудование</t>
        </is>
      </c>
      <c r="E983" s="3" t="inlineStr">
        <is>
          <t>План и бонусы</t>
        </is>
      </c>
      <c r="F983" s="3" t="inlineStr">
        <is>
          <t>Скидка в 1 кв. 2026 ф.г.*</t>
        </is>
      </c>
      <c r="G983" s="4" t="n">
        <v>3</v>
      </c>
      <c r="H983" s="4" t="n"/>
      <c r="I983" s="3" t="n"/>
      <c r="J983" s="4" t="n">
        <v>6</v>
      </c>
      <c r="K983" s="4" t="n"/>
      <c r="L983" s="4" t="n"/>
      <c r="M983" s="8" t="n">
        <v>0.16</v>
      </c>
      <c r="N983" s="4" t="inlineStr">
        <is>
          <t>%</t>
        </is>
      </c>
      <c r="O983" s="3" t="inlineStr">
        <is>
          <t>Кабири Хучанд ООО</t>
        </is>
      </c>
      <c r="P983" s="3" t="inlineStr">
        <is>
          <t>I6</t>
        </is>
      </c>
      <c t="str" r="Q983" s="6">
        <f>A983&amp;"|"&amp;C983&amp;"|"&amp;D983&amp;"|"&amp;G983</f>
        <v>Кабири Хучанд ООО, Таджикистан|План|Оборудование|3</v>
      </c>
      <c t="str" r="R983" s="6">
        <f>A983&amp;"|"&amp;C983&amp;"|"&amp;D983&amp;"|"&amp;J983</f>
        <v>Кабири Хучанд ООО, Таджикистан|План|Оборудование|6</v>
      </c>
      <c t="str" r="S983" s="6">
        <f>A983&amp;"|"&amp;C983&amp;"|"&amp;D983&amp;"|"&amp;G983&amp;"|"&amp;J983</f>
        <v>Кабири Хучанд ООО, Таджикистан|План|Оборудование|3|6</v>
      </c>
      <c t="str" r="T983" s="6">
        <f>A983&amp;"|"&amp;C983&amp;"|"&amp;G983</f>
        <v>Кабири Хучанд ООО, Таджикистан|План|3</v>
      </c>
      <c t="str" r="U983" s="6">
        <f>IF(H983="да",A983&amp;"|"&amp;C983&amp;"|"&amp;D983&amp;"|"&amp;J983,"")</f>
        <v/>
      </c>
      <c t="str" r="V983" s="6">
        <f>IF(C983="План",A983&amp;"|"&amp;J983,"")</f>
        <v>Кабири Хучанд ООО, Таджикистан|6</v>
      </c>
    </row>
    <row r="984">
      <c r="A984" s="3" t="inlineStr">
        <is>
          <t>Кабири Хучанд ООО, Таджикистан</t>
        </is>
      </c>
      <c r="B984" s="3" t="inlineStr">
        <is>
          <t>Заруб</t>
        </is>
      </c>
      <c r="C984" s="3" t="inlineStr">
        <is>
          <t>План</t>
        </is>
      </c>
      <c r="D984" s="3" t="inlineStr">
        <is>
          <t>Расходные материалы</t>
        </is>
      </c>
      <c r="E984" s="3" t="inlineStr">
        <is>
          <t>План и бонусы</t>
        </is>
      </c>
      <c r="F984" s="3" t="inlineStr">
        <is>
          <t>Выручка 2024</t>
        </is>
      </c>
      <c r="G984" s="4" t="n">
        <v>4</v>
      </c>
      <c r="H984" s="4" t="n"/>
      <c r="I984" s="3" t="n"/>
      <c r="J984" s="4" t="n">
        <v>1</v>
      </c>
      <c r="K984" s="4" t="n"/>
      <c r="L984" s="4" t="n"/>
      <c r="M984" s="5" t="n">
        <v>19612</v>
      </c>
      <c r="N984" s="4" t="inlineStr">
        <is>
          <t>EUR</t>
        </is>
      </c>
      <c r="O984" s="3" t="inlineStr">
        <is>
          <t>Кабири Хучанд ООО</t>
        </is>
      </c>
      <c r="P984" s="3" t="inlineStr">
        <is>
          <t>D7</t>
        </is>
      </c>
      <c t="str" r="Q984" s="6">
        <f>A984&amp;"|"&amp;C984&amp;"|"&amp;D984&amp;"|"&amp;G984</f>
        <v>Кабири Хучанд ООО, Таджикистан|План|Расходные материалы|4</v>
      </c>
      <c t="str" r="R984" s="6">
        <f>A984&amp;"|"&amp;C984&amp;"|"&amp;D984&amp;"|"&amp;J984</f>
        <v>Кабири Хучанд ООО, Таджикистан|План|Расходные материалы|1</v>
      </c>
      <c t="str" r="S984" s="6">
        <f>A984&amp;"|"&amp;C984&amp;"|"&amp;D984&amp;"|"&amp;G984&amp;"|"&amp;J984</f>
        <v>Кабири Хучанд ООО, Таджикистан|План|Расходные материалы|4|1</v>
      </c>
      <c t="str" r="T984" s="6">
        <f>A984&amp;"|"&amp;C984&amp;"|"&amp;G984</f>
        <v>Кабири Хучанд ООО, Таджикистан|План|4</v>
      </c>
      <c t="str" r="U984" s="6">
        <f>IF(H984="да",A984&amp;"|"&amp;C984&amp;"|"&amp;D984&amp;"|"&amp;J984,"")</f>
        <v/>
      </c>
      <c t="str" r="V984" s="6">
        <f>IF(C984="План",A984&amp;"|"&amp;J984,"")</f>
        <v>Кабири Хучанд ООО, Таджикистан|1</v>
      </c>
    </row>
    <row r="985">
      <c r="A985" s="3" t="inlineStr">
        <is>
          <t>Кабири Хучанд ООО, Таджикистан</t>
        </is>
      </c>
      <c r="B985" s="3" t="inlineStr">
        <is>
          <t>Заруб</t>
        </is>
      </c>
      <c r="C985" s="3" t="inlineStr">
        <is>
          <t>План</t>
        </is>
      </c>
      <c r="D985" s="3" t="inlineStr">
        <is>
          <t>Расходные материалы</t>
        </is>
      </c>
      <c r="E985" s="3" t="inlineStr">
        <is>
          <t>План и бонусы</t>
        </is>
      </c>
      <c r="F985" s="3" t="inlineStr">
        <is>
          <t>Выручка 2025</t>
        </is>
      </c>
      <c r="G985" s="4" t="n">
        <v>4</v>
      </c>
      <c r="H985" s="4" t="n"/>
      <c r="I985" s="3" t="n"/>
      <c r="J985" s="4" t="n">
        <v>2</v>
      </c>
      <c r="K985" s="4" t="n"/>
      <c r="L985" s="4" t="n"/>
      <c r="M985" s="5" t="n">
        <v>24504</v>
      </c>
      <c r="N985" s="4" t="inlineStr">
        <is>
          <t>EUR</t>
        </is>
      </c>
      <c r="O985" s="3" t="inlineStr">
        <is>
          <t>Кабири Хучанд ООО</t>
        </is>
      </c>
      <c r="P985" s="3" t="inlineStr">
        <is>
          <t>E7</t>
        </is>
      </c>
      <c t="str" r="Q985" s="6">
        <f>A985&amp;"|"&amp;C985&amp;"|"&amp;D985&amp;"|"&amp;G985</f>
        <v>Кабири Хучанд ООО, Таджикистан|План|Расходные материалы|4</v>
      </c>
      <c t="str" r="R985" s="6">
        <f>A985&amp;"|"&amp;C985&amp;"|"&amp;D985&amp;"|"&amp;J985</f>
        <v>Кабири Хучанд ООО, Таджикистан|План|Расходные материалы|2</v>
      </c>
      <c t="str" r="S985" s="6">
        <f>A985&amp;"|"&amp;C985&amp;"|"&amp;D985&amp;"|"&amp;G985&amp;"|"&amp;J985</f>
        <v>Кабири Хучанд ООО, Таджикистан|План|Расходные материалы|4|2</v>
      </c>
      <c t="str" r="T985" s="6">
        <f>A985&amp;"|"&amp;C985&amp;"|"&amp;G985</f>
        <v>Кабири Хучанд ООО, Таджикистан|План|4</v>
      </c>
      <c t="str" r="U985" s="6">
        <f>IF(H985="да",A985&amp;"|"&amp;C985&amp;"|"&amp;D985&amp;"|"&amp;J985,"")</f>
        <v/>
      </c>
      <c t="str" r="V985" s="6">
        <f>IF(C985="План",A985&amp;"|"&amp;J985,"")</f>
        <v>Кабири Хучанд ООО, Таджикистан|2</v>
      </c>
    </row>
    <row r="986">
      <c r="A986" s="3" t="inlineStr">
        <is>
          <t>Кабири Хучанд ООО, Таджикистан</t>
        </is>
      </c>
      <c r="B986" s="3" t="inlineStr">
        <is>
          <t>Заруб</t>
        </is>
      </c>
      <c r="C986" s="3" t="inlineStr">
        <is>
          <t>План</t>
        </is>
      </c>
      <c r="D986" s="3" t="inlineStr">
        <is>
          <t>Расходные материалы</t>
        </is>
      </c>
      <c r="E986" s="3" t="inlineStr">
        <is>
          <t>План и бонусы</t>
        </is>
      </c>
      <c r="F986" s="3" t="inlineStr">
        <is>
          <t>План 2026</t>
        </is>
      </c>
      <c r="G986" s="4" t="n">
        <v>4</v>
      </c>
      <c r="H986" s="4" t="n"/>
      <c r="I986" s="3" t="n"/>
      <c r="J986" s="4" t="n">
        <v>3</v>
      </c>
      <c r="K986" s="4" t="n"/>
      <c r="L986" s="4" t="n"/>
      <c r="M986" s="5" t="n">
        <v>75000</v>
      </c>
      <c r="N986" s="4" t="inlineStr">
        <is>
          <t>EUR</t>
        </is>
      </c>
      <c r="O986" s="3" t="inlineStr">
        <is>
          <t>Кабири Хучанд ООО</t>
        </is>
      </c>
      <c r="P986" s="3" t="inlineStr">
        <is>
          <t>F7</t>
        </is>
      </c>
      <c t="str" r="Q986" s="6">
        <f>A986&amp;"|"&amp;C986&amp;"|"&amp;D986&amp;"|"&amp;G986</f>
        <v>Кабири Хучанд ООО, Таджикистан|План|Расходные материалы|4</v>
      </c>
      <c t="str" r="R986" s="6">
        <f>A986&amp;"|"&amp;C986&amp;"|"&amp;D986&amp;"|"&amp;J986</f>
        <v>Кабири Хучанд ООО, Таджикистан|План|Расходные материалы|3</v>
      </c>
      <c t="str" r="S986" s="6">
        <f>A986&amp;"|"&amp;C986&amp;"|"&amp;D986&amp;"|"&amp;G986&amp;"|"&amp;J986</f>
        <v>Кабири Хучанд ООО, Таджикистан|План|Расходные материалы|4|3</v>
      </c>
      <c t="str" r="T986" s="6">
        <f>A986&amp;"|"&amp;C986&amp;"|"&amp;G986</f>
        <v>Кабири Хучанд ООО, Таджикистан|План|4</v>
      </c>
      <c t="str" r="U986" s="6">
        <f>IF(H986="да",A986&amp;"|"&amp;C986&amp;"|"&amp;D986&amp;"|"&amp;J986,"")</f>
        <v/>
      </c>
      <c t="str" r="V986" s="6">
        <f>IF(C986="План",A986&amp;"|"&amp;J986,"")</f>
        <v>Кабири Хучанд ООО, Таджикистан|3</v>
      </c>
    </row>
    <row r="987">
      <c r="A987" s="3" t="inlineStr">
        <is>
          <t>Кабири Хучанд ООО, Таджикистан</t>
        </is>
      </c>
      <c r="B987" s="3" t="inlineStr">
        <is>
          <t>Заруб</t>
        </is>
      </c>
      <c r="C987" s="3" t="inlineStr">
        <is>
          <t>План</t>
        </is>
      </c>
      <c r="D987" s="3" t="inlineStr">
        <is>
          <t>Расходные материалы</t>
        </is>
      </c>
      <c r="E987" s="3" t="inlineStr">
        <is>
          <t>План и бонусы</t>
        </is>
      </c>
      <c r="F987" s="3" t="inlineStr">
        <is>
          <t>Размер бонуса по итогам 2026 г</t>
        </is>
      </c>
      <c r="G987" s="4" t="n">
        <v>4</v>
      </c>
      <c r="H987" s="4" t="n"/>
      <c r="I987" s="3" t="n"/>
      <c r="J987" s="4" t="n">
        <v>5</v>
      </c>
      <c r="K987" s="4" t="n"/>
      <c r="L987" s="4" t="n"/>
      <c r="M987" s="7" t="n">
        <v>0.005</v>
      </c>
      <c r="N987" s="4" t="inlineStr">
        <is>
          <t>%</t>
        </is>
      </c>
      <c r="O987" s="3" t="inlineStr">
        <is>
          <t>Кабири Хучанд ООО</t>
        </is>
      </c>
      <c r="P987" s="3" t="inlineStr">
        <is>
          <t>H7</t>
        </is>
      </c>
      <c t="str" r="Q987" s="6">
        <f>A987&amp;"|"&amp;C987&amp;"|"&amp;D987&amp;"|"&amp;G987</f>
        <v>Кабири Хучанд ООО, Таджикистан|План|Расходные материалы|4</v>
      </c>
      <c t="str" r="R987" s="6">
        <f>A987&amp;"|"&amp;C987&amp;"|"&amp;D987&amp;"|"&amp;J987</f>
        <v>Кабири Хучанд ООО, Таджикистан|План|Расходные материалы|5</v>
      </c>
      <c t="str" r="S987" s="6">
        <f>A987&amp;"|"&amp;C987&amp;"|"&amp;D987&amp;"|"&amp;G987&amp;"|"&amp;J987</f>
        <v>Кабири Хучанд ООО, Таджикистан|План|Расходные материалы|4|5</v>
      </c>
      <c t="str" r="T987" s="6">
        <f>A987&amp;"|"&amp;C987&amp;"|"&amp;G987</f>
        <v>Кабири Хучанд ООО, Таджикистан|План|4</v>
      </c>
      <c t="str" r="U987" s="6">
        <f>IF(H987="да",A987&amp;"|"&amp;C987&amp;"|"&amp;D987&amp;"|"&amp;J987,"")</f>
        <v/>
      </c>
      <c t="str" r="V987" s="6">
        <f>IF(C987="План",A987&amp;"|"&amp;J987,"")</f>
        <v>Кабири Хучанд ООО, Таджикистан|5</v>
      </c>
    </row>
    <row r="988">
      <c r="A988" s="3" t="inlineStr">
        <is>
          <t>Кабири Хучанд ООО, Таджикистан</t>
        </is>
      </c>
      <c r="B988" s="3" t="inlineStr">
        <is>
          <t>Заруб</t>
        </is>
      </c>
      <c r="C988" s="3" t="inlineStr">
        <is>
          <t>Шкала</t>
        </is>
      </c>
      <c r="D988" s="3" t="inlineStr">
        <is>
          <t>Оборудование</t>
        </is>
      </c>
      <c r="E988" s="3" t="inlineStr">
        <is>
          <t>Оборудование — за полугодие</t>
        </is>
      </c>
      <c r="F988" s="3" t="inlineStr">
        <is>
          <t>Базовое вознаграждение за Дилерский договор</t>
        </is>
      </c>
      <c r="G988" s="4" t="n">
        <v>1</v>
      </c>
      <c r="H988" s="4" t="n"/>
      <c r="I988" s="3" t="inlineStr">
        <is>
          <t>до 75</t>
        </is>
      </c>
      <c r="J988" s="4" t="n">
        <v>1</v>
      </c>
      <c r="K988" s="4" t="n"/>
      <c r="L988" s="4" t="n"/>
      <c r="M988" s="8" t="n">
        <v>0.06</v>
      </c>
      <c r="N988" s="4" t="inlineStr">
        <is>
          <t>%</t>
        </is>
      </c>
      <c r="O988" s="3" t="inlineStr">
        <is>
          <t>Кабири Хучанд ООО</t>
        </is>
      </c>
      <c r="P988" s="3" t="inlineStr">
        <is>
          <t>E15</t>
        </is>
      </c>
      <c t="str" r="Q988" s="6">
        <f>A988&amp;"|"&amp;C988&amp;"|"&amp;D988&amp;"|"&amp;G988</f>
        <v>Кабири Хучанд ООО, Таджикистан|Шкала|Оборудование|1</v>
      </c>
      <c t="str" r="R988" s="6">
        <f>A988&amp;"|"&amp;C988&amp;"|"&amp;D988&amp;"|"&amp;J988</f>
        <v>Кабири Хучанд ООО, Таджикистан|Шкала|Оборудование|1</v>
      </c>
      <c t="str" r="S988" s="6">
        <f>A988&amp;"|"&amp;C988&amp;"|"&amp;D988&amp;"|"&amp;G988&amp;"|"&amp;J988</f>
        <v>Кабири Хучанд ООО, Таджикистан|Шкала|Оборудование|1|1</v>
      </c>
      <c t="str" r="T988" s="6">
        <f>A988&amp;"|"&amp;C988&amp;"|"&amp;G988</f>
        <v>Кабири Хучанд ООО, Таджикистан|Шкала|1</v>
      </c>
      <c t="str" r="U988" s="6">
        <f>IF(H988="да",A988&amp;"|"&amp;C988&amp;"|"&amp;D988&amp;"|"&amp;J988,"")</f>
        <v/>
      </c>
      <c t="str" r="V988" s="6">
        <f>IF(C988="План",A988&amp;"|"&amp;J988,"")</f>
        <v/>
      </c>
    </row>
    <row r="989">
      <c r="A989" s="3" t="inlineStr">
        <is>
          <t>Кабири Хучанд ООО, Таджикистан</t>
        </is>
      </c>
      <c r="B989" s="3" t="inlineStr">
        <is>
          <t>Заруб</t>
        </is>
      </c>
      <c r="C989" s="3" t="inlineStr">
        <is>
          <t>Шкала</t>
        </is>
      </c>
      <c r="D989" s="3" t="inlineStr">
        <is>
          <t>Оборудование</t>
        </is>
      </c>
      <c r="E989" s="3" t="inlineStr">
        <is>
          <t>Оборудование — за полугодие</t>
        </is>
      </c>
      <c r="F989" s="3" t="inlineStr">
        <is>
          <t>Базовое вознаграждение за Дилерский договор</t>
        </is>
      </c>
      <c r="G989" s="4" t="n">
        <v>1</v>
      </c>
      <c r="H989" s="4" t="n"/>
      <c r="I989" s="3" t="inlineStr">
        <is>
          <t>75-114</t>
        </is>
      </c>
      <c r="J989" s="4" t="n">
        <v>2</v>
      </c>
      <c r="K989" s="4" t="n"/>
      <c r="L989" s="4" t="n"/>
      <c r="M989" s="8" t="n">
        <v>0.06</v>
      </c>
      <c r="N989" s="4" t="inlineStr">
        <is>
          <t>%</t>
        </is>
      </c>
      <c r="O989" s="3" t="inlineStr">
        <is>
          <t>Кабири Хучанд ООО</t>
        </is>
      </c>
      <c r="P989" s="3" t="inlineStr">
        <is>
          <t>F15</t>
        </is>
      </c>
      <c t="str" r="Q989" s="6">
        <f>A989&amp;"|"&amp;C989&amp;"|"&amp;D989&amp;"|"&amp;G989</f>
        <v>Кабири Хучанд ООО, Таджикистан|Шкала|Оборудование|1</v>
      </c>
      <c t="str" r="R989" s="6">
        <f>A989&amp;"|"&amp;C989&amp;"|"&amp;D989&amp;"|"&amp;J989</f>
        <v>Кабири Хучанд ООО, Таджикистан|Шкала|Оборудование|2</v>
      </c>
      <c t="str" r="S989" s="6">
        <f>A989&amp;"|"&amp;C989&amp;"|"&amp;D989&amp;"|"&amp;G989&amp;"|"&amp;J989</f>
        <v>Кабири Хучанд ООО, Таджикистан|Шкала|Оборудование|1|2</v>
      </c>
      <c t="str" r="T989" s="6">
        <f>A989&amp;"|"&amp;C989&amp;"|"&amp;G989</f>
        <v>Кабири Хучанд ООО, Таджикистан|Шкала|1</v>
      </c>
      <c t="str" r="U989" s="6">
        <f>IF(H989="да",A989&amp;"|"&amp;C989&amp;"|"&amp;D989&amp;"|"&amp;J989,"")</f>
        <v/>
      </c>
      <c t="str" r="V989" s="6">
        <f>IF(C989="План",A989&amp;"|"&amp;J989,"")</f>
        <v/>
      </c>
    </row>
    <row r="990">
      <c r="A990" s="3" t="inlineStr">
        <is>
          <t>Кабири Хучанд ООО, Таджикистан</t>
        </is>
      </c>
      <c r="B990" s="3" t="inlineStr">
        <is>
          <t>Заруб</t>
        </is>
      </c>
      <c r="C990" s="3" t="inlineStr">
        <is>
          <t>Шкала</t>
        </is>
      </c>
      <c r="D990" s="3" t="inlineStr">
        <is>
          <t>Оборудование</t>
        </is>
      </c>
      <c r="E990" s="3" t="inlineStr">
        <is>
          <t>Оборудование — за полугодие</t>
        </is>
      </c>
      <c r="F990" s="3" t="inlineStr">
        <is>
          <t>Базовое вознаграждение за Дилерский договор</t>
        </is>
      </c>
      <c r="G990" s="4" t="n">
        <v>1</v>
      </c>
      <c r="H990" s="4" t="n"/>
      <c r="I990" s="3" t="inlineStr">
        <is>
          <t>115-149</t>
        </is>
      </c>
      <c r="J990" s="4" t="n">
        <v>3</v>
      </c>
      <c r="K990" s="4" t="n"/>
      <c r="L990" s="4" t="n"/>
      <c r="M990" s="8" t="n">
        <v>0.06</v>
      </c>
      <c r="N990" s="4" t="inlineStr">
        <is>
          <t>%</t>
        </is>
      </c>
      <c r="O990" s="3" t="inlineStr">
        <is>
          <t>Кабири Хучанд ООО</t>
        </is>
      </c>
      <c r="P990" s="3" t="inlineStr">
        <is>
          <t>G15</t>
        </is>
      </c>
      <c t="str" r="Q990" s="6">
        <f>A990&amp;"|"&amp;C990&amp;"|"&amp;D990&amp;"|"&amp;G990</f>
        <v>Кабири Хучанд ООО, Таджикистан|Шкала|Оборудование|1</v>
      </c>
      <c t="str" r="R990" s="6">
        <f>A990&amp;"|"&amp;C990&amp;"|"&amp;D990&amp;"|"&amp;J990</f>
        <v>Кабири Хучанд ООО, Таджикистан|Шкала|Оборудование|3</v>
      </c>
      <c t="str" r="S990" s="6">
        <f>A990&amp;"|"&amp;C990&amp;"|"&amp;D990&amp;"|"&amp;G990&amp;"|"&amp;J990</f>
        <v>Кабири Хучанд ООО, Таджикистан|Шкала|Оборудование|1|3</v>
      </c>
      <c t="str" r="T990" s="6">
        <f>A990&amp;"|"&amp;C990&amp;"|"&amp;G990</f>
        <v>Кабири Хучанд ООО, Таджикистан|Шкала|1</v>
      </c>
      <c t="str" r="U990" s="6">
        <f>IF(H990="да",A990&amp;"|"&amp;C990&amp;"|"&amp;D990&amp;"|"&amp;J990,"")</f>
        <v/>
      </c>
      <c t="str" r="V990" s="6">
        <f>IF(C990="План",A990&amp;"|"&amp;J990,"")</f>
        <v/>
      </c>
    </row>
    <row r="991">
      <c r="A991" s="3" t="inlineStr">
        <is>
          <t>Кабири Хучанд ООО, Таджикистан</t>
        </is>
      </c>
      <c r="B991" s="3" t="inlineStr">
        <is>
          <t>Заруб</t>
        </is>
      </c>
      <c r="C991" s="3" t="inlineStr">
        <is>
          <t>Шкала</t>
        </is>
      </c>
      <c r="D991" s="3" t="inlineStr">
        <is>
          <t>Оборудование</t>
        </is>
      </c>
      <c r="E991" s="3" t="inlineStr">
        <is>
          <t>Оборудование — за полугодие</t>
        </is>
      </c>
      <c r="F991" s="3" t="inlineStr">
        <is>
          <t>Базовое вознаграждение за Дилерский договор</t>
        </is>
      </c>
      <c r="G991" s="4" t="n">
        <v>1</v>
      </c>
      <c r="H991" s="4" t="n"/>
      <c r="I991" s="3" t="inlineStr">
        <is>
          <t>150-189</t>
        </is>
      </c>
      <c r="J991" s="4" t="n">
        <v>4</v>
      </c>
      <c r="K991" s="4" t="n"/>
      <c r="L991" s="4" t="n"/>
      <c r="M991" s="8" t="n">
        <v>0.06</v>
      </c>
      <c r="N991" s="4" t="inlineStr">
        <is>
          <t>%</t>
        </is>
      </c>
      <c r="O991" s="3" t="inlineStr">
        <is>
          <t>Кабири Хучанд ООО</t>
        </is>
      </c>
      <c r="P991" s="3" t="inlineStr">
        <is>
          <t>H15</t>
        </is>
      </c>
      <c t="str" r="Q991" s="6">
        <f>A991&amp;"|"&amp;C991&amp;"|"&amp;D991&amp;"|"&amp;G991</f>
        <v>Кабири Хучанд ООО, Таджикистан|Шкала|Оборудование|1</v>
      </c>
      <c t="str" r="R991" s="6">
        <f>A991&amp;"|"&amp;C991&amp;"|"&amp;D991&amp;"|"&amp;J991</f>
        <v>Кабири Хучанд ООО, Таджикистан|Шкала|Оборудование|4</v>
      </c>
      <c t="str" r="S991" s="6">
        <f>A991&amp;"|"&amp;C991&amp;"|"&amp;D991&amp;"|"&amp;G991&amp;"|"&amp;J991</f>
        <v>Кабири Хучанд ООО, Таджикистан|Шкала|Оборудование|1|4</v>
      </c>
      <c t="str" r="T991" s="6">
        <f>A991&amp;"|"&amp;C991&amp;"|"&amp;G991</f>
        <v>Кабири Хучанд ООО, Таджикистан|Шкала|1</v>
      </c>
      <c t="str" r="U991" s="6">
        <f>IF(H991="да",A991&amp;"|"&amp;C991&amp;"|"&amp;D991&amp;"|"&amp;J991,"")</f>
        <v/>
      </c>
      <c t="str" r="V991" s="6">
        <f>IF(C991="План",A991&amp;"|"&amp;J991,"")</f>
        <v/>
      </c>
    </row>
    <row r="992">
      <c r="A992" s="3" t="inlineStr">
        <is>
          <t>Кабири Хучанд ООО, Таджикистан</t>
        </is>
      </c>
      <c r="B992" s="3" t="inlineStr">
        <is>
          <t>Заруб</t>
        </is>
      </c>
      <c r="C992" s="3" t="inlineStr">
        <is>
          <t>Шкала</t>
        </is>
      </c>
      <c r="D992" s="3" t="inlineStr">
        <is>
          <t>Оборудование</t>
        </is>
      </c>
      <c r="E992" s="3" t="inlineStr">
        <is>
          <t>Оборудование — за полугодие</t>
        </is>
      </c>
      <c r="F992" s="3" t="inlineStr">
        <is>
          <t>Базовое вознаграждение за Дилерский договор</t>
        </is>
      </c>
      <c r="G992" s="4" t="n">
        <v>1</v>
      </c>
      <c r="H992" s="4" t="n"/>
      <c r="I992" s="3" t="inlineStr">
        <is>
          <t>190-224</t>
        </is>
      </c>
      <c r="J992" s="4" t="n">
        <v>5</v>
      </c>
      <c r="K992" s="4" t="n"/>
      <c r="L992" s="4" t="n"/>
      <c r="M992" s="8" t="n">
        <v>0.06</v>
      </c>
      <c r="N992" s="4" t="inlineStr">
        <is>
          <t>%</t>
        </is>
      </c>
      <c r="O992" s="3" t="inlineStr">
        <is>
          <t>Кабири Хучанд ООО</t>
        </is>
      </c>
      <c r="P992" s="3" t="inlineStr">
        <is>
          <t>I15</t>
        </is>
      </c>
      <c t="str" r="Q992" s="6">
        <f>A992&amp;"|"&amp;C992&amp;"|"&amp;D992&amp;"|"&amp;G992</f>
        <v>Кабири Хучанд ООО, Таджикистан|Шкала|Оборудование|1</v>
      </c>
      <c t="str" r="R992" s="6">
        <f>A992&amp;"|"&amp;C992&amp;"|"&amp;D992&amp;"|"&amp;J992</f>
        <v>Кабири Хучанд ООО, Таджикистан|Шкала|Оборудование|5</v>
      </c>
      <c t="str" r="S992" s="6">
        <f>A992&amp;"|"&amp;C992&amp;"|"&amp;D992&amp;"|"&amp;G992&amp;"|"&amp;J992</f>
        <v>Кабири Хучанд ООО, Таджикистан|Шкала|Оборудование|1|5</v>
      </c>
      <c t="str" r="T992" s="6">
        <f>A992&amp;"|"&amp;C992&amp;"|"&amp;G992</f>
        <v>Кабири Хучанд ООО, Таджикистан|Шкала|1</v>
      </c>
      <c t="str" r="U992" s="6">
        <f>IF(H992="да",A992&amp;"|"&amp;C992&amp;"|"&amp;D992&amp;"|"&amp;J992,"")</f>
        <v/>
      </c>
      <c t="str" r="V992" s="6">
        <f>IF(C992="План",A992&amp;"|"&amp;J992,"")</f>
        <v/>
      </c>
    </row>
    <row r="993">
      <c r="A993" s="3" t="inlineStr">
        <is>
          <t>Кабири Хучанд ООО, Таджикистан</t>
        </is>
      </c>
      <c r="B993" s="3" t="inlineStr">
        <is>
          <t>Заруб</t>
        </is>
      </c>
      <c r="C993" s="3" t="inlineStr">
        <is>
          <t>Шкала</t>
        </is>
      </c>
      <c r="D993" s="3" t="inlineStr">
        <is>
          <t>Оборудование</t>
        </is>
      </c>
      <c r="E993" s="3" t="inlineStr">
        <is>
          <t>Оборудование — за полугодие</t>
        </is>
      </c>
      <c r="F993" s="3" t="inlineStr">
        <is>
          <t>Базовое вознаграждение за Дилерский договор</t>
        </is>
      </c>
      <c r="G993" s="4" t="n">
        <v>1</v>
      </c>
      <c r="H993" s="4" t="n"/>
      <c r="I993" s="3" t="inlineStr">
        <is>
          <t>225 и более</t>
        </is>
      </c>
      <c r="J993" s="4" t="n">
        <v>6</v>
      </c>
      <c r="K993" s="4" t="n"/>
      <c r="L993" s="4" t="n"/>
      <c r="M993" s="8" t="n">
        <v>0.06</v>
      </c>
      <c r="N993" s="4" t="inlineStr">
        <is>
          <t>%</t>
        </is>
      </c>
      <c r="O993" s="3" t="inlineStr">
        <is>
          <t>Кабири Хучанд ООО</t>
        </is>
      </c>
      <c r="P993" s="3" t="inlineStr">
        <is>
          <t>J15</t>
        </is>
      </c>
      <c t="str" r="Q993" s="6">
        <f>A993&amp;"|"&amp;C993&amp;"|"&amp;D993&amp;"|"&amp;G993</f>
        <v>Кабири Хучанд ООО, Таджикистан|Шкала|Оборудование|1</v>
      </c>
      <c t="str" r="R993" s="6">
        <f>A993&amp;"|"&amp;C993&amp;"|"&amp;D993&amp;"|"&amp;J993</f>
        <v>Кабири Хучанд ООО, Таджикистан|Шкала|Оборудование|6</v>
      </c>
      <c t="str" r="S993" s="6">
        <f>A993&amp;"|"&amp;C993&amp;"|"&amp;D993&amp;"|"&amp;G993&amp;"|"&amp;J993</f>
        <v>Кабири Хучанд ООО, Таджикистан|Шкала|Оборудование|1|6</v>
      </c>
      <c t="str" r="T993" s="6">
        <f>A993&amp;"|"&amp;C993&amp;"|"&amp;G993</f>
        <v>Кабири Хучанд ООО, Таджикистан|Шкала|1</v>
      </c>
      <c t="str" r="U993" s="6">
        <f>IF(H993="да",A993&amp;"|"&amp;C993&amp;"|"&amp;D993&amp;"|"&amp;J993,"")</f>
        <v/>
      </c>
      <c t="str" r="V993" s="6">
        <f>IF(C993="План",A993&amp;"|"&amp;J993,"")</f>
        <v/>
      </c>
    </row>
    <row r="994">
      <c r="A994" s="3" t="inlineStr">
        <is>
          <t>Кабири Хучанд ООО, Таджикистан</t>
        </is>
      </c>
      <c r="B994" s="3" t="inlineStr">
        <is>
          <t>Заруб</t>
        </is>
      </c>
      <c r="C994" s="3" t="inlineStr">
        <is>
          <t>Шкала</t>
        </is>
      </c>
      <c r="D994" s="3" t="inlineStr">
        <is>
          <t>Оборудование</t>
        </is>
      </c>
      <c r="E994" s="3" t="inlineStr">
        <is>
          <t>Оборудование — за полугодие</t>
        </is>
      </c>
      <c r="F994" s="3" t="inlineStr">
        <is>
          <t>Наличие сервисного центра и гарантийное обслуживание</t>
        </is>
      </c>
      <c r="G994" s="4" t="n">
        <v>2</v>
      </c>
      <c r="H994" s="4" t="n"/>
      <c r="I994" s="3" t="inlineStr">
        <is>
          <t>до 75</t>
        </is>
      </c>
      <c r="J994" s="4" t="n">
        <v>1</v>
      </c>
      <c r="K994" s="4" t="n"/>
      <c r="L994" s="4" t="n"/>
      <c r="M994" s="8" t="n">
        <v>0.01</v>
      </c>
      <c r="N994" s="4" t="inlineStr">
        <is>
          <t>%</t>
        </is>
      </c>
      <c r="O994" s="3" t="inlineStr">
        <is>
          <t>Кабири Хучанд ООО</t>
        </is>
      </c>
      <c r="P994" s="3" t="inlineStr">
        <is>
          <t>E16</t>
        </is>
      </c>
      <c t="str" r="Q994" s="6">
        <f>A994&amp;"|"&amp;C994&amp;"|"&amp;D994&amp;"|"&amp;G994</f>
        <v>Кабири Хучанд ООО, Таджикистан|Шкала|Оборудование|2</v>
      </c>
      <c t="str" r="R994" s="6">
        <f>A994&amp;"|"&amp;C994&amp;"|"&amp;D994&amp;"|"&amp;J994</f>
        <v>Кабири Хучанд ООО, Таджикистан|Шкала|Оборудование|1</v>
      </c>
      <c t="str" r="S994" s="6">
        <f>A994&amp;"|"&amp;C994&amp;"|"&amp;D994&amp;"|"&amp;G994&amp;"|"&amp;J994</f>
        <v>Кабири Хучанд ООО, Таджикистан|Шкала|Оборудование|2|1</v>
      </c>
      <c t="str" r="T994" s="6">
        <f>A994&amp;"|"&amp;C994&amp;"|"&amp;G994</f>
        <v>Кабири Хучанд ООО, Таджикистан|Шкала|2</v>
      </c>
      <c t="str" r="U994" s="6">
        <f>IF(H994="да",A994&amp;"|"&amp;C994&amp;"|"&amp;D994&amp;"|"&amp;J994,"")</f>
        <v/>
      </c>
      <c t="str" r="V994" s="6">
        <f>IF(C994="План",A994&amp;"|"&amp;J994,"")</f>
        <v/>
      </c>
    </row>
    <row r="995">
      <c r="A995" s="3" t="inlineStr">
        <is>
          <t>Кабири Хучанд ООО, Таджикистан</t>
        </is>
      </c>
      <c r="B995" s="3" t="inlineStr">
        <is>
          <t>Заруб</t>
        </is>
      </c>
      <c r="C995" s="3" t="inlineStr">
        <is>
          <t>Шкала</t>
        </is>
      </c>
      <c r="D995" s="3" t="inlineStr">
        <is>
          <t>Оборудование</t>
        </is>
      </c>
      <c r="E995" s="3" t="inlineStr">
        <is>
          <t>Оборудование — за полугодие</t>
        </is>
      </c>
      <c r="F995" s="3" t="inlineStr">
        <is>
          <t>Наличие сервисного центра и гарантийное обслуживание</t>
        </is>
      </c>
      <c r="G995" s="4" t="n">
        <v>2</v>
      </c>
      <c r="H995" s="4" t="n"/>
      <c r="I995" s="3" t="inlineStr">
        <is>
          <t>75-114</t>
        </is>
      </c>
      <c r="J995" s="4" t="n">
        <v>2</v>
      </c>
      <c r="K995" s="4" t="n"/>
      <c r="L995" s="4" t="n"/>
      <c r="M995" s="8" t="n">
        <v>0.01</v>
      </c>
      <c r="N995" s="4" t="inlineStr">
        <is>
          <t>%</t>
        </is>
      </c>
      <c r="O995" s="3" t="inlineStr">
        <is>
          <t>Кабири Хучанд ООО</t>
        </is>
      </c>
      <c r="P995" s="3" t="inlineStr">
        <is>
          <t>F16</t>
        </is>
      </c>
      <c t="str" r="Q995" s="6">
        <f>A995&amp;"|"&amp;C995&amp;"|"&amp;D995&amp;"|"&amp;G995</f>
        <v>Кабири Хучанд ООО, Таджикистан|Шкала|Оборудование|2</v>
      </c>
      <c t="str" r="R995" s="6">
        <f>A995&amp;"|"&amp;C995&amp;"|"&amp;D995&amp;"|"&amp;J995</f>
        <v>Кабири Хучанд ООО, Таджикистан|Шкала|Оборудование|2</v>
      </c>
      <c t="str" r="S995" s="6">
        <f>A995&amp;"|"&amp;C995&amp;"|"&amp;D995&amp;"|"&amp;G995&amp;"|"&amp;J995</f>
        <v>Кабири Хучанд ООО, Таджикистан|Шкала|Оборудование|2|2</v>
      </c>
      <c t="str" r="T995" s="6">
        <f>A995&amp;"|"&amp;C995&amp;"|"&amp;G995</f>
        <v>Кабири Хучанд ООО, Таджикистан|Шкала|2</v>
      </c>
      <c t="str" r="U995" s="6">
        <f>IF(H995="да",A995&amp;"|"&amp;C995&amp;"|"&amp;D995&amp;"|"&amp;J995,"")</f>
        <v/>
      </c>
      <c t="str" r="V995" s="6">
        <f>IF(C995="План",A995&amp;"|"&amp;J995,"")</f>
        <v/>
      </c>
    </row>
    <row r="996">
      <c r="A996" s="3" t="inlineStr">
        <is>
          <t>Кабири Хучанд ООО, Таджикистан</t>
        </is>
      </c>
      <c r="B996" s="3" t="inlineStr">
        <is>
          <t>Заруб</t>
        </is>
      </c>
      <c r="C996" s="3" t="inlineStr">
        <is>
          <t>Шкала</t>
        </is>
      </c>
      <c r="D996" s="3" t="inlineStr">
        <is>
          <t>Оборудование</t>
        </is>
      </c>
      <c r="E996" s="3" t="inlineStr">
        <is>
          <t>Оборудование — за полугодие</t>
        </is>
      </c>
      <c r="F996" s="3" t="inlineStr">
        <is>
          <t>Наличие сервисного центра и гарантийное обслуживание</t>
        </is>
      </c>
      <c r="G996" s="4" t="n">
        <v>2</v>
      </c>
      <c r="H996" s="4" t="n"/>
      <c r="I996" s="3" t="inlineStr">
        <is>
          <t>115-149</t>
        </is>
      </c>
      <c r="J996" s="4" t="n">
        <v>3</v>
      </c>
      <c r="K996" s="4" t="n"/>
      <c r="L996" s="4" t="n"/>
      <c r="M996" s="8" t="n">
        <v>0.01</v>
      </c>
      <c r="N996" s="4" t="inlineStr">
        <is>
          <t>%</t>
        </is>
      </c>
      <c r="O996" s="3" t="inlineStr">
        <is>
          <t>Кабири Хучанд ООО</t>
        </is>
      </c>
      <c r="P996" s="3" t="inlineStr">
        <is>
          <t>G16</t>
        </is>
      </c>
      <c t="str" r="Q996" s="6">
        <f>A996&amp;"|"&amp;C996&amp;"|"&amp;D996&amp;"|"&amp;G996</f>
        <v>Кабири Хучанд ООО, Таджикистан|Шкала|Оборудование|2</v>
      </c>
      <c t="str" r="R996" s="6">
        <f>A996&amp;"|"&amp;C996&amp;"|"&amp;D996&amp;"|"&amp;J996</f>
        <v>Кабири Хучанд ООО, Таджикистан|Шкала|Оборудование|3</v>
      </c>
      <c t="str" r="S996" s="6">
        <f>A996&amp;"|"&amp;C996&amp;"|"&amp;D996&amp;"|"&amp;G996&amp;"|"&amp;J996</f>
        <v>Кабири Хучанд ООО, Таджикистан|Шкала|Оборудование|2|3</v>
      </c>
      <c t="str" r="T996" s="6">
        <f>A996&amp;"|"&amp;C996&amp;"|"&amp;G996</f>
        <v>Кабири Хучанд ООО, Таджикистан|Шкала|2</v>
      </c>
      <c t="str" r="U996" s="6">
        <f>IF(H996="да",A996&amp;"|"&amp;C996&amp;"|"&amp;D996&amp;"|"&amp;J996,"")</f>
        <v/>
      </c>
      <c t="str" r="V996" s="6">
        <f>IF(C996="План",A996&amp;"|"&amp;J996,"")</f>
        <v/>
      </c>
    </row>
    <row r="997">
      <c r="A997" s="3" t="inlineStr">
        <is>
          <t>Кабири Хучанд ООО, Таджикистан</t>
        </is>
      </c>
      <c r="B997" s="3" t="inlineStr">
        <is>
          <t>Заруб</t>
        </is>
      </c>
      <c r="C997" s="3" t="inlineStr">
        <is>
          <t>Шкала</t>
        </is>
      </c>
      <c r="D997" s="3" t="inlineStr">
        <is>
          <t>Оборудование</t>
        </is>
      </c>
      <c r="E997" s="3" t="inlineStr">
        <is>
          <t>Оборудование — за полугодие</t>
        </is>
      </c>
      <c r="F997" s="3" t="inlineStr">
        <is>
          <t>Наличие сервисного центра и гарантийное обслуживание</t>
        </is>
      </c>
      <c r="G997" s="4" t="n">
        <v>2</v>
      </c>
      <c r="H997" s="4" t="n"/>
      <c r="I997" s="3" t="inlineStr">
        <is>
          <t>150-189</t>
        </is>
      </c>
      <c r="J997" s="4" t="n">
        <v>4</v>
      </c>
      <c r="K997" s="4" t="n"/>
      <c r="L997" s="4" t="n"/>
      <c r="M997" s="8" t="n">
        <v>0.01</v>
      </c>
      <c r="N997" s="4" t="inlineStr">
        <is>
          <t>%</t>
        </is>
      </c>
      <c r="O997" s="3" t="inlineStr">
        <is>
          <t>Кабири Хучанд ООО</t>
        </is>
      </c>
      <c r="P997" s="3" t="inlineStr">
        <is>
          <t>H16</t>
        </is>
      </c>
      <c t="str" r="Q997" s="6">
        <f>A997&amp;"|"&amp;C997&amp;"|"&amp;D997&amp;"|"&amp;G997</f>
        <v>Кабири Хучанд ООО, Таджикистан|Шкала|Оборудование|2</v>
      </c>
      <c t="str" r="R997" s="6">
        <f>A997&amp;"|"&amp;C997&amp;"|"&amp;D997&amp;"|"&amp;J997</f>
        <v>Кабири Хучанд ООО, Таджикистан|Шкала|Оборудование|4</v>
      </c>
      <c t="str" r="S997" s="6">
        <f>A997&amp;"|"&amp;C997&amp;"|"&amp;D997&amp;"|"&amp;G997&amp;"|"&amp;J997</f>
        <v>Кабири Хучанд ООО, Таджикистан|Шкала|Оборудование|2|4</v>
      </c>
      <c t="str" r="T997" s="6">
        <f>A997&amp;"|"&amp;C997&amp;"|"&amp;G997</f>
        <v>Кабири Хучанд ООО, Таджикистан|Шкала|2</v>
      </c>
      <c t="str" r="U997" s="6">
        <f>IF(H997="да",A997&amp;"|"&amp;C997&amp;"|"&amp;D997&amp;"|"&amp;J997,"")</f>
        <v/>
      </c>
      <c t="str" r="V997" s="6">
        <f>IF(C997="План",A997&amp;"|"&amp;J997,"")</f>
        <v/>
      </c>
    </row>
    <row r="998">
      <c r="A998" s="3" t="inlineStr">
        <is>
          <t>Кабири Хучанд ООО, Таджикистан</t>
        </is>
      </c>
      <c r="B998" s="3" t="inlineStr">
        <is>
          <t>Заруб</t>
        </is>
      </c>
      <c r="C998" s="3" t="inlineStr">
        <is>
          <t>Шкала</t>
        </is>
      </c>
      <c r="D998" s="3" t="inlineStr">
        <is>
          <t>Оборудование</t>
        </is>
      </c>
      <c r="E998" s="3" t="inlineStr">
        <is>
          <t>Оборудование — за полугодие</t>
        </is>
      </c>
      <c r="F998" s="3" t="inlineStr">
        <is>
          <t>Наличие сервисного центра и гарантийное обслуживание</t>
        </is>
      </c>
      <c r="G998" s="4" t="n">
        <v>2</v>
      </c>
      <c r="H998" s="4" t="n"/>
      <c r="I998" s="3" t="inlineStr">
        <is>
          <t>190-224</t>
        </is>
      </c>
      <c r="J998" s="4" t="n">
        <v>5</v>
      </c>
      <c r="K998" s="4" t="n"/>
      <c r="L998" s="4" t="n"/>
      <c r="M998" s="8" t="n">
        <v>0.01</v>
      </c>
      <c r="N998" s="4" t="inlineStr">
        <is>
          <t>%</t>
        </is>
      </c>
      <c r="O998" s="3" t="inlineStr">
        <is>
          <t>Кабири Хучанд ООО</t>
        </is>
      </c>
      <c r="P998" s="3" t="inlineStr">
        <is>
          <t>I16</t>
        </is>
      </c>
      <c t="str" r="Q998" s="6">
        <f>A998&amp;"|"&amp;C998&amp;"|"&amp;D998&amp;"|"&amp;G998</f>
        <v>Кабири Хучанд ООО, Таджикистан|Шкала|Оборудование|2</v>
      </c>
      <c t="str" r="R998" s="6">
        <f>A998&amp;"|"&amp;C998&amp;"|"&amp;D998&amp;"|"&amp;J998</f>
        <v>Кабири Хучанд ООО, Таджикистан|Шкала|Оборудование|5</v>
      </c>
      <c t="str" r="S998" s="6">
        <f>A998&amp;"|"&amp;C998&amp;"|"&amp;D998&amp;"|"&amp;G998&amp;"|"&amp;J998</f>
        <v>Кабири Хучанд ООО, Таджикистан|Шкала|Оборудование|2|5</v>
      </c>
      <c t="str" r="T998" s="6">
        <f>A998&amp;"|"&amp;C998&amp;"|"&amp;G998</f>
        <v>Кабири Хучанд ООО, Таджикистан|Шкала|2</v>
      </c>
      <c t="str" r="U998" s="6">
        <f>IF(H998="да",A998&amp;"|"&amp;C998&amp;"|"&amp;D998&amp;"|"&amp;J998,"")</f>
        <v/>
      </c>
      <c t="str" r="V998" s="6">
        <f>IF(C998="План",A998&amp;"|"&amp;J998,"")</f>
        <v/>
      </c>
    </row>
    <row r="999">
      <c r="A999" s="3" t="inlineStr">
        <is>
          <t>Кабири Хучанд ООО, Таджикистан</t>
        </is>
      </c>
      <c r="B999" s="3" t="inlineStr">
        <is>
          <t>Заруб</t>
        </is>
      </c>
      <c r="C999" s="3" t="inlineStr">
        <is>
          <t>Шкала</t>
        </is>
      </c>
      <c r="D999" s="3" t="inlineStr">
        <is>
          <t>Оборудование</t>
        </is>
      </c>
      <c r="E999" s="3" t="inlineStr">
        <is>
          <t>Оборудование — за полугодие</t>
        </is>
      </c>
      <c r="F999" s="3" t="inlineStr">
        <is>
          <t>Наличие сервисного центра и гарантийное обслуживание</t>
        </is>
      </c>
      <c r="G999" s="4" t="n">
        <v>2</v>
      </c>
      <c r="H999" s="4" t="n"/>
      <c r="I999" s="3" t="inlineStr">
        <is>
          <t>225 и более</t>
        </is>
      </c>
      <c r="J999" s="4" t="n">
        <v>6</v>
      </c>
      <c r="K999" s="4" t="n"/>
      <c r="L999" s="4" t="n"/>
      <c r="M999" s="8" t="n">
        <v>0.01</v>
      </c>
      <c r="N999" s="4" t="inlineStr">
        <is>
          <t>%</t>
        </is>
      </c>
      <c r="O999" s="3" t="inlineStr">
        <is>
          <t>Кабири Хучанд ООО</t>
        </is>
      </c>
      <c r="P999" s="3" t="inlineStr">
        <is>
          <t>J16</t>
        </is>
      </c>
      <c t="str" r="Q999" s="6">
        <f>A999&amp;"|"&amp;C999&amp;"|"&amp;D999&amp;"|"&amp;G999</f>
        <v>Кабири Хучанд ООО, Таджикистан|Шкала|Оборудование|2</v>
      </c>
      <c t="str" r="R999" s="6">
        <f>A999&amp;"|"&amp;C999&amp;"|"&amp;D999&amp;"|"&amp;J999</f>
        <v>Кабири Хучанд ООО, Таджикистан|Шкала|Оборудование|6</v>
      </c>
      <c t="str" r="S999" s="6">
        <f>A999&amp;"|"&amp;C999&amp;"|"&amp;D999&amp;"|"&amp;G999&amp;"|"&amp;J999</f>
        <v>Кабири Хучанд ООО, Таджикистан|Шкала|Оборудование|2|6</v>
      </c>
      <c t="str" r="T999" s="6">
        <f>A999&amp;"|"&amp;C999&amp;"|"&amp;G999</f>
        <v>Кабири Хучанд ООО, Таджикистан|Шкала|2</v>
      </c>
      <c t="str" r="U999" s="6">
        <f>IF(H999="да",A999&amp;"|"&amp;C999&amp;"|"&amp;D999&amp;"|"&amp;J999,"")</f>
        <v/>
      </c>
      <c t="str" r="V999" s="6">
        <f>IF(C999="План",A999&amp;"|"&amp;J999,"")</f>
        <v/>
      </c>
    </row>
    <row r="1000">
      <c r="A1000" s="3" t="inlineStr">
        <is>
          <t>Кабири Хучанд ООО, Таджикистан</t>
        </is>
      </c>
      <c r="B1000" s="3" t="inlineStr">
        <is>
          <t>Заруб</t>
        </is>
      </c>
      <c r="C1000" s="3" t="inlineStr">
        <is>
          <t>Шкала</t>
        </is>
      </c>
      <c r="D1000" s="3" t="inlineStr">
        <is>
          <t>Оборудование</t>
        </is>
      </c>
      <c r="E1000" s="3" t="inlineStr">
        <is>
          <t>Оборудование — за полугодие</t>
        </is>
      </c>
      <c r="F1000" s="3" t="inlineStr">
        <is>
          <t>Объем закупок МП</t>
        </is>
      </c>
      <c r="G1000" s="4" t="n">
        <v>3</v>
      </c>
      <c r="H1000" s="4" t="n"/>
      <c r="I1000" s="3" t="inlineStr">
        <is>
          <t>до 75</t>
        </is>
      </c>
      <c r="J1000" s="4" t="n">
        <v>1</v>
      </c>
      <c r="K1000" s="4" t="n"/>
      <c r="L1000" s="4" t="n"/>
      <c r="M1000" s="8" t="n">
        <v>0.07000000000000001</v>
      </c>
      <c r="N1000" s="4" t="inlineStr">
        <is>
          <t>%</t>
        </is>
      </c>
      <c r="O1000" s="3" t="inlineStr">
        <is>
          <t>Кабири Хучанд ООО</t>
        </is>
      </c>
      <c r="P1000" s="3" t="inlineStr">
        <is>
          <t>E17</t>
        </is>
      </c>
      <c t="str" r="Q1000" s="6">
        <f>A1000&amp;"|"&amp;C1000&amp;"|"&amp;D1000&amp;"|"&amp;G1000</f>
        <v>Кабири Хучанд ООО, Таджикистан|Шкала|Оборудование|3</v>
      </c>
      <c t="str" r="R1000" s="6">
        <f>A1000&amp;"|"&amp;C1000&amp;"|"&amp;D1000&amp;"|"&amp;J1000</f>
        <v>Кабири Хучанд ООО, Таджикистан|Шкала|Оборудование|1</v>
      </c>
      <c t="str" r="S1000" s="6">
        <f>A1000&amp;"|"&amp;C1000&amp;"|"&amp;D1000&amp;"|"&amp;G1000&amp;"|"&amp;J1000</f>
        <v>Кабири Хучанд ООО, Таджикистан|Шкала|Оборудование|3|1</v>
      </c>
      <c t="str" r="T1000" s="6">
        <f>A1000&amp;"|"&amp;C1000&amp;"|"&amp;G1000</f>
        <v>Кабири Хучанд ООО, Таджикистан|Шкала|3</v>
      </c>
      <c t="str" r="U1000" s="6">
        <f>IF(H1000="да",A1000&amp;"|"&amp;C1000&amp;"|"&amp;D1000&amp;"|"&amp;J1000,"")</f>
        <v/>
      </c>
      <c t="str" r="V1000" s="6">
        <f>IF(C1000="План",A1000&amp;"|"&amp;J1000,"")</f>
        <v/>
      </c>
    </row>
    <row r="1001">
      <c r="A1001" s="3" t="inlineStr">
        <is>
          <t>Кабири Хучанд ООО, Таджикистан</t>
        </is>
      </c>
      <c r="B1001" s="3" t="inlineStr">
        <is>
          <t>Заруб</t>
        </is>
      </c>
      <c r="C1001" s="3" t="inlineStr">
        <is>
          <t>Шкала</t>
        </is>
      </c>
      <c r="D1001" s="3" t="inlineStr">
        <is>
          <t>Оборудование</t>
        </is>
      </c>
      <c r="E1001" s="3" t="inlineStr">
        <is>
          <t>Оборудование — за полугодие</t>
        </is>
      </c>
      <c r="F1001" s="3" t="inlineStr">
        <is>
          <t>Объем закупок МП</t>
        </is>
      </c>
      <c r="G1001" s="4" t="n">
        <v>3</v>
      </c>
      <c r="H1001" s="4" t="n"/>
      <c r="I1001" s="3" t="inlineStr">
        <is>
          <t>75-114</t>
        </is>
      </c>
      <c r="J1001" s="4" t="n">
        <v>2</v>
      </c>
      <c r="K1001" s="4" t="n"/>
      <c r="L1001" s="4" t="n"/>
      <c r="M1001" s="8" t="n">
        <v>0.09</v>
      </c>
      <c r="N1001" s="4" t="inlineStr">
        <is>
          <t>%</t>
        </is>
      </c>
      <c r="O1001" s="3" t="inlineStr">
        <is>
          <t>Кабири Хучанд ООО</t>
        </is>
      </c>
      <c r="P1001" s="3" t="inlineStr">
        <is>
          <t>F17</t>
        </is>
      </c>
      <c t="str" r="Q1001" s="6">
        <f>A1001&amp;"|"&amp;C1001&amp;"|"&amp;D1001&amp;"|"&amp;G1001</f>
        <v>Кабири Хучанд ООО, Таджикистан|Шкала|Оборудование|3</v>
      </c>
      <c t="str" r="R1001" s="6">
        <f>A1001&amp;"|"&amp;C1001&amp;"|"&amp;D1001&amp;"|"&amp;J1001</f>
        <v>Кабири Хучанд ООО, Таджикистан|Шкала|Оборудование|2</v>
      </c>
      <c t="str" r="S1001" s="6">
        <f>A1001&amp;"|"&amp;C1001&amp;"|"&amp;D1001&amp;"|"&amp;G1001&amp;"|"&amp;J1001</f>
        <v>Кабири Хучанд ООО, Таджикистан|Шкала|Оборудование|3|2</v>
      </c>
      <c t="str" r="T1001" s="6">
        <f>A1001&amp;"|"&amp;C1001&amp;"|"&amp;G1001</f>
        <v>Кабири Хучанд ООО, Таджикистан|Шкала|3</v>
      </c>
      <c t="str" r="U1001" s="6">
        <f>IF(H1001="да",A1001&amp;"|"&amp;C1001&amp;"|"&amp;D1001&amp;"|"&amp;J1001,"")</f>
        <v/>
      </c>
      <c t="str" r="V1001" s="6">
        <f>IF(C1001="План",A1001&amp;"|"&amp;J1001,"")</f>
        <v/>
      </c>
    </row>
    <row r="1002">
      <c r="A1002" s="3" t="inlineStr">
        <is>
          <t>Кабири Хучанд ООО, Таджикистан</t>
        </is>
      </c>
      <c r="B1002" s="3" t="inlineStr">
        <is>
          <t>Заруб</t>
        </is>
      </c>
      <c r="C1002" s="3" t="inlineStr">
        <is>
          <t>Шкала</t>
        </is>
      </c>
      <c r="D1002" s="3" t="inlineStr">
        <is>
          <t>Оборудование</t>
        </is>
      </c>
      <c r="E1002" s="3" t="inlineStr">
        <is>
          <t>Оборудование — за полугодие</t>
        </is>
      </c>
      <c r="F1002" s="3" t="inlineStr">
        <is>
          <t>Объем закупок МП</t>
        </is>
      </c>
      <c r="G1002" s="4" t="n">
        <v>3</v>
      </c>
      <c r="H1002" s="4" t="n"/>
      <c r="I1002" s="3" t="inlineStr">
        <is>
          <t>115-149</t>
        </is>
      </c>
      <c r="J1002" s="4" t="n">
        <v>3</v>
      </c>
      <c r="K1002" s="4" t="n"/>
      <c r="L1002" s="4" t="n"/>
      <c r="M1002" s="8" t="n">
        <v>0.1</v>
      </c>
      <c r="N1002" s="4" t="inlineStr">
        <is>
          <t>%</t>
        </is>
      </c>
      <c r="O1002" s="3" t="inlineStr">
        <is>
          <t>Кабири Хучанд ООО</t>
        </is>
      </c>
      <c r="P1002" s="3" t="inlineStr">
        <is>
          <t>G17</t>
        </is>
      </c>
      <c t="str" r="Q1002" s="6">
        <f>A1002&amp;"|"&amp;C1002&amp;"|"&amp;D1002&amp;"|"&amp;G1002</f>
        <v>Кабири Хучанд ООО, Таджикистан|Шкала|Оборудование|3</v>
      </c>
      <c t="str" r="R1002" s="6">
        <f>A1002&amp;"|"&amp;C1002&amp;"|"&amp;D1002&amp;"|"&amp;J1002</f>
        <v>Кабири Хучанд ООО, Таджикистан|Шкала|Оборудование|3</v>
      </c>
      <c t="str" r="S1002" s="6">
        <f>A1002&amp;"|"&amp;C1002&amp;"|"&amp;D1002&amp;"|"&amp;G1002&amp;"|"&amp;J1002</f>
        <v>Кабири Хучанд ООО, Таджикистан|Шкала|Оборудование|3|3</v>
      </c>
      <c t="str" r="T1002" s="6">
        <f>A1002&amp;"|"&amp;C1002&amp;"|"&amp;G1002</f>
        <v>Кабири Хучанд ООО, Таджикистан|Шкала|3</v>
      </c>
      <c t="str" r="U1002" s="6">
        <f>IF(H1002="да",A1002&amp;"|"&amp;C1002&amp;"|"&amp;D1002&amp;"|"&amp;J1002,"")</f>
        <v/>
      </c>
      <c t="str" r="V1002" s="6">
        <f>IF(C1002="План",A1002&amp;"|"&amp;J1002,"")</f>
        <v/>
      </c>
    </row>
    <row r="1003">
      <c r="A1003" s="3" t="inlineStr">
        <is>
          <t>Кабири Хучанд ООО, Таджикистан</t>
        </is>
      </c>
      <c r="B1003" s="3" t="inlineStr">
        <is>
          <t>Заруб</t>
        </is>
      </c>
      <c r="C1003" s="3" t="inlineStr">
        <is>
          <t>Шкала</t>
        </is>
      </c>
      <c r="D1003" s="3" t="inlineStr">
        <is>
          <t>Оборудование</t>
        </is>
      </c>
      <c r="E1003" s="3" t="inlineStr">
        <is>
          <t>Оборудование — за полугодие</t>
        </is>
      </c>
      <c r="F1003" s="3" t="inlineStr">
        <is>
          <t>Объем закупок МП</t>
        </is>
      </c>
      <c r="G1003" s="4" t="n">
        <v>3</v>
      </c>
      <c r="H1003" s="4" t="n"/>
      <c r="I1003" s="3" t="inlineStr">
        <is>
          <t>150-189</t>
        </is>
      </c>
      <c r="J1003" s="4" t="n">
        <v>4</v>
      </c>
      <c r="K1003" s="4" t="n"/>
      <c r="L1003" s="4" t="n"/>
      <c r="M1003" s="8" t="n">
        <v>0.11</v>
      </c>
      <c r="N1003" s="4" t="inlineStr">
        <is>
          <t>%</t>
        </is>
      </c>
      <c r="O1003" s="3" t="inlineStr">
        <is>
          <t>Кабири Хучанд ООО</t>
        </is>
      </c>
      <c r="P1003" s="3" t="inlineStr">
        <is>
          <t>H17</t>
        </is>
      </c>
      <c t="str" r="Q1003" s="6">
        <f>A1003&amp;"|"&amp;C1003&amp;"|"&amp;D1003&amp;"|"&amp;G1003</f>
        <v>Кабири Хучанд ООО, Таджикистан|Шкала|Оборудование|3</v>
      </c>
      <c t="str" r="R1003" s="6">
        <f>A1003&amp;"|"&amp;C1003&amp;"|"&amp;D1003&amp;"|"&amp;J1003</f>
        <v>Кабири Хучанд ООО, Таджикистан|Шкала|Оборудование|4</v>
      </c>
      <c t="str" r="S1003" s="6">
        <f>A1003&amp;"|"&amp;C1003&amp;"|"&amp;D1003&amp;"|"&amp;G1003&amp;"|"&amp;J1003</f>
        <v>Кабири Хучанд ООО, Таджикистан|Шкала|Оборудование|3|4</v>
      </c>
      <c t="str" r="T1003" s="6">
        <f>A1003&amp;"|"&amp;C1003&amp;"|"&amp;G1003</f>
        <v>Кабири Хучанд ООО, Таджикистан|Шкала|3</v>
      </c>
      <c t="str" r="U1003" s="6">
        <f>IF(H1003="да",A1003&amp;"|"&amp;C1003&amp;"|"&amp;D1003&amp;"|"&amp;J1003,"")</f>
        <v/>
      </c>
      <c t="str" r="V1003" s="6">
        <f>IF(C1003="План",A1003&amp;"|"&amp;J1003,"")</f>
        <v/>
      </c>
    </row>
    <row r="1004">
      <c r="A1004" s="3" t="inlineStr">
        <is>
          <t>Кабири Хучанд ООО, Таджикистан</t>
        </is>
      </c>
      <c r="B1004" s="3" t="inlineStr">
        <is>
          <t>Заруб</t>
        </is>
      </c>
      <c r="C1004" s="3" t="inlineStr">
        <is>
          <t>Шкала</t>
        </is>
      </c>
      <c r="D1004" s="3" t="inlineStr">
        <is>
          <t>Оборудование</t>
        </is>
      </c>
      <c r="E1004" s="3" t="inlineStr">
        <is>
          <t>Оборудование — за полугодие</t>
        </is>
      </c>
      <c r="F1004" s="3" t="inlineStr">
        <is>
          <t>Объем закупок МП</t>
        </is>
      </c>
      <c r="G1004" s="4" t="n">
        <v>3</v>
      </c>
      <c r="H1004" s="4" t="n"/>
      <c r="I1004" s="3" t="inlineStr">
        <is>
          <t>190-224</t>
        </is>
      </c>
      <c r="J1004" s="4" t="n">
        <v>5</v>
      </c>
      <c r="K1004" s="4" t="n"/>
      <c r="L1004" s="4" t="n"/>
      <c r="M1004" s="8" t="n">
        <v>0.12</v>
      </c>
      <c r="N1004" s="4" t="inlineStr">
        <is>
          <t>%</t>
        </is>
      </c>
      <c r="O1004" s="3" t="inlineStr">
        <is>
          <t>Кабири Хучанд ООО</t>
        </is>
      </c>
      <c r="P1004" s="3" t="inlineStr">
        <is>
          <t>I17</t>
        </is>
      </c>
      <c t="str" r="Q1004" s="6">
        <f>A1004&amp;"|"&amp;C1004&amp;"|"&amp;D1004&amp;"|"&amp;G1004</f>
        <v>Кабири Хучанд ООО, Таджикистан|Шкала|Оборудование|3</v>
      </c>
      <c t="str" r="R1004" s="6">
        <f>A1004&amp;"|"&amp;C1004&amp;"|"&amp;D1004&amp;"|"&amp;J1004</f>
        <v>Кабири Хучанд ООО, Таджикистан|Шкала|Оборудование|5</v>
      </c>
      <c t="str" r="S1004" s="6">
        <f>A1004&amp;"|"&amp;C1004&amp;"|"&amp;D1004&amp;"|"&amp;G1004&amp;"|"&amp;J1004</f>
        <v>Кабири Хучанд ООО, Таджикистан|Шкала|Оборудование|3|5</v>
      </c>
      <c t="str" r="T1004" s="6">
        <f>A1004&amp;"|"&amp;C1004&amp;"|"&amp;G1004</f>
        <v>Кабири Хучанд ООО, Таджикистан|Шкала|3</v>
      </c>
      <c t="str" r="U1004" s="6">
        <f>IF(H1004="да",A1004&amp;"|"&amp;C1004&amp;"|"&amp;D1004&amp;"|"&amp;J1004,"")</f>
        <v/>
      </c>
      <c t="str" r="V1004" s="6">
        <f>IF(C1004="План",A1004&amp;"|"&amp;J1004,"")</f>
        <v/>
      </c>
    </row>
    <row r="1005">
      <c r="A1005" s="3" t="inlineStr">
        <is>
          <t>Кабири Хучанд ООО, Таджикистан</t>
        </is>
      </c>
      <c r="B1005" s="3" t="inlineStr">
        <is>
          <t>Заруб</t>
        </is>
      </c>
      <c r="C1005" s="3" t="inlineStr">
        <is>
          <t>Шкала</t>
        </is>
      </c>
      <c r="D1005" s="3" t="inlineStr">
        <is>
          <t>Оборудование</t>
        </is>
      </c>
      <c r="E1005" s="3" t="inlineStr">
        <is>
          <t>Оборудование — за полугодие</t>
        </is>
      </c>
      <c r="F1005" s="3" t="inlineStr">
        <is>
          <t>Объем закупок МП</t>
        </is>
      </c>
      <c r="G1005" s="4" t="n">
        <v>3</v>
      </c>
      <c r="H1005" s="4" t="n"/>
      <c r="I1005" s="3" t="inlineStr">
        <is>
          <t>225 и более</t>
        </is>
      </c>
      <c r="J1005" s="4" t="n">
        <v>6</v>
      </c>
      <c r="K1005" s="4" t="n"/>
      <c r="L1005" s="4" t="n"/>
      <c r="M1005" s="8" t="n">
        <v>0.13</v>
      </c>
      <c r="N1005" s="4" t="inlineStr">
        <is>
          <t>%</t>
        </is>
      </c>
      <c r="O1005" s="3" t="inlineStr">
        <is>
          <t>Кабири Хучанд ООО</t>
        </is>
      </c>
      <c r="P1005" s="3" t="inlineStr">
        <is>
          <t>J17</t>
        </is>
      </c>
      <c t="str" r="Q1005" s="6">
        <f>A1005&amp;"|"&amp;C1005&amp;"|"&amp;D1005&amp;"|"&amp;G1005</f>
        <v>Кабири Хучанд ООО, Таджикистан|Шкала|Оборудование|3</v>
      </c>
      <c t="str" r="R1005" s="6">
        <f>A1005&amp;"|"&amp;C1005&amp;"|"&amp;D1005&amp;"|"&amp;J1005</f>
        <v>Кабири Хучанд ООО, Таджикистан|Шкала|Оборудование|6</v>
      </c>
      <c t="str" r="S1005" s="6">
        <f>A1005&amp;"|"&amp;C1005&amp;"|"&amp;D1005&amp;"|"&amp;G1005&amp;"|"&amp;J1005</f>
        <v>Кабири Хучанд ООО, Таджикистан|Шкала|Оборудование|3|6</v>
      </c>
      <c t="str" r="T1005" s="6">
        <f>A1005&amp;"|"&amp;C1005&amp;"|"&amp;G1005</f>
        <v>Кабири Хучанд ООО, Таджикистан|Шкала|3</v>
      </c>
      <c t="str" r="U1005" s="6">
        <f>IF(H1005="да",A1005&amp;"|"&amp;C1005&amp;"|"&amp;D1005&amp;"|"&amp;J1005,"")</f>
        <v/>
      </c>
      <c t="str" r="V1005" s="6">
        <f>IF(C1005="План",A1005&amp;"|"&amp;J1005,"")</f>
        <v/>
      </c>
    </row>
    <row r="1006">
      <c r="A1006" s="3" t="inlineStr">
        <is>
          <t>Кабири Хучанд ООО, Таджикистан</t>
        </is>
      </c>
      <c r="B1006" s="3" t="inlineStr">
        <is>
          <t>Заруб</t>
        </is>
      </c>
      <c r="C1006" s="3" t="inlineStr">
        <is>
          <t>Шкала</t>
        </is>
      </c>
      <c r="D1006" s="3" t="inlineStr">
        <is>
          <t>Оборудование</t>
        </is>
      </c>
      <c r="E1006" s="3" t="inlineStr">
        <is>
          <t>Оборудование — за полугодие</t>
        </is>
      </c>
      <c r="F1006" s="3" t="inlineStr">
        <is>
          <t>ИТОГО</t>
        </is>
      </c>
      <c r="G1006" s="4" t="n">
        <v>4</v>
      </c>
      <c r="H1006" s="4" t="inlineStr">
        <is>
          <t>да</t>
        </is>
      </c>
      <c r="I1006" s="3" t="inlineStr">
        <is>
          <t>до 75</t>
        </is>
      </c>
      <c r="J1006" s="4" t="n">
        <v>1</v>
      </c>
      <c r="K1006" s="4" t="n"/>
      <c r="L1006" s="4" t="n"/>
      <c r="M1006" s="8" t="n">
        <v>0.14</v>
      </c>
      <c r="N1006" s="4" t="inlineStr">
        <is>
          <t>%</t>
        </is>
      </c>
      <c r="O1006" s="3" t="inlineStr">
        <is>
          <t>Кабири Хучанд ООО</t>
        </is>
      </c>
      <c r="P1006" s="3" t="inlineStr">
        <is>
          <t>E18</t>
        </is>
      </c>
      <c t="str" r="Q1006" s="6">
        <f>A1006&amp;"|"&amp;C1006&amp;"|"&amp;D1006&amp;"|"&amp;G1006</f>
        <v>Кабири Хучанд ООО, Таджикистан|Шкала|Оборудование|4</v>
      </c>
      <c t="str" r="R1006" s="6">
        <f>A1006&amp;"|"&amp;C1006&amp;"|"&amp;D1006&amp;"|"&amp;J1006</f>
        <v>Кабири Хучанд ООО, Таджикистан|Шкала|Оборудование|1</v>
      </c>
      <c t="str" r="S1006" s="6">
        <f>A1006&amp;"|"&amp;C1006&amp;"|"&amp;D1006&amp;"|"&amp;G1006&amp;"|"&amp;J1006</f>
        <v>Кабири Хучанд ООО, Таджикистан|Шкала|Оборудование|4|1</v>
      </c>
      <c t="str" r="T1006" s="6">
        <f>A1006&amp;"|"&amp;C1006&amp;"|"&amp;G1006</f>
        <v>Кабири Хучанд ООО, Таджикистан|Шкала|4</v>
      </c>
      <c t="str" r="U1006" s="6">
        <f>IF(H1006="да",A1006&amp;"|"&amp;C1006&amp;"|"&amp;D1006&amp;"|"&amp;J1006,"")</f>
        <v>Кабири Хучанд ООО, Таджикистан|Шкала|Оборудование|1</v>
      </c>
      <c t="str" r="V1006" s="6">
        <f>IF(C1006="План",A1006&amp;"|"&amp;J1006,"")</f>
        <v/>
      </c>
    </row>
    <row r="1007">
      <c r="A1007" s="3" t="inlineStr">
        <is>
          <t>Кабири Хучанд ООО, Таджикистан</t>
        </is>
      </c>
      <c r="B1007" s="3" t="inlineStr">
        <is>
          <t>Заруб</t>
        </is>
      </c>
      <c r="C1007" s="3" t="inlineStr">
        <is>
          <t>Шкала</t>
        </is>
      </c>
      <c r="D1007" s="3" t="inlineStr">
        <is>
          <t>Оборудование</t>
        </is>
      </c>
      <c r="E1007" s="3" t="inlineStr">
        <is>
          <t>Оборудование — за полугодие</t>
        </is>
      </c>
      <c r="F1007" s="3" t="inlineStr">
        <is>
          <t>ИТОГО</t>
        </is>
      </c>
      <c r="G1007" s="4" t="n">
        <v>4</v>
      </c>
      <c r="H1007" s="4" t="inlineStr">
        <is>
          <t>да</t>
        </is>
      </c>
      <c r="I1007" s="3" t="inlineStr">
        <is>
          <t>75-114</t>
        </is>
      </c>
      <c r="J1007" s="4" t="n">
        <v>2</v>
      </c>
      <c r="K1007" s="4" t="n"/>
      <c r="L1007" s="4" t="n"/>
      <c r="M1007" s="8" t="n">
        <v>0.16</v>
      </c>
      <c r="N1007" s="4" t="inlineStr">
        <is>
          <t>%</t>
        </is>
      </c>
      <c r="O1007" s="3" t="inlineStr">
        <is>
          <t>Кабири Хучанд ООО</t>
        </is>
      </c>
      <c r="P1007" s="3" t="inlineStr">
        <is>
          <t>F18</t>
        </is>
      </c>
      <c t="str" r="Q1007" s="6">
        <f>A1007&amp;"|"&amp;C1007&amp;"|"&amp;D1007&amp;"|"&amp;G1007</f>
        <v>Кабири Хучанд ООО, Таджикистан|Шкала|Оборудование|4</v>
      </c>
      <c t="str" r="R1007" s="6">
        <f>A1007&amp;"|"&amp;C1007&amp;"|"&amp;D1007&amp;"|"&amp;J1007</f>
        <v>Кабири Хучанд ООО, Таджикистан|Шкала|Оборудование|2</v>
      </c>
      <c t="str" r="S1007" s="6">
        <f>A1007&amp;"|"&amp;C1007&amp;"|"&amp;D1007&amp;"|"&amp;G1007&amp;"|"&amp;J1007</f>
        <v>Кабири Хучанд ООО, Таджикистан|Шкала|Оборудование|4|2</v>
      </c>
      <c t="str" r="T1007" s="6">
        <f>A1007&amp;"|"&amp;C1007&amp;"|"&amp;G1007</f>
        <v>Кабири Хучанд ООО, Таджикистан|Шкала|4</v>
      </c>
      <c t="str" r="U1007" s="6">
        <f>IF(H1007="да",A1007&amp;"|"&amp;C1007&amp;"|"&amp;D1007&amp;"|"&amp;J1007,"")</f>
        <v>Кабири Хучанд ООО, Таджикистан|Шкала|Оборудование|2</v>
      </c>
      <c t="str" r="V1007" s="6">
        <f>IF(C1007="План",A1007&amp;"|"&amp;J1007,"")</f>
        <v/>
      </c>
    </row>
    <row r="1008">
      <c r="A1008" s="3" t="inlineStr">
        <is>
          <t>Кабири Хучанд ООО, Таджикистан</t>
        </is>
      </c>
      <c r="B1008" s="3" t="inlineStr">
        <is>
          <t>Заруб</t>
        </is>
      </c>
      <c r="C1008" s="3" t="inlineStr">
        <is>
          <t>Шкала</t>
        </is>
      </c>
      <c r="D1008" s="3" t="inlineStr">
        <is>
          <t>Оборудование</t>
        </is>
      </c>
      <c r="E1008" s="3" t="inlineStr">
        <is>
          <t>Оборудование — за полугодие</t>
        </is>
      </c>
      <c r="F1008" s="3" t="inlineStr">
        <is>
          <t>ИТОГО</t>
        </is>
      </c>
      <c r="G1008" s="4" t="n">
        <v>4</v>
      </c>
      <c r="H1008" s="4" t="inlineStr">
        <is>
          <t>да</t>
        </is>
      </c>
      <c r="I1008" s="3" t="inlineStr">
        <is>
          <t>115-149</t>
        </is>
      </c>
      <c r="J1008" s="4" t="n">
        <v>3</v>
      </c>
      <c r="K1008" s="4" t="n"/>
      <c r="L1008" s="4" t="n"/>
      <c r="M1008" s="8" t="n">
        <v>0.17</v>
      </c>
      <c r="N1008" s="4" t="inlineStr">
        <is>
          <t>%</t>
        </is>
      </c>
      <c r="O1008" s="3" t="inlineStr">
        <is>
          <t>Кабири Хучанд ООО</t>
        </is>
      </c>
      <c r="P1008" s="3" t="inlineStr">
        <is>
          <t>G18</t>
        </is>
      </c>
      <c t="str" r="Q1008" s="6">
        <f>A1008&amp;"|"&amp;C1008&amp;"|"&amp;D1008&amp;"|"&amp;G1008</f>
        <v>Кабири Хучанд ООО, Таджикистан|Шкала|Оборудование|4</v>
      </c>
      <c t="str" r="R1008" s="6">
        <f>A1008&amp;"|"&amp;C1008&amp;"|"&amp;D1008&amp;"|"&amp;J1008</f>
        <v>Кабири Хучанд ООО, Таджикистан|Шкала|Оборудование|3</v>
      </c>
      <c t="str" r="S1008" s="6">
        <f>A1008&amp;"|"&amp;C1008&amp;"|"&amp;D1008&amp;"|"&amp;G1008&amp;"|"&amp;J1008</f>
        <v>Кабири Хучанд ООО, Таджикистан|Шкала|Оборудование|4|3</v>
      </c>
      <c t="str" r="T1008" s="6">
        <f>A1008&amp;"|"&amp;C1008&amp;"|"&amp;G1008</f>
        <v>Кабири Хучанд ООО, Таджикистан|Шкала|4</v>
      </c>
      <c t="str" r="U1008" s="6">
        <f>IF(H1008="да",A1008&amp;"|"&amp;C1008&amp;"|"&amp;D1008&amp;"|"&amp;J1008,"")</f>
        <v>Кабири Хучанд ООО, Таджикистан|Шкала|Оборудование|3</v>
      </c>
      <c t="str" r="V1008" s="6">
        <f>IF(C1008="План",A1008&amp;"|"&amp;J1008,"")</f>
        <v/>
      </c>
    </row>
    <row r="1009">
      <c r="A1009" s="3" t="inlineStr">
        <is>
          <t>Кабири Хучанд ООО, Таджикистан</t>
        </is>
      </c>
      <c r="B1009" s="3" t="inlineStr">
        <is>
          <t>Заруб</t>
        </is>
      </c>
      <c r="C1009" s="3" t="inlineStr">
        <is>
          <t>Шкала</t>
        </is>
      </c>
      <c r="D1009" s="3" t="inlineStr">
        <is>
          <t>Оборудование</t>
        </is>
      </c>
      <c r="E1009" s="3" t="inlineStr">
        <is>
          <t>Оборудование — за полугодие</t>
        </is>
      </c>
      <c r="F1009" s="3" t="inlineStr">
        <is>
          <t>ИТОГО</t>
        </is>
      </c>
      <c r="G1009" s="4" t="n">
        <v>4</v>
      </c>
      <c r="H1009" s="4" t="inlineStr">
        <is>
          <t>да</t>
        </is>
      </c>
      <c r="I1009" s="3" t="inlineStr">
        <is>
          <t>150-189</t>
        </is>
      </c>
      <c r="J1009" s="4" t="n">
        <v>4</v>
      </c>
      <c r="K1009" s="4" t="n"/>
      <c r="L1009" s="4" t="n"/>
      <c r="M1009" s="8" t="n">
        <v>0.18</v>
      </c>
      <c r="N1009" s="4" t="inlineStr">
        <is>
          <t>%</t>
        </is>
      </c>
      <c r="O1009" s="3" t="inlineStr">
        <is>
          <t>Кабири Хучанд ООО</t>
        </is>
      </c>
      <c r="P1009" s="3" t="inlineStr">
        <is>
          <t>H18</t>
        </is>
      </c>
      <c t="str" r="Q1009" s="6">
        <f>A1009&amp;"|"&amp;C1009&amp;"|"&amp;D1009&amp;"|"&amp;G1009</f>
        <v>Кабири Хучанд ООО, Таджикистан|Шкала|Оборудование|4</v>
      </c>
      <c t="str" r="R1009" s="6">
        <f>A1009&amp;"|"&amp;C1009&amp;"|"&amp;D1009&amp;"|"&amp;J1009</f>
        <v>Кабири Хучанд ООО, Таджикистан|Шкала|Оборудование|4</v>
      </c>
      <c t="str" r="S1009" s="6">
        <f>A1009&amp;"|"&amp;C1009&amp;"|"&amp;D1009&amp;"|"&amp;G1009&amp;"|"&amp;J1009</f>
        <v>Кабири Хучанд ООО, Таджикистан|Шкала|Оборудование|4|4</v>
      </c>
      <c t="str" r="T1009" s="6">
        <f>A1009&amp;"|"&amp;C1009&amp;"|"&amp;G1009</f>
        <v>Кабири Хучанд ООО, Таджикистан|Шкала|4</v>
      </c>
      <c t="str" r="U1009" s="6">
        <f>IF(H1009="да",A1009&amp;"|"&amp;C1009&amp;"|"&amp;D1009&amp;"|"&amp;J1009,"")</f>
        <v>Кабири Хучанд ООО, Таджикистан|Шкала|Оборудование|4</v>
      </c>
      <c t="str" r="V1009" s="6">
        <f>IF(C1009="План",A1009&amp;"|"&amp;J1009,"")</f>
        <v/>
      </c>
    </row>
    <row r="1010">
      <c r="A1010" s="3" t="inlineStr">
        <is>
          <t>Кабири Хучанд ООО, Таджикистан</t>
        </is>
      </c>
      <c r="B1010" s="3" t="inlineStr">
        <is>
          <t>Заруб</t>
        </is>
      </c>
      <c r="C1010" s="3" t="inlineStr">
        <is>
          <t>Шкала</t>
        </is>
      </c>
      <c r="D1010" s="3" t="inlineStr">
        <is>
          <t>Оборудование</t>
        </is>
      </c>
      <c r="E1010" s="3" t="inlineStr">
        <is>
          <t>Оборудование — за полугодие</t>
        </is>
      </c>
      <c r="F1010" s="3" t="inlineStr">
        <is>
          <t>ИТОГО</t>
        </is>
      </c>
      <c r="G1010" s="4" t="n">
        <v>4</v>
      </c>
      <c r="H1010" s="4" t="inlineStr">
        <is>
          <t>да</t>
        </is>
      </c>
      <c r="I1010" s="3" t="inlineStr">
        <is>
          <t>190-224</t>
        </is>
      </c>
      <c r="J1010" s="4" t="n">
        <v>5</v>
      </c>
      <c r="K1010" s="4" t="n"/>
      <c r="L1010" s="4" t="n"/>
      <c r="M1010" s="8" t="n">
        <v>0.19</v>
      </c>
      <c r="N1010" s="4" t="inlineStr">
        <is>
          <t>%</t>
        </is>
      </c>
      <c r="O1010" s="3" t="inlineStr">
        <is>
          <t>Кабири Хучанд ООО</t>
        </is>
      </c>
      <c r="P1010" s="3" t="inlineStr">
        <is>
          <t>I18</t>
        </is>
      </c>
      <c t="str" r="Q1010" s="6">
        <f>A1010&amp;"|"&amp;C1010&amp;"|"&amp;D1010&amp;"|"&amp;G1010</f>
        <v>Кабири Хучанд ООО, Таджикистан|Шкала|Оборудование|4</v>
      </c>
      <c t="str" r="R1010" s="6">
        <f>A1010&amp;"|"&amp;C1010&amp;"|"&amp;D1010&amp;"|"&amp;J1010</f>
        <v>Кабири Хучанд ООО, Таджикистан|Шкала|Оборудование|5</v>
      </c>
      <c t="str" r="S1010" s="6">
        <f>A1010&amp;"|"&amp;C1010&amp;"|"&amp;D1010&amp;"|"&amp;G1010&amp;"|"&amp;J1010</f>
        <v>Кабири Хучанд ООО, Таджикистан|Шкала|Оборудование|4|5</v>
      </c>
      <c t="str" r="T1010" s="6">
        <f>A1010&amp;"|"&amp;C1010&amp;"|"&amp;G1010</f>
        <v>Кабири Хучанд ООО, Таджикистан|Шкала|4</v>
      </c>
      <c t="str" r="U1010" s="6">
        <f>IF(H1010="да",A1010&amp;"|"&amp;C1010&amp;"|"&amp;D1010&amp;"|"&amp;J1010,"")</f>
        <v>Кабири Хучанд ООО, Таджикистан|Шкала|Оборудование|5</v>
      </c>
      <c t="str" r="V1010" s="6">
        <f>IF(C1010="План",A1010&amp;"|"&amp;J1010,"")</f>
        <v/>
      </c>
    </row>
    <row r="1011">
      <c r="A1011" s="3" t="inlineStr">
        <is>
          <t>Кабири Хучанд ООО, Таджикистан</t>
        </is>
      </c>
      <c r="B1011" s="3" t="inlineStr">
        <is>
          <t>Заруб</t>
        </is>
      </c>
      <c r="C1011" s="3" t="inlineStr">
        <is>
          <t>Шкала</t>
        </is>
      </c>
      <c r="D1011" s="3" t="inlineStr">
        <is>
          <t>Оборудование</t>
        </is>
      </c>
      <c r="E1011" s="3" t="inlineStr">
        <is>
          <t>Оборудование — за полугодие</t>
        </is>
      </c>
      <c r="F1011" s="3" t="inlineStr">
        <is>
          <t>ИТОГО</t>
        </is>
      </c>
      <c r="G1011" s="4" t="n">
        <v>4</v>
      </c>
      <c r="H1011" s="4" t="inlineStr">
        <is>
          <t>да</t>
        </is>
      </c>
      <c r="I1011" s="3" t="inlineStr">
        <is>
          <t>225 и более</t>
        </is>
      </c>
      <c r="J1011" s="4" t="n">
        <v>6</v>
      </c>
      <c r="K1011" s="4" t="n"/>
      <c r="L1011" s="4" t="n"/>
      <c r="M1011" s="8" t="n">
        <v>0.2</v>
      </c>
      <c r="N1011" s="4" t="inlineStr">
        <is>
          <t>%</t>
        </is>
      </c>
      <c r="O1011" s="3" t="inlineStr">
        <is>
          <t>Кабири Хучанд ООО</t>
        </is>
      </c>
      <c r="P1011" s="3" t="inlineStr">
        <is>
          <t>J18</t>
        </is>
      </c>
      <c t="str" r="Q1011" s="6">
        <f>A1011&amp;"|"&amp;C1011&amp;"|"&amp;D1011&amp;"|"&amp;G1011</f>
        <v>Кабири Хучанд ООО, Таджикистан|Шкала|Оборудование|4</v>
      </c>
      <c t="str" r="R1011" s="6">
        <f>A1011&amp;"|"&amp;C1011&amp;"|"&amp;D1011&amp;"|"&amp;J1011</f>
        <v>Кабири Хучанд ООО, Таджикистан|Шкала|Оборудование|6</v>
      </c>
      <c t="str" r="S1011" s="6">
        <f>A1011&amp;"|"&amp;C1011&amp;"|"&amp;D1011&amp;"|"&amp;G1011&amp;"|"&amp;J1011</f>
        <v>Кабири Хучанд ООО, Таджикистан|Шкала|Оборудование|4|6</v>
      </c>
      <c t="str" r="T1011" s="6">
        <f>A1011&amp;"|"&amp;C1011&amp;"|"&amp;G1011</f>
        <v>Кабири Хучанд ООО, Таджикистан|Шкала|4</v>
      </c>
      <c t="str" r="U1011" s="6">
        <f>IF(H1011="да",A1011&amp;"|"&amp;C1011&amp;"|"&amp;D1011&amp;"|"&amp;J1011,"")</f>
        <v>Кабири Хучанд ООО, Таджикистан|Шкала|Оборудование|6</v>
      </c>
      <c t="str" r="V1011" s="6">
        <f>IF(C1011="План",A1011&amp;"|"&amp;J1011,"")</f>
        <v/>
      </c>
    </row>
    <row r="1012">
      <c r="A1012" s="3" t="inlineStr">
        <is>
          <t>Кабири Хучанд ООО, Таджикистан</t>
        </is>
      </c>
      <c r="B1012" s="3" t="inlineStr">
        <is>
          <t>Заруб</t>
        </is>
      </c>
      <c r="C1012" s="3" t="inlineStr">
        <is>
          <t>Шкала</t>
        </is>
      </c>
      <c r="D1012" s="3" t="inlineStr">
        <is>
          <t>Расходные материалы</t>
        </is>
      </c>
      <c r="E1012" s="3" t="inlineStr">
        <is>
          <t>Расходные материалы — за полугодие</t>
        </is>
      </c>
      <c r="F1012" s="3" t="inlineStr">
        <is>
          <t>Объем закупок РМ</t>
        </is>
      </c>
      <c r="G1012" s="4" t="n">
        <v>1</v>
      </c>
      <c r="H1012" s="4" t="n"/>
      <c r="I1012" s="3" t="inlineStr">
        <is>
          <t>до 24</t>
        </is>
      </c>
      <c r="J1012" s="4" t="n">
        <v>1</v>
      </c>
      <c r="K1012" s="4" t="n"/>
      <c r="L1012" s="4" t="n"/>
      <c r="M1012" s="8" t="n">
        <v>0</v>
      </c>
      <c r="N1012" s="4" t="inlineStr">
        <is>
          <t>%</t>
        </is>
      </c>
      <c r="O1012" s="3" t="inlineStr">
        <is>
          <t>Кабири Хучанд ООО</t>
        </is>
      </c>
      <c r="P1012" s="3" t="inlineStr">
        <is>
          <t>E21</t>
        </is>
      </c>
      <c t="str" r="Q1012" s="6">
        <f>A1012&amp;"|"&amp;C1012&amp;"|"&amp;D1012&amp;"|"&amp;G1012</f>
        <v>Кабири Хучанд ООО, Таджикистан|Шкала|Расходные материалы|1</v>
      </c>
      <c t="str" r="R1012" s="6">
        <f>A1012&amp;"|"&amp;C1012&amp;"|"&amp;D1012&amp;"|"&amp;J1012</f>
        <v>Кабири Хучанд ООО, Таджикистан|Шкала|Расходные материалы|1</v>
      </c>
      <c t="str" r="S1012" s="6">
        <f>A1012&amp;"|"&amp;C1012&amp;"|"&amp;D1012&amp;"|"&amp;G1012&amp;"|"&amp;J1012</f>
        <v>Кабири Хучанд ООО, Таджикистан|Шкала|Расходные материалы|1|1</v>
      </c>
      <c t="str" r="T1012" s="6">
        <f>A1012&amp;"|"&amp;C1012&amp;"|"&amp;G1012</f>
        <v>Кабири Хучанд ООО, Таджикистан|Шкала|1</v>
      </c>
      <c t="str" r="U1012" s="6">
        <f>IF(H1012="да",A1012&amp;"|"&amp;C1012&amp;"|"&amp;D1012&amp;"|"&amp;J1012,"")</f>
        <v/>
      </c>
      <c t="str" r="V1012" s="6">
        <f>IF(C1012="План",A1012&amp;"|"&amp;J1012,"")</f>
        <v/>
      </c>
    </row>
    <row r="1013">
      <c r="A1013" s="3" t="inlineStr">
        <is>
          <t>Кабири Хучанд ООО, Таджикистан</t>
        </is>
      </c>
      <c r="B1013" s="3" t="inlineStr">
        <is>
          <t>Заруб</t>
        </is>
      </c>
      <c r="C1013" s="3" t="inlineStr">
        <is>
          <t>Шкала</t>
        </is>
      </c>
      <c r="D1013" s="3" t="inlineStr">
        <is>
          <t>Расходные материалы</t>
        </is>
      </c>
      <c r="E1013" s="3" t="inlineStr">
        <is>
          <t>Расходные материалы — за полугодие</t>
        </is>
      </c>
      <c r="F1013" s="3" t="inlineStr">
        <is>
          <t>Объем закупок РМ</t>
        </is>
      </c>
      <c r="G1013" s="4" t="n">
        <v>1</v>
      </c>
      <c r="H1013" s="4" t="n"/>
      <c r="I1013" s="3" t="inlineStr">
        <is>
          <t>25-34</t>
        </is>
      </c>
      <c r="J1013" s="4" t="n">
        <v>2</v>
      </c>
      <c r="K1013" s="4" t="n"/>
      <c r="L1013" s="4" t="n"/>
      <c r="M1013" s="8" t="n">
        <v>0.01</v>
      </c>
      <c r="N1013" s="4" t="inlineStr">
        <is>
          <t>%</t>
        </is>
      </c>
      <c r="O1013" s="3" t="inlineStr">
        <is>
          <t>Кабири Хучанд ООО</t>
        </is>
      </c>
      <c r="P1013" s="3" t="inlineStr">
        <is>
          <t>F21</t>
        </is>
      </c>
      <c t="str" r="Q1013" s="6">
        <f>A1013&amp;"|"&amp;C1013&amp;"|"&amp;D1013&amp;"|"&amp;G1013</f>
        <v>Кабири Хучанд ООО, Таджикистан|Шкала|Расходные материалы|1</v>
      </c>
      <c t="str" r="R1013" s="6">
        <f>A1013&amp;"|"&amp;C1013&amp;"|"&amp;D1013&amp;"|"&amp;J1013</f>
        <v>Кабири Хучанд ООО, Таджикистан|Шкала|Расходные материалы|2</v>
      </c>
      <c t="str" r="S1013" s="6">
        <f>A1013&amp;"|"&amp;C1013&amp;"|"&amp;D1013&amp;"|"&amp;G1013&amp;"|"&amp;J1013</f>
        <v>Кабири Хучанд ООО, Таджикистан|Шкала|Расходные материалы|1|2</v>
      </c>
      <c t="str" r="T1013" s="6">
        <f>A1013&amp;"|"&amp;C1013&amp;"|"&amp;G1013</f>
        <v>Кабири Хучанд ООО, Таджикистан|Шкала|1</v>
      </c>
      <c t="str" r="U1013" s="6">
        <f>IF(H1013="да",A1013&amp;"|"&amp;C1013&amp;"|"&amp;D1013&amp;"|"&amp;J1013,"")</f>
        <v/>
      </c>
      <c t="str" r="V1013" s="6">
        <f>IF(C1013="План",A1013&amp;"|"&amp;J1013,"")</f>
        <v/>
      </c>
    </row>
    <row r="1014">
      <c r="A1014" s="3" t="inlineStr">
        <is>
          <t>Кабири Хучанд ООО, Таджикистан</t>
        </is>
      </c>
      <c r="B1014" s="3" t="inlineStr">
        <is>
          <t>Заруб</t>
        </is>
      </c>
      <c r="C1014" s="3" t="inlineStr">
        <is>
          <t>Шкала</t>
        </is>
      </c>
      <c r="D1014" s="3" t="inlineStr">
        <is>
          <t>Расходные материалы</t>
        </is>
      </c>
      <c r="E1014" s="3" t="inlineStr">
        <is>
          <t>Расходные материалы — за полугодие</t>
        </is>
      </c>
      <c r="F1014" s="3" t="inlineStr">
        <is>
          <t>Объем закупок РМ</t>
        </is>
      </c>
      <c r="G1014" s="4" t="n">
        <v>1</v>
      </c>
      <c r="H1014" s="4" t="n"/>
      <c r="I1014" s="3" t="inlineStr">
        <is>
          <t>35-44</t>
        </is>
      </c>
      <c r="J1014" s="4" t="n">
        <v>3</v>
      </c>
      <c r="K1014" s="4" t="n"/>
      <c r="L1014" s="4" t="n"/>
      <c r="M1014" s="8" t="n">
        <v>0.02</v>
      </c>
      <c r="N1014" s="4" t="inlineStr">
        <is>
          <t>%</t>
        </is>
      </c>
      <c r="O1014" s="3" t="inlineStr">
        <is>
          <t>Кабири Хучанд ООО</t>
        </is>
      </c>
      <c r="P1014" s="3" t="inlineStr">
        <is>
          <t>G21</t>
        </is>
      </c>
      <c t="str" r="Q1014" s="6">
        <f>A1014&amp;"|"&amp;C1014&amp;"|"&amp;D1014&amp;"|"&amp;G1014</f>
        <v>Кабири Хучанд ООО, Таджикистан|Шкала|Расходные материалы|1</v>
      </c>
      <c t="str" r="R1014" s="6">
        <f>A1014&amp;"|"&amp;C1014&amp;"|"&amp;D1014&amp;"|"&amp;J1014</f>
        <v>Кабири Хучанд ООО, Таджикистан|Шкала|Расходные материалы|3</v>
      </c>
      <c t="str" r="S1014" s="6">
        <f>A1014&amp;"|"&amp;C1014&amp;"|"&amp;D1014&amp;"|"&amp;G1014&amp;"|"&amp;J1014</f>
        <v>Кабири Хучанд ООО, Таджикистан|Шкала|Расходные материалы|1|3</v>
      </c>
      <c t="str" r="T1014" s="6">
        <f>A1014&amp;"|"&amp;C1014&amp;"|"&amp;G1014</f>
        <v>Кабири Хучанд ООО, Таджикистан|Шкала|1</v>
      </c>
      <c t="str" r="U1014" s="6">
        <f>IF(H1014="да",A1014&amp;"|"&amp;C1014&amp;"|"&amp;D1014&amp;"|"&amp;J1014,"")</f>
        <v/>
      </c>
      <c t="str" r="V1014" s="6">
        <f>IF(C1014="План",A1014&amp;"|"&amp;J1014,"")</f>
        <v/>
      </c>
    </row>
    <row r="1015">
      <c r="A1015" s="3" t="inlineStr">
        <is>
          <t>Кабири Хучанд ООО, Таджикистан</t>
        </is>
      </c>
      <c r="B1015" s="3" t="inlineStr">
        <is>
          <t>Заруб</t>
        </is>
      </c>
      <c r="C1015" s="3" t="inlineStr">
        <is>
          <t>Шкала</t>
        </is>
      </c>
      <c r="D1015" s="3" t="inlineStr">
        <is>
          <t>Расходные материалы</t>
        </is>
      </c>
      <c r="E1015" s="3" t="inlineStr">
        <is>
          <t>Расходные материалы — за полугодие</t>
        </is>
      </c>
      <c r="F1015" s="3" t="inlineStr">
        <is>
          <t>Объем закупок РМ</t>
        </is>
      </c>
      <c r="G1015" s="4" t="n">
        <v>1</v>
      </c>
      <c r="H1015" s="4" t="n"/>
      <c r="I1015" s="3" t="inlineStr">
        <is>
          <t>45-54</t>
        </is>
      </c>
      <c r="J1015" s="4" t="n">
        <v>4</v>
      </c>
      <c r="K1015" s="4" t="n"/>
      <c r="L1015" s="4" t="n"/>
      <c r="M1015" s="8" t="n">
        <v>0.03</v>
      </c>
      <c r="N1015" s="4" t="inlineStr">
        <is>
          <t>%</t>
        </is>
      </c>
      <c r="O1015" s="3" t="inlineStr">
        <is>
          <t>Кабири Хучанд ООО</t>
        </is>
      </c>
      <c r="P1015" s="3" t="inlineStr">
        <is>
          <t>H21</t>
        </is>
      </c>
      <c t="str" r="Q1015" s="6">
        <f>A1015&amp;"|"&amp;C1015&amp;"|"&amp;D1015&amp;"|"&amp;G1015</f>
        <v>Кабири Хучанд ООО, Таджикистан|Шкала|Расходные материалы|1</v>
      </c>
      <c t="str" r="R1015" s="6">
        <f>A1015&amp;"|"&amp;C1015&amp;"|"&amp;D1015&amp;"|"&amp;J1015</f>
        <v>Кабири Хучанд ООО, Таджикистан|Шкала|Расходные материалы|4</v>
      </c>
      <c t="str" r="S1015" s="6">
        <f>A1015&amp;"|"&amp;C1015&amp;"|"&amp;D1015&amp;"|"&amp;G1015&amp;"|"&amp;J1015</f>
        <v>Кабири Хучанд ООО, Таджикистан|Шкала|Расходные материалы|1|4</v>
      </c>
      <c t="str" r="T1015" s="6">
        <f>A1015&amp;"|"&amp;C1015&amp;"|"&amp;G1015</f>
        <v>Кабири Хучанд ООО, Таджикистан|Шкала|1</v>
      </c>
      <c t="str" r="U1015" s="6">
        <f>IF(H1015="да",A1015&amp;"|"&amp;C1015&amp;"|"&amp;D1015&amp;"|"&amp;J1015,"")</f>
        <v/>
      </c>
      <c t="str" r="V1015" s="6">
        <f>IF(C1015="План",A1015&amp;"|"&amp;J1015,"")</f>
        <v/>
      </c>
    </row>
    <row r="1016">
      <c r="A1016" s="3" t="inlineStr">
        <is>
          <t>Кабири Хучанд ООО, Таджикистан</t>
        </is>
      </c>
      <c r="B1016" s="3" t="inlineStr">
        <is>
          <t>Заруб</t>
        </is>
      </c>
      <c r="C1016" s="3" t="inlineStr">
        <is>
          <t>Шкала</t>
        </is>
      </c>
      <c r="D1016" s="3" t="inlineStr">
        <is>
          <t>Расходные материалы</t>
        </is>
      </c>
      <c r="E1016" s="3" t="inlineStr">
        <is>
          <t>Расходные материалы — за полугодие</t>
        </is>
      </c>
      <c r="F1016" s="3" t="inlineStr">
        <is>
          <t>Объем закупок РМ</t>
        </is>
      </c>
      <c r="G1016" s="4" t="n">
        <v>1</v>
      </c>
      <c r="H1016" s="4" t="n"/>
      <c r="I1016" s="3" t="inlineStr">
        <is>
          <t>55-64</t>
        </is>
      </c>
      <c r="J1016" s="4" t="n">
        <v>5</v>
      </c>
      <c r="K1016" s="4" t="n"/>
      <c r="L1016" s="4" t="n"/>
      <c r="M1016" s="8" t="n">
        <v>0.04</v>
      </c>
      <c r="N1016" s="4" t="inlineStr">
        <is>
          <t>%</t>
        </is>
      </c>
      <c r="O1016" s="3" t="inlineStr">
        <is>
          <t>Кабири Хучанд ООО</t>
        </is>
      </c>
      <c r="P1016" s="3" t="inlineStr">
        <is>
          <t>I21</t>
        </is>
      </c>
      <c t="str" r="Q1016" s="6">
        <f>A1016&amp;"|"&amp;C1016&amp;"|"&amp;D1016&amp;"|"&amp;G1016</f>
        <v>Кабири Хучанд ООО, Таджикистан|Шкала|Расходные материалы|1</v>
      </c>
      <c t="str" r="R1016" s="6">
        <f>A1016&amp;"|"&amp;C1016&amp;"|"&amp;D1016&amp;"|"&amp;J1016</f>
        <v>Кабири Хучанд ООО, Таджикистан|Шкала|Расходные материалы|5</v>
      </c>
      <c t="str" r="S1016" s="6">
        <f>A1016&amp;"|"&amp;C1016&amp;"|"&amp;D1016&amp;"|"&amp;G1016&amp;"|"&amp;J1016</f>
        <v>Кабири Хучанд ООО, Таджикистан|Шкала|Расходные материалы|1|5</v>
      </c>
      <c t="str" r="T1016" s="6">
        <f>A1016&amp;"|"&amp;C1016&amp;"|"&amp;G1016</f>
        <v>Кабири Хучанд ООО, Таджикистан|Шкала|1</v>
      </c>
      <c t="str" r="U1016" s="6">
        <f>IF(H1016="да",A1016&amp;"|"&amp;C1016&amp;"|"&amp;D1016&amp;"|"&amp;J1016,"")</f>
        <v/>
      </c>
      <c t="str" r="V1016" s="6">
        <f>IF(C1016="План",A1016&amp;"|"&amp;J1016,"")</f>
        <v/>
      </c>
    </row>
    <row r="1017">
      <c r="A1017" s="3" t="inlineStr">
        <is>
          <t>Кабири Хучанд ООО, Таджикистан</t>
        </is>
      </c>
      <c r="B1017" s="3" t="inlineStr">
        <is>
          <t>Заруб</t>
        </is>
      </c>
      <c r="C1017" s="3" t="inlineStr">
        <is>
          <t>Шкала</t>
        </is>
      </c>
      <c r="D1017" s="3" t="inlineStr">
        <is>
          <t>Расходные материалы</t>
        </is>
      </c>
      <c r="E1017" s="3" t="inlineStr">
        <is>
          <t>Расходные материалы — за полугодие</t>
        </is>
      </c>
      <c r="F1017" s="3" t="inlineStr">
        <is>
          <t>Объем закупок РМ</t>
        </is>
      </c>
      <c r="G1017" s="4" t="n">
        <v>1</v>
      </c>
      <c r="H1017" s="4" t="n"/>
      <c r="I1017" s="3" t="inlineStr">
        <is>
          <t>65 и более</t>
        </is>
      </c>
      <c r="J1017" s="4" t="n">
        <v>6</v>
      </c>
      <c r="K1017" s="4" t="n"/>
      <c r="L1017" s="4" t="n"/>
      <c r="M1017" s="8" t="n">
        <v>0.05</v>
      </c>
      <c r="N1017" s="4" t="inlineStr">
        <is>
          <t>%</t>
        </is>
      </c>
      <c r="O1017" s="3" t="inlineStr">
        <is>
          <t>Кабири Хучанд ООО</t>
        </is>
      </c>
      <c r="P1017" s="3" t="inlineStr">
        <is>
          <t>J21</t>
        </is>
      </c>
      <c t="str" r="Q1017" s="6">
        <f>A1017&amp;"|"&amp;C1017&amp;"|"&amp;D1017&amp;"|"&amp;G1017</f>
        <v>Кабири Хучанд ООО, Таджикистан|Шкала|Расходные материалы|1</v>
      </c>
      <c t="str" r="R1017" s="6">
        <f>A1017&amp;"|"&amp;C1017&amp;"|"&amp;D1017&amp;"|"&amp;J1017</f>
        <v>Кабири Хучанд ООО, Таджикистан|Шкала|Расходные материалы|6</v>
      </c>
      <c t="str" r="S1017" s="6">
        <f>A1017&amp;"|"&amp;C1017&amp;"|"&amp;D1017&amp;"|"&amp;G1017&amp;"|"&amp;J1017</f>
        <v>Кабири Хучанд ООО, Таджикистан|Шкала|Расходные материалы|1|6</v>
      </c>
      <c t="str" r="T1017" s="6">
        <f>A1017&amp;"|"&amp;C1017&amp;"|"&amp;G1017</f>
        <v>Кабири Хучанд ООО, Таджикистан|Шкала|1</v>
      </c>
      <c t="str" r="U1017" s="6">
        <f>IF(H1017="да",A1017&amp;"|"&amp;C1017&amp;"|"&amp;D1017&amp;"|"&amp;J1017,"")</f>
        <v/>
      </c>
      <c t="str" r="V1017" s="6">
        <f>IF(C1017="План",A1017&amp;"|"&amp;J1017,"")</f>
        <v/>
      </c>
    </row>
    <row r="1018">
      <c r="A1018" s="3" t="inlineStr">
        <is>
          <t>Кабири Хучанд ООО, Таджикистан</t>
        </is>
      </c>
      <c r="B1018" s="3" t="inlineStr">
        <is>
          <t>Заруб</t>
        </is>
      </c>
      <c r="C1018" s="3" t="inlineStr">
        <is>
          <t>Шкала</t>
        </is>
      </c>
      <c r="D1018" s="3" t="inlineStr">
        <is>
          <t>Сервис (ЗЧ)</t>
        </is>
      </c>
      <c r="E1018" s="3" t="inlineStr">
        <is>
          <t>Сервис (ЗЧ) — абсолютные отгрузки за 12 месяцев</t>
        </is>
      </c>
      <c r="F1018" s="3" t="inlineStr">
        <is>
          <t>Скидка по сервису</t>
        </is>
      </c>
      <c r="G1018" s="4" t="n">
        <v>1</v>
      </c>
      <c r="H1018" s="4" t="inlineStr">
        <is>
          <t>да</t>
        </is>
      </c>
      <c r="I1018" s="3" t="inlineStr">
        <is>
          <t>0–7000</t>
        </is>
      </c>
      <c r="J1018" s="4" t="n">
        <v>1</v>
      </c>
      <c r="K1018" s="4" t="n">
        <v>0</v>
      </c>
      <c r="L1018" s="4" t="n">
        <v>7000</v>
      </c>
      <c r="M1018" s="8" t="n">
        <v>0.1</v>
      </c>
      <c r="N1018" s="4" t="inlineStr">
        <is>
          <t>%</t>
        </is>
      </c>
      <c r="O1018" s="3" t="inlineStr">
        <is>
          <t>Кабири Хучанд ООО</t>
        </is>
      </c>
      <c r="P1018" s="3" t="inlineStr">
        <is>
          <t>F24</t>
        </is>
      </c>
      <c t="str" r="Q1018" s="6">
        <f>A1018&amp;"|"&amp;C1018&amp;"|"&amp;D1018&amp;"|"&amp;G1018</f>
        <v>Кабири Хучанд ООО, Таджикистан|Шкала|Сервис (ЗЧ)|1</v>
      </c>
      <c t="str" r="R1018" s="6">
        <f>A1018&amp;"|"&amp;C1018&amp;"|"&amp;D1018&amp;"|"&amp;J1018</f>
        <v>Кабири Хучанд ООО, Таджикистан|Шкала|Сервис (ЗЧ)|1</v>
      </c>
      <c t="str" r="S1018" s="6">
        <f>A1018&amp;"|"&amp;C1018&amp;"|"&amp;D1018&amp;"|"&amp;G1018&amp;"|"&amp;J1018</f>
        <v>Кабири Хучанд ООО, Таджикистан|Шкала|Сервис (ЗЧ)|1|1</v>
      </c>
      <c t="str" r="T1018" s="6">
        <f>A1018&amp;"|"&amp;C1018&amp;"|"&amp;G1018</f>
        <v>Кабири Хучанд ООО, Таджикистан|Шкала|1</v>
      </c>
      <c t="str" r="U1018" s="6">
        <f>IF(H1018="да",A1018&amp;"|"&amp;C1018&amp;"|"&amp;D1018&amp;"|"&amp;J1018,"")</f>
        <v>Кабири Хучанд ООО, Таджикистан|Шкала|Сервис (ЗЧ)|1</v>
      </c>
      <c t="str" r="V1018" s="6">
        <f>IF(C1018="План",A1018&amp;"|"&amp;J1018,"")</f>
        <v/>
      </c>
    </row>
    <row r="1019">
      <c r="A1019" s="3" t="inlineStr">
        <is>
          <t>Кабири Хучанд ООО, Таджикистан</t>
        </is>
      </c>
      <c r="B1019" s="3" t="inlineStr">
        <is>
          <t>Заруб</t>
        </is>
      </c>
      <c r="C1019" s="3" t="inlineStr">
        <is>
          <t>Шкала</t>
        </is>
      </c>
      <c r="D1019" s="3" t="inlineStr">
        <is>
          <t>Сервис (ЗЧ)</t>
        </is>
      </c>
      <c r="E1019" s="3" t="inlineStr">
        <is>
          <t>Сервис (ЗЧ) — абсолютные отгрузки за 12 месяцев</t>
        </is>
      </c>
      <c r="F1019" s="3" t="inlineStr">
        <is>
          <t>Скидка по сервису</t>
        </is>
      </c>
      <c r="G1019" s="4" t="n">
        <v>1</v>
      </c>
      <c r="H1019" s="4" t="inlineStr">
        <is>
          <t>да</t>
        </is>
      </c>
      <c r="I1019" s="3" t="inlineStr">
        <is>
          <t>7001–19000</t>
        </is>
      </c>
      <c r="J1019" s="4" t="n">
        <v>2</v>
      </c>
      <c r="K1019" s="4" t="n">
        <v>7001</v>
      </c>
      <c r="L1019" s="4" t="n">
        <v>19000</v>
      </c>
      <c r="M1019" s="8" t="n">
        <v>0.11</v>
      </c>
      <c r="N1019" s="4" t="inlineStr">
        <is>
          <t>%</t>
        </is>
      </c>
      <c r="O1019" s="3" t="inlineStr">
        <is>
          <t>Кабири Хучанд ООО</t>
        </is>
      </c>
      <c r="P1019" s="3" t="inlineStr">
        <is>
          <t>F25</t>
        </is>
      </c>
      <c t="str" r="Q1019" s="6">
        <f>A1019&amp;"|"&amp;C1019&amp;"|"&amp;D1019&amp;"|"&amp;G1019</f>
        <v>Кабири Хучанд ООО, Таджикистан|Шкала|Сервис (ЗЧ)|1</v>
      </c>
      <c t="str" r="R1019" s="6">
        <f>A1019&amp;"|"&amp;C1019&amp;"|"&amp;D1019&amp;"|"&amp;J1019</f>
        <v>Кабири Хучанд ООО, Таджикистан|Шкала|Сервис (ЗЧ)|2</v>
      </c>
      <c t="str" r="S1019" s="6">
        <f>A1019&amp;"|"&amp;C1019&amp;"|"&amp;D1019&amp;"|"&amp;G1019&amp;"|"&amp;J1019</f>
        <v>Кабири Хучанд ООО, Таджикистан|Шкала|Сервис (ЗЧ)|1|2</v>
      </c>
      <c t="str" r="T1019" s="6">
        <f>A1019&amp;"|"&amp;C1019&amp;"|"&amp;G1019</f>
        <v>Кабири Хучанд ООО, Таджикистан|Шкала|1</v>
      </c>
      <c t="str" r="U1019" s="6">
        <f>IF(H1019="да",A1019&amp;"|"&amp;C1019&amp;"|"&amp;D1019&amp;"|"&amp;J1019,"")</f>
        <v>Кабири Хучанд ООО, Таджикистан|Шкала|Сервис (ЗЧ)|2</v>
      </c>
      <c t="str" r="V1019" s="6">
        <f>IF(C1019="План",A1019&amp;"|"&amp;J1019,"")</f>
        <v/>
      </c>
    </row>
    <row r="1020">
      <c r="A1020" s="3" t="inlineStr">
        <is>
          <t>Кабири Хучанд ООО, Таджикистан</t>
        </is>
      </c>
      <c r="B1020" s="3" t="inlineStr">
        <is>
          <t>Заруб</t>
        </is>
      </c>
      <c r="C1020" s="3" t="inlineStr">
        <is>
          <t>Шкала</t>
        </is>
      </c>
      <c r="D1020" s="3" t="inlineStr">
        <is>
          <t>Сервис (ЗЧ)</t>
        </is>
      </c>
      <c r="E1020" s="3" t="inlineStr">
        <is>
          <t>Сервис (ЗЧ) — абсолютные отгрузки за 12 месяцев</t>
        </is>
      </c>
      <c r="F1020" s="3" t="inlineStr">
        <is>
          <t>Скидка по сервису</t>
        </is>
      </c>
      <c r="G1020" s="4" t="n">
        <v>1</v>
      </c>
      <c r="H1020" s="4" t="inlineStr">
        <is>
          <t>да</t>
        </is>
      </c>
      <c r="I1020" s="3" t="inlineStr">
        <is>
          <t>19001–24000</t>
        </is>
      </c>
      <c r="J1020" s="4" t="n">
        <v>3</v>
      </c>
      <c r="K1020" s="4" t="n">
        <v>19001</v>
      </c>
      <c r="L1020" s="4" t="n">
        <v>24000</v>
      </c>
      <c r="M1020" s="8" t="n">
        <v>0.13</v>
      </c>
      <c r="N1020" s="4" t="inlineStr">
        <is>
          <t>%</t>
        </is>
      </c>
      <c r="O1020" s="3" t="inlineStr">
        <is>
          <t>Кабири Хучанд ООО</t>
        </is>
      </c>
      <c r="P1020" s="3" t="inlineStr">
        <is>
          <t>F26</t>
        </is>
      </c>
      <c t="str" r="Q1020" s="6">
        <f>A1020&amp;"|"&amp;C1020&amp;"|"&amp;D1020&amp;"|"&amp;G1020</f>
        <v>Кабири Хучанд ООО, Таджикистан|Шкала|Сервис (ЗЧ)|1</v>
      </c>
      <c t="str" r="R1020" s="6">
        <f>A1020&amp;"|"&amp;C1020&amp;"|"&amp;D1020&amp;"|"&amp;J1020</f>
        <v>Кабири Хучанд ООО, Таджикистан|Шкала|Сервис (ЗЧ)|3</v>
      </c>
      <c t="str" r="S1020" s="6">
        <f>A1020&amp;"|"&amp;C1020&amp;"|"&amp;D1020&amp;"|"&amp;G1020&amp;"|"&amp;J1020</f>
        <v>Кабири Хучанд ООО, Таджикистан|Шкала|Сервис (ЗЧ)|1|3</v>
      </c>
      <c t="str" r="T1020" s="6">
        <f>A1020&amp;"|"&amp;C1020&amp;"|"&amp;G1020</f>
        <v>Кабири Хучанд ООО, Таджикистан|Шкала|1</v>
      </c>
      <c t="str" r="U1020" s="6">
        <f>IF(H1020="да",A1020&amp;"|"&amp;C1020&amp;"|"&amp;D1020&amp;"|"&amp;J1020,"")</f>
        <v>Кабири Хучанд ООО, Таджикистан|Шкала|Сервис (ЗЧ)|3</v>
      </c>
      <c t="str" r="V1020" s="6">
        <f>IF(C1020="План",A1020&amp;"|"&amp;J1020,"")</f>
        <v/>
      </c>
    </row>
    <row r="1021">
      <c r="A1021" s="3" t="inlineStr">
        <is>
          <t>Кабири Хучанд ООО, Таджикистан</t>
        </is>
      </c>
      <c r="B1021" s="3" t="inlineStr">
        <is>
          <t>Заруб</t>
        </is>
      </c>
      <c r="C1021" s="3" t="inlineStr">
        <is>
          <t>Шкала</t>
        </is>
      </c>
      <c r="D1021" s="3" t="inlineStr">
        <is>
          <t>Сервис (ЗЧ)</t>
        </is>
      </c>
      <c r="E1021" s="3" t="inlineStr">
        <is>
          <t>Сервис (ЗЧ) — абсолютные отгрузки за 12 месяцев</t>
        </is>
      </c>
      <c r="F1021" s="3" t="inlineStr">
        <is>
          <t>Скидка по сервису</t>
        </is>
      </c>
      <c r="G1021" s="4" t="n">
        <v>1</v>
      </c>
      <c r="H1021" s="4" t="inlineStr">
        <is>
          <t>да</t>
        </is>
      </c>
      <c r="I1021" s="3" t="inlineStr">
        <is>
          <t>24001–28000</t>
        </is>
      </c>
      <c r="J1021" s="4" t="n">
        <v>4</v>
      </c>
      <c r="K1021" s="4" t="n">
        <v>24001</v>
      </c>
      <c r="L1021" s="4" t="n">
        <v>28000</v>
      </c>
      <c r="M1021" s="8" t="n">
        <v>0.14</v>
      </c>
      <c r="N1021" s="4" t="inlineStr">
        <is>
          <t>%</t>
        </is>
      </c>
      <c r="O1021" s="3" t="inlineStr">
        <is>
          <t>Кабири Хучанд ООО</t>
        </is>
      </c>
      <c r="P1021" s="3" t="inlineStr">
        <is>
          <t>F27</t>
        </is>
      </c>
      <c t="str" r="Q1021" s="6">
        <f>A1021&amp;"|"&amp;C1021&amp;"|"&amp;D1021&amp;"|"&amp;G1021</f>
        <v>Кабири Хучанд ООО, Таджикистан|Шкала|Сервис (ЗЧ)|1</v>
      </c>
      <c t="str" r="R1021" s="6">
        <f>A1021&amp;"|"&amp;C1021&amp;"|"&amp;D1021&amp;"|"&amp;J1021</f>
        <v>Кабири Хучанд ООО, Таджикистан|Шкала|Сервис (ЗЧ)|4</v>
      </c>
      <c t="str" r="S1021" s="6">
        <f>A1021&amp;"|"&amp;C1021&amp;"|"&amp;D1021&amp;"|"&amp;G1021&amp;"|"&amp;J1021</f>
        <v>Кабири Хучанд ООО, Таджикистан|Шкала|Сервис (ЗЧ)|1|4</v>
      </c>
      <c t="str" r="T1021" s="6">
        <f>A1021&amp;"|"&amp;C1021&amp;"|"&amp;G1021</f>
        <v>Кабири Хучанд ООО, Таджикистан|Шкала|1</v>
      </c>
      <c t="str" r="U1021" s="6">
        <f>IF(H1021="да",A1021&amp;"|"&amp;C1021&amp;"|"&amp;D1021&amp;"|"&amp;J1021,"")</f>
        <v>Кабири Хучанд ООО, Таджикистан|Шкала|Сервис (ЗЧ)|4</v>
      </c>
      <c t="str" r="V1021" s="6">
        <f>IF(C1021="План",A1021&amp;"|"&amp;J1021,"")</f>
        <v/>
      </c>
    </row>
    <row r="1022">
      <c r="A1022" s="3" t="inlineStr">
        <is>
          <t>Кабири Хучанд ООО, Таджикистан</t>
        </is>
      </c>
      <c r="B1022" s="3" t="inlineStr">
        <is>
          <t>Заруб</t>
        </is>
      </c>
      <c r="C1022" s="3" t="inlineStr">
        <is>
          <t>Шкала</t>
        </is>
      </c>
      <c r="D1022" s="3" t="inlineStr">
        <is>
          <t>Сервис (ЗЧ)</t>
        </is>
      </c>
      <c r="E1022" s="3" t="inlineStr">
        <is>
          <t>Сервис (ЗЧ) — абсолютные отгрузки за 12 месяцев</t>
        </is>
      </c>
      <c r="F1022" s="3" t="inlineStr">
        <is>
          <t>Скидка по сервису</t>
        </is>
      </c>
      <c r="G1022" s="4" t="n">
        <v>1</v>
      </c>
      <c r="H1022" s="4" t="inlineStr">
        <is>
          <t>да</t>
        </is>
      </c>
      <c r="I1022" s="3" t="inlineStr">
        <is>
          <t>28001–40000</t>
        </is>
      </c>
      <c r="J1022" s="4" t="n">
        <v>5</v>
      </c>
      <c r="K1022" s="4" t="n">
        <v>28001</v>
      </c>
      <c r="L1022" s="4" t="n">
        <v>40000</v>
      </c>
      <c r="M1022" s="8" t="n">
        <v>0.15</v>
      </c>
      <c r="N1022" s="4" t="inlineStr">
        <is>
          <t>%</t>
        </is>
      </c>
      <c r="O1022" s="3" t="inlineStr">
        <is>
          <t>Кабири Хучанд ООО</t>
        </is>
      </c>
      <c r="P1022" s="3" t="inlineStr">
        <is>
          <t>F28</t>
        </is>
      </c>
      <c t="str" r="Q1022" s="6">
        <f>A1022&amp;"|"&amp;C1022&amp;"|"&amp;D1022&amp;"|"&amp;G1022</f>
        <v>Кабири Хучанд ООО, Таджикистан|Шкала|Сервис (ЗЧ)|1</v>
      </c>
      <c t="str" r="R1022" s="6">
        <f>A1022&amp;"|"&amp;C1022&amp;"|"&amp;D1022&amp;"|"&amp;J1022</f>
        <v>Кабири Хучанд ООО, Таджикистан|Шкала|Сервис (ЗЧ)|5</v>
      </c>
      <c t="str" r="S1022" s="6">
        <f>A1022&amp;"|"&amp;C1022&amp;"|"&amp;D1022&amp;"|"&amp;G1022&amp;"|"&amp;J1022</f>
        <v>Кабири Хучанд ООО, Таджикистан|Шкала|Сервис (ЗЧ)|1|5</v>
      </c>
      <c t="str" r="T1022" s="6">
        <f>A1022&amp;"|"&amp;C1022&amp;"|"&amp;G1022</f>
        <v>Кабири Хучанд ООО, Таджикистан|Шкала|1</v>
      </c>
      <c t="str" r="U1022" s="6">
        <f>IF(H1022="да",A1022&amp;"|"&amp;C1022&amp;"|"&amp;D1022&amp;"|"&amp;J1022,"")</f>
        <v>Кабири Хучанд ООО, Таджикистан|Шкала|Сервис (ЗЧ)|5</v>
      </c>
      <c t="str" r="V1022" s="6">
        <f>IF(C1022="План",A1022&amp;"|"&amp;J1022,"")</f>
        <v/>
      </c>
    </row>
    <row r="1023">
      <c r="A1023" s="3" t="inlineStr">
        <is>
          <t>Кабири Хучанд ООО, Таджикистан</t>
        </is>
      </c>
      <c r="B1023" s="3" t="inlineStr">
        <is>
          <t>Заруб</t>
        </is>
      </c>
      <c r="C1023" s="3" t="inlineStr">
        <is>
          <t>Шкала</t>
        </is>
      </c>
      <c r="D1023" s="3" t="inlineStr">
        <is>
          <t>Сервис (ЗЧ)</t>
        </is>
      </c>
      <c r="E1023" s="3" t="inlineStr">
        <is>
          <t>Сервис (ЗЧ) — абсолютные отгрузки за 12 месяцев</t>
        </is>
      </c>
      <c r="F1023" s="3" t="inlineStr">
        <is>
          <t>Скидка по сервису</t>
        </is>
      </c>
      <c r="G1023" s="4" t="n">
        <v>1</v>
      </c>
      <c r="H1023" s="4" t="inlineStr">
        <is>
          <t>да</t>
        </is>
      </c>
      <c r="I1023" s="3" t="inlineStr">
        <is>
          <t>40001–48000</t>
        </is>
      </c>
      <c r="J1023" s="4" t="n">
        <v>6</v>
      </c>
      <c r="K1023" s="4" t="n">
        <v>40001</v>
      </c>
      <c r="L1023" s="4" t="n">
        <v>48000</v>
      </c>
      <c r="M1023" s="8" t="n">
        <v>0.16</v>
      </c>
      <c r="N1023" s="4" t="inlineStr">
        <is>
          <t>%</t>
        </is>
      </c>
      <c r="O1023" s="3" t="inlineStr">
        <is>
          <t>Кабири Хучанд ООО</t>
        </is>
      </c>
      <c r="P1023" s="3" t="inlineStr">
        <is>
          <t>F29</t>
        </is>
      </c>
      <c t="str" r="Q1023" s="6">
        <f>A1023&amp;"|"&amp;C1023&amp;"|"&amp;D1023&amp;"|"&amp;G1023</f>
        <v>Кабири Хучанд ООО, Таджикистан|Шкала|Сервис (ЗЧ)|1</v>
      </c>
      <c t="str" r="R1023" s="6">
        <f>A1023&amp;"|"&amp;C1023&amp;"|"&amp;D1023&amp;"|"&amp;J1023</f>
        <v>Кабири Хучанд ООО, Таджикистан|Шкала|Сервис (ЗЧ)|6</v>
      </c>
      <c t="str" r="S1023" s="6">
        <f>A1023&amp;"|"&amp;C1023&amp;"|"&amp;D1023&amp;"|"&amp;G1023&amp;"|"&amp;J1023</f>
        <v>Кабири Хучанд ООО, Таджикистан|Шкала|Сервис (ЗЧ)|1|6</v>
      </c>
      <c t="str" r="T1023" s="6">
        <f>A1023&amp;"|"&amp;C1023&amp;"|"&amp;G1023</f>
        <v>Кабири Хучанд ООО, Таджикистан|Шкала|1</v>
      </c>
      <c t="str" r="U1023" s="6">
        <f>IF(H1023="да",A1023&amp;"|"&amp;C1023&amp;"|"&amp;D1023&amp;"|"&amp;J1023,"")</f>
        <v>Кабири Хучанд ООО, Таджикистан|Шкала|Сервис (ЗЧ)|6</v>
      </c>
      <c t="str" r="V1023" s="6">
        <f>IF(C1023="План",A1023&amp;"|"&amp;J1023,"")</f>
        <v/>
      </c>
    </row>
    <row r="1024">
      <c r="A1024" s="3" t="inlineStr">
        <is>
          <t>Кабири Хучанд ООО, Таджикистан</t>
        </is>
      </c>
      <c r="B1024" s="3" t="inlineStr">
        <is>
          <t>Заруб</t>
        </is>
      </c>
      <c r="C1024" s="3" t="inlineStr">
        <is>
          <t>Шкала</t>
        </is>
      </c>
      <c r="D1024" s="3" t="inlineStr">
        <is>
          <t>Сервис (ЗЧ)</t>
        </is>
      </c>
      <c r="E1024" s="3" t="inlineStr">
        <is>
          <t>Сервис (ЗЧ) — абсолютные отгрузки за 12 месяцев</t>
        </is>
      </c>
      <c r="F1024" s="3" t="inlineStr">
        <is>
          <t>Скидка по сервису</t>
        </is>
      </c>
      <c r="G1024" s="4" t="n">
        <v>1</v>
      </c>
      <c r="H1024" s="4" t="inlineStr">
        <is>
          <t>да</t>
        </is>
      </c>
      <c r="I1024" s="3" t="inlineStr">
        <is>
          <t>48001–60000</t>
        </is>
      </c>
      <c r="J1024" s="4" t="n">
        <v>7</v>
      </c>
      <c r="K1024" s="4" t="n">
        <v>48001</v>
      </c>
      <c r="L1024" s="4" t="n">
        <v>60000</v>
      </c>
      <c r="M1024" s="8" t="n">
        <v>0.17</v>
      </c>
      <c r="N1024" s="4" t="inlineStr">
        <is>
          <t>%</t>
        </is>
      </c>
      <c r="O1024" s="3" t="inlineStr">
        <is>
          <t>Кабири Хучанд ООО</t>
        </is>
      </c>
      <c r="P1024" s="3" t="inlineStr">
        <is>
          <t>F30</t>
        </is>
      </c>
      <c t="str" r="Q1024" s="6">
        <f>A1024&amp;"|"&amp;C1024&amp;"|"&amp;D1024&amp;"|"&amp;G1024</f>
        <v>Кабири Хучанд ООО, Таджикистан|Шкала|Сервис (ЗЧ)|1</v>
      </c>
      <c t="str" r="R1024" s="6">
        <f>A1024&amp;"|"&amp;C1024&amp;"|"&amp;D1024&amp;"|"&amp;J1024</f>
        <v>Кабири Хучанд ООО, Таджикистан|Шкала|Сервис (ЗЧ)|7</v>
      </c>
      <c t="str" r="S1024" s="6">
        <f>A1024&amp;"|"&amp;C1024&amp;"|"&amp;D1024&amp;"|"&amp;G1024&amp;"|"&amp;J1024</f>
        <v>Кабири Хучанд ООО, Таджикистан|Шкала|Сервис (ЗЧ)|1|7</v>
      </c>
      <c t="str" r="T1024" s="6">
        <f>A1024&amp;"|"&amp;C1024&amp;"|"&amp;G1024</f>
        <v>Кабири Хучанд ООО, Таджикистан|Шкала|1</v>
      </c>
      <c t="str" r="U1024" s="6">
        <f>IF(H1024="да",A1024&amp;"|"&amp;C1024&amp;"|"&amp;D1024&amp;"|"&amp;J1024,"")</f>
        <v>Кабири Хучанд ООО, Таджикистан|Шкала|Сервис (ЗЧ)|7</v>
      </c>
      <c t="str" r="V1024" s="6">
        <f>IF(C1024="План",A1024&amp;"|"&amp;J1024,"")</f>
        <v/>
      </c>
    </row>
    <row r="1025">
      <c r="A1025" s="3" t="inlineStr">
        <is>
          <t>Кабири Хучанд ООО, Таджикистан</t>
        </is>
      </c>
      <c r="B1025" s="3" t="inlineStr">
        <is>
          <t>Заруб</t>
        </is>
      </c>
      <c r="C1025" s="3" t="inlineStr">
        <is>
          <t>Шкала</t>
        </is>
      </c>
      <c r="D1025" s="3" t="inlineStr">
        <is>
          <t>Сервис (ЗЧ)</t>
        </is>
      </c>
      <c r="E1025" s="3" t="inlineStr">
        <is>
          <t>Сервис (ЗЧ) — абсолютные отгрузки за 12 месяцев</t>
        </is>
      </c>
      <c r="F1025" s="3" t="inlineStr">
        <is>
          <t>Скидка по сервису</t>
        </is>
      </c>
      <c r="G1025" s="4" t="n">
        <v>1</v>
      </c>
      <c r="H1025" s="4" t="inlineStr">
        <is>
          <t>да</t>
        </is>
      </c>
      <c r="I1025" s="3" t="inlineStr">
        <is>
          <t>60001–75000</t>
        </is>
      </c>
      <c r="J1025" s="4" t="n">
        <v>8</v>
      </c>
      <c r="K1025" s="4" t="n">
        <v>60001</v>
      </c>
      <c r="L1025" s="4" t="n">
        <v>75000</v>
      </c>
      <c r="M1025" s="8" t="n">
        <v>0.18</v>
      </c>
      <c r="N1025" s="4" t="inlineStr">
        <is>
          <t>%</t>
        </is>
      </c>
      <c r="O1025" s="3" t="inlineStr">
        <is>
          <t>Кабири Хучанд ООО</t>
        </is>
      </c>
      <c r="P1025" s="3" t="inlineStr">
        <is>
          <t>F31</t>
        </is>
      </c>
      <c t="str" r="Q1025" s="6">
        <f>A1025&amp;"|"&amp;C1025&amp;"|"&amp;D1025&amp;"|"&amp;G1025</f>
        <v>Кабири Хучанд ООО, Таджикистан|Шкала|Сервис (ЗЧ)|1</v>
      </c>
      <c t="str" r="R1025" s="6">
        <f>A1025&amp;"|"&amp;C1025&amp;"|"&amp;D1025&amp;"|"&amp;J1025</f>
        <v>Кабири Хучанд ООО, Таджикистан|Шкала|Сервис (ЗЧ)|8</v>
      </c>
      <c t="str" r="S1025" s="6">
        <f>A1025&amp;"|"&amp;C1025&amp;"|"&amp;D1025&amp;"|"&amp;G1025&amp;"|"&amp;J1025</f>
        <v>Кабири Хучанд ООО, Таджикистан|Шкала|Сервис (ЗЧ)|1|8</v>
      </c>
      <c t="str" r="T1025" s="6">
        <f>A1025&amp;"|"&amp;C1025&amp;"|"&amp;G1025</f>
        <v>Кабири Хучанд ООО, Таджикистан|Шкала|1</v>
      </c>
      <c t="str" r="U1025" s="6">
        <f>IF(H1025="да",A1025&amp;"|"&amp;C1025&amp;"|"&amp;D1025&amp;"|"&amp;J1025,"")</f>
        <v>Кабири Хучанд ООО, Таджикистан|Шкала|Сервис (ЗЧ)|8</v>
      </c>
      <c t="str" r="V1025" s="6">
        <f>IF(C1025="План",A1025&amp;"|"&amp;J1025,"")</f>
        <v/>
      </c>
    </row>
    <row r="1026">
      <c r="A1026" s="3" t="inlineStr">
        <is>
          <t>Кабири Хучанд ООО, Таджикистан</t>
        </is>
      </c>
      <c r="B1026" s="3" t="inlineStr">
        <is>
          <t>Заруб</t>
        </is>
      </c>
      <c r="C1026" s="3" t="inlineStr">
        <is>
          <t>Шкала</t>
        </is>
      </c>
      <c r="D1026" s="3" t="inlineStr">
        <is>
          <t>Сервис (ЗЧ)</t>
        </is>
      </c>
      <c r="E1026" s="3" t="inlineStr">
        <is>
          <t>Сервис (ЗЧ) — абсолютные отгрузки за 12 месяцев</t>
        </is>
      </c>
      <c r="F1026" s="3" t="inlineStr">
        <is>
          <t>Скидка по сервису</t>
        </is>
      </c>
      <c r="G1026" s="4" t="n">
        <v>1</v>
      </c>
      <c r="H1026" s="4" t="inlineStr">
        <is>
          <t>да</t>
        </is>
      </c>
      <c r="I1026" s="3" t="inlineStr">
        <is>
          <t>75001–90000</t>
        </is>
      </c>
      <c r="J1026" s="4" t="n">
        <v>9</v>
      </c>
      <c r="K1026" s="4" t="n">
        <v>75001</v>
      </c>
      <c r="L1026" s="4" t="n">
        <v>90000</v>
      </c>
      <c r="M1026" s="8" t="n">
        <v>0.19</v>
      </c>
      <c r="N1026" s="4" t="inlineStr">
        <is>
          <t>%</t>
        </is>
      </c>
      <c r="O1026" s="3" t="inlineStr">
        <is>
          <t>Кабири Хучанд ООО</t>
        </is>
      </c>
      <c r="P1026" s="3" t="inlineStr">
        <is>
          <t>F32</t>
        </is>
      </c>
      <c t="str" r="Q1026" s="6">
        <f>A1026&amp;"|"&amp;C1026&amp;"|"&amp;D1026&amp;"|"&amp;G1026</f>
        <v>Кабири Хучанд ООО, Таджикистан|Шкала|Сервис (ЗЧ)|1</v>
      </c>
      <c t="str" r="R1026" s="6">
        <f>A1026&amp;"|"&amp;C1026&amp;"|"&amp;D1026&amp;"|"&amp;J1026</f>
        <v>Кабири Хучанд ООО, Таджикистан|Шкала|Сервис (ЗЧ)|9</v>
      </c>
      <c t="str" r="S1026" s="6">
        <f>A1026&amp;"|"&amp;C1026&amp;"|"&amp;D1026&amp;"|"&amp;G1026&amp;"|"&amp;J1026</f>
        <v>Кабири Хучанд ООО, Таджикистан|Шкала|Сервис (ЗЧ)|1|9</v>
      </c>
      <c t="str" r="T1026" s="6">
        <f>A1026&amp;"|"&amp;C1026&amp;"|"&amp;G1026</f>
        <v>Кабири Хучанд ООО, Таджикистан|Шкала|1</v>
      </c>
      <c t="str" r="U1026" s="6">
        <f>IF(H1026="да",A1026&amp;"|"&amp;C1026&amp;"|"&amp;D1026&amp;"|"&amp;J1026,"")</f>
        <v>Кабири Хучанд ООО, Таджикистан|Шкала|Сервис (ЗЧ)|9</v>
      </c>
      <c t="str" r="V1026" s="6">
        <f>IF(C1026="План",A1026&amp;"|"&amp;J1026,"")</f>
        <v/>
      </c>
    </row>
    <row r="1027">
      <c r="A1027" s="3" t="inlineStr">
        <is>
          <t>Кабири Хучанд ООО, Таджикистан</t>
        </is>
      </c>
      <c r="B1027" s="3" t="inlineStr">
        <is>
          <t>Заруб</t>
        </is>
      </c>
      <c r="C1027" s="3" t="inlineStr">
        <is>
          <t>Шкала</t>
        </is>
      </c>
      <c r="D1027" s="3" t="inlineStr">
        <is>
          <t>Сервис (ЗЧ)</t>
        </is>
      </c>
      <c r="E1027" s="3" t="inlineStr">
        <is>
          <t>Сервис (ЗЧ) — абсолютные отгрузки за 12 месяцев</t>
        </is>
      </c>
      <c r="F1027" s="3" t="inlineStr">
        <is>
          <t>Скидка по сервису</t>
        </is>
      </c>
      <c r="G1027" s="4" t="n">
        <v>1</v>
      </c>
      <c r="H1027" s="4" t="inlineStr">
        <is>
          <t>да</t>
        </is>
      </c>
      <c r="I1027" s="3" t="inlineStr">
        <is>
          <t>90001–105000</t>
        </is>
      </c>
      <c r="J1027" s="4" t="n">
        <v>10</v>
      </c>
      <c r="K1027" s="4" t="n">
        <v>90001</v>
      </c>
      <c r="L1027" s="4" t="n">
        <v>105000</v>
      </c>
      <c r="M1027" s="8" t="n">
        <v>0.2</v>
      </c>
      <c r="N1027" s="4" t="inlineStr">
        <is>
          <t>%</t>
        </is>
      </c>
      <c r="O1027" s="3" t="inlineStr">
        <is>
          <t>Кабири Хучанд ООО</t>
        </is>
      </c>
      <c r="P1027" s="3" t="inlineStr">
        <is>
          <t>F33</t>
        </is>
      </c>
      <c t="str" r="Q1027" s="6">
        <f>A1027&amp;"|"&amp;C1027&amp;"|"&amp;D1027&amp;"|"&amp;G1027</f>
        <v>Кабири Хучанд ООО, Таджикистан|Шкала|Сервис (ЗЧ)|1</v>
      </c>
      <c t="str" r="R1027" s="6">
        <f>A1027&amp;"|"&amp;C1027&amp;"|"&amp;D1027&amp;"|"&amp;J1027</f>
        <v>Кабири Хучанд ООО, Таджикистан|Шкала|Сервис (ЗЧ)|10</v>
      </c>
      <c t="str" r="S1027" s="6">
        <f>A1027&amp;"|"&amp;C1027&amp;"|"&amp;D1027&amp;"|"&amp;G1027&amp;"|"&amp;J1027</f>
        <v>Кабири Хучанд ООО, Таджикистан|Шкала|Сервис (ЗЧ)|1|10</v>
      </c>
      <c t="str" r="T1027" s="6">
        <f>A1027&amp;"|"&amp;C1027&amp;"|"&amp;G1027</f>
        <v>Кабири Хучанд ООО, Таджикистан|Шкала|1</v>
      </c>
      <c t="str" r="U1027" s="6">
        <f>IF(H1027="да",A1027&amp;"|"&amp;C1027&amp;"|"&amp;D1027&amp;"|"&amp;J1027,"")</f>
        <v>Кабири Хучанд ООО, Таджикистан|Шкала|Сервис (ЗЧ)|10</v>
      </c>
      <c t="str" r="V1027" s="6">
        <f>IF(C1027="План",A1027&amp;"|"&amp;J1027,"")</f>
        <v/>
      </c>
    </row>
    <row r="1028">
      <c r="A1028" s="3" t="inlineStr">
        <is>
          <t>Кабири Хучанд ООО, Таджикистан</t>
        </is>
      </c>
      <c r="B1028" s="3" t="inlineStr">
        <is>
          <t>Заруб</t>
        </is>
      </c>
      <c r="C1028" s="3" t="inlineStr">
        <is>
          <t>Шкала</t>
        </is>
      </c>
      <c r="D1028" s="3" t="inlineStr">
        <is>
          <t>Сервис (ЗЧ)</t>
        </is>
      </c>
      <c r="E1028" s="3" t="inlineStr">
        <is>
          <t>Сервис (ЗЧ) — абсолютные отгрузки за 12 месяцев</t>
        </is>
      </c>
      <c r="F1028" s="3" t="inlineStr">
        <is>
          <t>Скидка по сервису</t>
        </is>
      </c>
      <c r="G1028" s="4" t="n">
        <v>1</v>
      </c>
      <c r="H1028" s="4" t="inlineStr">
        <is>
          <t>да</t>
        </is>
      </c>
      <c r="I1028" s="3" t="inlineStr">
        <is>
          <t>105001–115000</t>
        </is>
      </c>
      <c r="J1028" s="4" t="n">
        <v>11</v>
      </c>
      <c r="K1028" s="4" t="n">
        <v>105001</v>
      </c>
      <c r="L1028" s="4" t="n">
        <v>115000</v>
      </c>
      <c r="M1028" s="8" t="n">
        <v>0.21</v>
      </c>
      <c r="N1028" s="4" t="inlineStr">
        <is>
          <t>%</t>
        </is>
      </c>
      <c r="O1028" s="3" t="inlineStr">
        <is>
          <t>Кабири Хучанд ООО</t>
        </is>
      </c>
      <c r="P1028" s="3" t="inlineStr">
        <is>
          <t>F34</t>
        </is>
      </c>
      <c t="str" r="Q1028" s="6">
        <f>A1028&amp;"|"&amp;C1028&amp;"|"&amp;D1028&amp;"|"&amp;G1028</f>
        <v>Кабири Хучанд ООО, Таджикистан|Шкала|Сервис (ЗЧ)|1</v>
      </c>
      <c t="str" r="R1028" s="6">
        <f>A1028&amp;"|"&amp;C1028&amp;"|"&amp;D1028&amp;"|"&amp;J1028</f>
        <v>Кабири Хучанд ООО, Таджикистан|Шкала|Сервис (ЗЧ)|11</v>
      </c>
      <c t="str" r="S1028" s="6">
        <f>A1028&amp;"|"&amp;C1028&amp;"|"&amp;D1028&amp;"|"&amp;G1028&amp;"|"&amp;J1028</f>
        <v>Кабири Хучанд ООО, Таджикистан|Шкала|Сервис (ЗЧ)|1|11</v>
      </c>
      <c t="str" r="T1028" s="6">
        <f>A1028&amp;"|"&amp;C1028&amp;"|"&amp;G1028</f>
        <v>Кабири Хучанд ООО, Таджикистан|Шкала|1</v>
      </c>
      <c t="str" r="U1028" s="6">
        <f>IF(H1028="да",A1028&amp;"|"&amp;C1028&amp;"|"&amp;D1028&amp;"|"&amp;J1028,"")</f>
        <v>Кабири Хучанд ООО, Таджикистан|Шкала|Сервис (ЗЧ)|11</v>
      </c>
      <c t="str" r="V1028" s="6">
        <f>IF(C1028="План",A1028&amp;"|"&amp;J1028,"")</f>
        <v/>
      </c>
    </row>
    <row r="1029">
      <c r="A1029" s="3" t="inlineStr">
        <is>
          <t>Кабири Хучанд ООО, Таджикистан</t>
        </is>
      </c>
      <c r="B1029" s="3" t="inlineStr">
        <is>
          <t>Заруб</t>
        </is>
      </c>
      <c r="C1029" s="3" t="inlineStr">
        <is>
          <t>Шкала</t>
        </is>
      </c>
      <c r="D1029" s="3" t="inlineStr">
        <is>
          <t>Сервис (ЗЧ)</t>
        </is>
      </c>
      <c r="E1029" s="3" t="inlineStr">
        <is>
          <t>Сервис (ЗЧ) — абсолютные отгрузки за 12 месяцев</t>
        </is>
      </c>
      <c r="F1029" s="3" t="inlineStr">
        <is>
          <t>Скидка по сервису</t>
        </is>
      </c>
      <c r="G1029" s="4" t="n">
        <v>1</v>
      </c>
      <c r="H1029" s="4" t="inlineStr">
        <is>
          <t>да</t>
        </is>
      </c>
      <c r="I1029" s="3" t="inlineStr">
        <is>
          <t>115001+</t>
        </is>
      </c>
      <c r="J1029" s="4" t="n">
        <v>12</v>
      </c>
      <c r="K1029" s="4" t="n">
        <v>115001</v>
      </c>
      <c r="L1029" s="4" t="n">
        <v>0</v>
      </c>
      <c r="M1029" s="8" t="n">
        <v>0.22</v>
      </c>
      <c r="N1029" s="4" t="inlineStr">
        <is>
          <t>%</t>
        </is>
      </c>
      <c r="O1029" s="3" t="inlineStr">
        <is>
          <t>Кабири Хучанд ООО</t>
        </is>
      </c>
      <c r="P1029" s="3" t="inlineStr">
        <is>
          <t>F35</t>
        </is>
      </c>
      <c t="str" r="Q1029" s="6">
        <f>A1029&amp;"|"&amp;C1029&amp;"|"&amp;D1029&amp;"|"&amp;G1029</f>
        <v>Кабири Хучанд ООО, Таджикистан|Шкала|Сервис (ЗЧ)|1</v>
      </c>
      <c t="str" r="R1029" s="6">
        <f>A1029&amp;"|"&amp;C1029&amp;"|"&amp;D1029&amp;"|"&amp;J1029</f>
        <v>Кабири Хучанд ООО, Таджикистан|Шкала|Сервис (ЗЧ)|12</v>
      </c>
      <c t="str" r="S1029" s="6">
        <f>A1029&amp;"|"&amp;C1029&amp;"|"&amp;D1029&amp;"|"&amp;G1029&amp;"|"&amp;J1029</f>
        <v>Кабири Хучанд ООО, Таджикистан|Шкала|Сервис (ЗЧ)|1|12</v>
      </c>
      <c t="str" r="T1029" s="6">
        <f>A1029&amp;"|"&amp;C1029&amp;"|"&amp;G1029</f>
        <v>Кабири Хучанд ООО, Таджикистан|Шкала|1</v>
      </c>
      <c t="str" r="U1029" s="6">
        <f>IF(H1029="да",A1029&amp;"|"&amp;C1029&amp;"|"&amp;D1029&amp;"|"&amp;J1029,"")</f>
        <v>Кабири Хучанд ООО, Таджикистан|Шкала|Сервис (ЗЧ)|12</v>
      </c>
      <c t="str" r="V1029" s="6">
        <f>IF(C1029="План",A1029&amp;"|"&amp;J1029,"")</f>
        <v/>
      </c>
    </row>
    <row r="1030">
      <c r="A1030" s="3" t="inlineStr">
        <is>
          <t>Flexo Food , Грузия</t>
        </is>
      </c>
      <c r="B1030" s="3" t="inlineStr">
        <is>
          <t>Заруб</t>
        </is>
      </c>
      <c r="C1030" s="3" t="inlineStr">
        <is>
          <t>План</t>
        </is>
      </c>
      <c r="D1030" s="3" t="inlineStr">
        <is>
          <t>Итого по дилеру</t>
        </is>
      </c>
      <c r="E1030" s="3" t="inlineStr">
        <is>
          <t>План и бонусы</t>
        </is>
      </c>
      <c r="F1030" s="3" t="inlineStr">
        <is>
          <t>Выручка 2024</t>
        </is>
      </c>
      <c r="G1030" s="4" t="n">
        <v>1</v>
      </c>
      <c r="H1030" s="4" t="n"/>
      <c r="I1030" s="3" t="n"/>
      <c r="J1030" s="4" t="n">
        <v>1</v>
      </c>
      <c r="K1030" s="4" t="n"/>
      <c r="L1030" s="4" t="n"/>
      <c r="M1030" s="5" t="n">
        <v>75817</v>
      </c>
      <c r="N1030" s="4" t="inlineStr">
        <is>
          <t>EUR</t>
        </is>
      </c>
      <c r="O1030" s="3" t="inlineStr">
        <is>
          <t>Flexo Food Ltd, Грузия</t>
        </is>
      </c>
      <c r="P1030" s="3" t="inlineStr">
        <is>
          <t>D4</t>
        </is>
      </c>
      <c t="str" r="Q1030" s="6">
        <f>A1030&amp;"|"&amp;C1030&amp;"|"&amp;D1030&amp;"|"&amp;G1030</f>
        <v>Flexo Food , Грузия|План|Итого по дилеру|1</v>
      </c>
      <c t="str" r="R1030" s="6">
        <f>A1030&amp;"|"&amp;C1030&amp;"|"&amp;D1030&amp;"|"&amp;J1030</f>
        <v>Flexo Food , Грузия|План|Итого по дилеру|1</v>
      </c>
      <c t="str" r="S1030" s="6">
        <f>A1030&amp;"|"&amp;C1030&amp;"|"&amp;D1030&amp;"|"&amp;G1030&amp;"|"&amp;J1030</f>
        <v>Flexo Food , Грузия|План|Итого по дилеру|1|1</v>
      </c>
      <c t="str" r="T1030" s="6">
        <f>A1030&amp;"|"&amp;C1030&amp;"|"&amp;G1030</f>
        <v>Flexo Food , Грузия|План|1</v>
      </c>
      <c t="str" r="U1030" s="6">
        <f>IF(H1030="да",A1030&amp;"|"&amp;C1030&amp;"|"&amp;D1030&amp;"|"&amp;J1030,"")</f>
        <v/>
      </c>
      <c t="str" r="V1030" s="6">
        <f>IF(C1030="План",A1030&amp;"|"&amp;J1030,"")</f>
        <v>Flexo Food , Грузия|1</v>
      </c>
    </row>
    <row r="1031">
      <c r="A1031" s="3" t="inlineStr">
        <is>
          <t>Flexo Food , Грузия</t>
        </is>
      </c>
      <c r="B1031" s="3" t="inlineStr">
        <is>
          <t>Заруб</t>
        </is>
      </c>
      <c r="C1031" s="3" t="inlineStr">
        <is>
          <t>План</t>
        </is>
      </c>
      <c r="D1031" s="3" t="inlineStr">
        <is>
          <t>Итого по дилеру</t>
        </is>
      </c>
      <c r="E1031" s="3" t="inlineStr">
        <is>
          <t>План и бонусы</t>
        </is>
      </c>
      <c r="F1031" s="3" t="inlineStr">
        <is>
          <t>Выручка 2025</t>
        </is>
      </c>
      <c r="G1031" s="4" t="n">
        <v>1</v>
      </c>
      <c r="H1031" s="4" t="n"/>
      <c r="I1031" s="3" t="n"/>
      <c r="J1031" s="4" t="n">
        <v>2</v>
      </c>
      <c r="K1031" s="4" t="n"/>
      <c r="L1031" s="4" t="n"/>
      <c r="M1031" s="5" t="n">
        <v>43780</v>
      </c>
      <c r="N1031" s="4" t="inlineStr">
        <is>
          <t>EUR</t>
        </is>
      </c>
      <c r="O1031" s="3" t="inlineStr">
        <is>
          <t>Flexo Food Ltd, Грузия</t>
        </is>
      </c>
      <c r="P1031" s="3" t="inlineStr">
        <is>
          <t>E4</t>
        </is>
      </c>
      <c t="str" r="Q1031" s="6">
        <f>A1031&amp;"|"&amp;C1031&amp;"|"&amp;D1031&amp;"|"&amp;G1031</f>
        <v>Flexo Food , Грузия|План|Итого по дилеру|1</v>
      </c>
      <c t="str" r="R1031" s="6">
        <f>A1031&amp;"|"&amp;C1031&amp;"|"&amp;D1031&amp;"|"&amp;J1031</f>
        <v>Flexo Food , Грузия|План|Итого по дилеру|2</v>
      </c>
      <c t="str" r="S1031" s="6">
        <f>A1031&amp;"|"&amp;C1031&amp;"|"&amp;D1031&amp;"|"&amp;G1031&amp;"|"&amp;J1031</f>
        <v>Flexo Food , Грузия|План|Итого по дилеру|1|2</v>
      </c>
      <c t="str" r="T1031" s="6">
        <f>A1031&amp;"|"&amp;C1031&amp;"|"&amp;G1031</f>
        <v>Flexo Food , Грузия|План|1</v>
      </c>
      <c t="str" r="U1031" s="6">
        <f>IF(H1031="да",A1031&amp;"|"&amp;C1031&amp;"|"&amp;D1031&amp;"|"&amp;J1031,"")</f>
        <v/>
      </c>
      <c t="str" r="V1031" s="6">
        <f>IF(C1031="План",A1031&amp;"|"&amp;J1031,"")</f>
        <v>Flexo Food , Грузия|2</v>
      </c>
    </row>
    <row r="1032">
      <c r="A1032" s="3" t="inlineStr">
        <is>
          <t>Flexo Food , Грузия</t>
        </is>
      </c>
      <c r="B1032" s="3" t="inlineStr">
        <is>
          <t>Заруб</t>
        </is>
      </c>
      <c r="C1032" s="3" t="inlineStr">
        <is>
          <t>План</t>
        </is>
      </c>
      <c r="D1032" s="3" t="inlineStr">
        <is>
          <t>Итого по дилеру</t>
        </is>
      </c>
      <c r="E1032" s="3" t="inlineStr">
        <is>
          <t>План и бонусы</t>
        </is>
      </c>
      <c r="F1032" s="3" t="inlineStr">
        <is>
          <t>План 2026</t>
        </is>
      </c>
      <c r="G1032" s="4" t="n">
        <v>1</v>
      </c>
      <c r="H1032" s="4" t="n"/>
      <c r="I1032" s="3" t="n"/>
      <c r="J1032" s="4" t="n">
        <v>3</v>
      </c>
      <c r="K1032" s="4" t="n"/>
      <c r="L1032" s="4" t="n"/>
      <c r="M1032" s="5" t="n">
        <v>150000</v>
      </c>
      <c r="N1032" s="4" t="inlineStr">
        <is>
          <t>EUR</t>
        </is>
      </c>
      <c r="O1032" s="3" t="inlineStr">
        <is>
          <t>Flexo Food Ltd, Грузия</t>
        </is>
      </c>
      <c r="P1032" s="3" t="inlineStr">
        <is>
          <t>F4</t>
        </is>
      </c>
      <c t="str" r="Q1032" s="6">
        <f>A1032&amp;"|"&amp;C1032&amp;"|"&amp;D1032&amp;"|"&amp;G1032</f>
        <v>Flexo Food , Грузия|План|Итого по дилеру|1</v>
      </c>
      <c t="str" r="R1032" s="6">
        <f>A1032&amp;"|"&amp;C1032&amp;"|"&amp;D1032&amp;"|"&amp;J1032</f>
        <v>Flexo Food , Грузия|План|Итого по дилеру|3</v>
      </c>
      <c t="str" r="S1032" s="6">
        <f>A1032&amp;"|"&amp;C1032&amp;"|"&amp;D1032&amp;"|"&amp;G1032&amp;"|"&amp;J1032</f>
        <v>Flexo Food , Грузия|План|Итого по дилеру|1|3</v>
      </c>
      <c t="str" r="T1032" s="6">
        <f>A1032&amp;"|"&amp;C1032&amp;"|"&amp;G1032</f>
        <v>Flexo Food , Грузия|План|1</v>
      </c>
      <c t="str" r="U1032" s="6">
        <f>IF(H1032="да",A1032&amp;"|"&amp;C1032&amp;"|"&amp;D1032&amp;"|"&amp;J1032,"")</f>
        <v/>
      </c>
      <c t="str" r="V1032" s="6">
        <f>IF(C1032="План",A1032&amp;"|"&amp;J1032,"")</f>
        <v>Flexo Food , Грузия|3</v>
      </c>
    </row>
    <row r="1033">
      <c r="A1033" s="3" t="inlineStr">
        <is>
          <t>Flexo Food , Грузия</t>
        </is>
      </c>
      <c r="B1033" s="3" t="inlineStr">
        <is>
          <t>Заруб</t>
        </is>
      </c>
      <c r="C1033" s="3" t="inlineStr">
        <is>
          <t>План</t>
        </is>
      </c>
      <c r="D1033" s="3" t="inlineStr">
        <is>
          <t>Итого по дилеру</t>
        </is>
      </c>
      <c r="E1033" s="3" t="inlineStr">
        <is>
          <t>План и бонусы</t>
        </is>
      </c>
      <c r="F1033" s="3" t="inlineStr">
        <is>
          <t>Прирост П/Ф</t>
        </is>
      </c>
      <c r="G1033" s="4" t="n">
        <v>1</v>
      </c>
      <c r="H1033" s="4" t="n"/>
      <c r="I1033" s="3" t="n"/>
      <c r="J1033" s="4" t="n">
        <v>4</v>
      </c>
      <c r="K1033" s="4" t="n"/>
      <c r="L1033" s="4" t="n"/>
      <c r="M1033" s="7" t="n">
        <v>2.426222019186843</v>
      </c>
      <c r="N1033" s="4" t="inlineStr">
        <is>
          <t>%</t>
        </is>
      </c>
      <c r="O1033" s="3" t="inlineStr">
        <is>
          <t>Flexo Food Ltd, Грузия</t>
        </is>
      </c>
      <c r="P1033" s="3" t="inlineStr">
        <is>
          <t>G4</t>
        </is>
      </c>
      <c t="str" r="Q1033" s="6">
        <f>A1033&amp;"|"&amp;C1033&amp;"|"&amp;D1033&amp;"|"&amp;G1033</f>
        <v>Flexo Food , Грузия|План|Итого по дилеру|1</v>
      </c>
      <c t="str" r="R1033" s="6">
        <f>A1033&amp;"|"&amp;C1033&amp;"|"&amp;D1033&amp;"|"&amp;J1033</f>
        <v>Flexo Food , Грузия|План|Итого по дилеру|4</v>
      </c>
      <c t="str" r="S1033" s="6">
        <f>A1033&amp;"|"&amp;C1033&amp;"|"&amp;D1033&amp;"|"&amp;G1033&amp;"|"&amp;J1033</f>
        <v>Flexo Food , Грузия|План|Итого по дилеру|1|4</v>
      </c>
      <c t="str" r="T1033" s="6">
        <f>A1033&amp;"|"&amp;C1033&amp;"|"&amp;G1033</f>
        <v>Flexo Food , Грузия|План|1</v>
      </c>
      <c t="str" r="U1033" s="6">
        <f>IF(H1033="да",A1033&amp;"|"&amp;C1033&amp;"|"&amp;D1033&amp;"|"&amp;J1033,"")</f>
        <v/>
      </c>
      <c t="str" r="V1033" s="6">
        <f>IF(C1033="План",A1033&amp;"|"&amp;J1033,"")</f>
        <v>Flexo Food , Грузия|4</v>
      </c>
    </row>
    <row r="1034">
      <c r="A1034" s="3" t="inlineStr">
        <is>
          <t>Flexo Food , Грузия</t>
        </is>
      </c>
      <c r="B1034" s="3" t="inlineStr">
        <is>
          <t>Заруб</t>
        </is>
      </c>
      <c r="C1034" s="3" t="inlineStr">
        <is>
          <t>План</t>
        </is>
      </c>
      <c r="D1034" s="3" t="inlineStr">
        <is>
          <t>Сервис</t>
        </is>
      </c>
      <c r="E1034" s="3" t="inlineStr">
        <is>
          <t>План и бонусы</t>
        </is>
      </c>
      <c r="F1034" s="3" t="inlineStr">
        <is>
          <t>Выручка 2024</t>
        </is>
      </c>
      <c r="G1034" s="4" t="n">
        <v>2</v>
      </c>
      <c r="H1034" s="4" t="n"/>
      <c r="I1034" s="3" t="n"/>
      <c r="J1034" s="4" t="n">
        <v>1</v>
      </c>
      <c r="K1034" s="4" t="n"/>
      <c r="L1034" s="4" t="n"/>
      <c r="M1034" s="5" t="n">
        <v>3801</v>
      </c>
      <c r="N1034" s="4" t="inlineStr">
        <is>
          <t>EUR</t>
        </is>
      </c>
      <c r="O1034" s="3" t="inlineStr">
        <is>
          <t>Flexo Food Ltd, Грузия</t>
        </is>
      </c>
      <c r="P1034" s="3" t="inlineStr">
        <is>
          <t>D5</t>
        </is>
      </c>
      <c t="str" r="Q1034" s="6">
        <f>A1034&amp;"|"&amp;C1034&amp;"|"&amp;D1034&amp;"|"&amp;G1034</f>
        <v>Flexo Food , Грузия|План|Сервис|2</v>
      </c>
      <c t="str" r="R1034" s="6">
        <f>A1034&amp;"|"&amp;C1034&amp;"|"&amp;D1034&amp;"|"&amp;J1034</f>
        <v>Flexo Food , Грузия|План|Сервис|1</v>
      </c>
      <c t="str" r="S1034" s="6">
        <f>A1034&amp;"|"&amp;C1034&amp;"|"&amp;D1034&amp;"|"&amp;G1034&amp;"|"&amp;J1034</f>
        <v>Flexo Food , Грузия|План|Сервис|2|1</v>
      </c>
      <c t="str" r="T1034" s="6">
        <f>A1034&amp;"|"&amp;C1034&amp;"|"&amp;G1034</f>
        <v>Flexo Food , Грузия|План|2</v>
      </c>
      <c t="str" r="U1034" s="6">
        <f>IF(H1034="да",A1034&amp;"|"&amp;C1034&amp;"|"&amp;D1034&amp;"|"&amp;J1034,"")</f>
        <v/>
      </c>
      <c t="str" r="V1034" s="6">
        <f>IF(C1034="План",A1034&amp;"|"&amp;J1034,"")</f>
        <v>Flexo Food , Грузия|1</v>
      </c>
    </row>
    <row r="1035">
      <c r="A1035" s="3" t="inlineStr">
        <is>
          <t>Flexo Food , Грузия</t>
        </is>
      </c>
      <c r="B1035" s="3" t="inlineStr">
        <is>
          <t>Заруб</t>
        </is>
      </c>
      <c r="C1035" s="3" t="inlineStr">
        <is>
          <t>План</t>
        </is>
      </c>
      <c r="D1035" s="3" t="inlineStr">
        <is>
          <t>Сервис</t>
        </is>
      </c>
      <c r="E1035" s="3" t="inlineStr">
        <is>
          <t>План и бонусы</t>
        </is>
      </c>
      <c r="F1035" s="3" t="inlineStr">
        <is>
          <t>Выручка 2025</t>
        </is>
      </c>
      <c r="G1035" s="4" t="n">
        <v>2</v>
      </c>
      <c r="H1035" s="4" t="n"/>
      <c r="I1035" s="3" t="n"/>
      <c r="J1035" s="4" t="n">
        <v>2</v>
      </c>
      <c r="K1035" s="4" t="n"/>
      <c r="L1035" s="4" t="n"/>
      <c r="M1035" s="5" t="n">
        <v>12823</v>
      </c>
      <c r="N1035" s="4" t="inlineStr">
        <is>
          <t>EUR</t>
        </is>
      </c>
      <c r="O1035" s="3" t="inlineStr">
        <is>
          <t>Flexo Food Ltd, Грузия</t>
        </is>
      </c>
      <c r="P1035" s="3" t="inlineStr">
        <is>
          <t>E5</t>
        </is>
      </c>
      <c t="str" r="Q1035" s="6">
        <f>A1035&amp;"|"&amp;C1035&amp;"|"&amp;D1035&amp;"|"&amp;G1035</f>
        <v>Flexo Food , Грузия|План|Сервис|2</v>
      </c>
      <c t="str" r="R1035" s="6">
        <f>A1035&amp;"|"&amp;C1035&amp;"|"&amp;D1035&amp;"|"&amp;J1035</f>
        <v>Flexo Food , Грузия|План|Сервис|2</v>
      </c>
      <c t="str" r="S1035" s="6">
        <f>A1035&amp;"|"&amp;C1035&amp;"|"&amp;D1035&amp;"|"&amp;G1035&amp;"|"&amp;J1035</f>
        <v>Flexo Food , Грузия|План|Сервис|2|2</v>
      </c>
      <c t="str" r="T1035" s="6">
        <f>A1035&amp;"|"&amp;C1035&amp;"|"&amp;G1035</f>
        <v>Flexo Food , Грузия|План|2</v>
      </c>
      <c t="str" r="U1035" s="6">
        <f>IF(H1035="да",A1035&amp;"|"&amp;C1035&amp;"|"&amp;D1035&amp;"|"&amp;J1035,"")</f>
        <v/>
      </c>
      <c t="str" r="V1035" s="6">
        <f>IF(C1035="План",A1035&amp;"|"&amp;J1035,"")</f>
        <v>Flexo Food , Грузия|2</v>
      </c>
    </row>
    <row r="1036">
      <c r="A1036" s="3" t="inlineStr">
        <is>
          <t>Flexo Food , Грузия</t>
        </is>
      </c>
      <c r="B1036" s="3" t="inlineStr">
        <is>
          <t>Заруб</t>
        </is>
      </c>
      <c r="C1036" s="3" t="inlineStr">
        <is>
          <t>План</t>
        </is>
      </c>
      <c r="D1036" s="3" t="inlineStr">
        <is>
          <t>Сервис</t>
        </is>
      </c>
      <c r="E1036" s="3" t="inlineStr">
        <is>
          <t>План и бонусы</t>
        </is>
      </c>
      <c r="F1036" s="3" t="inlineStr">
        <is>
          <t>План 2026</t>
        </is>
      </c>
      <c r="G1036" s="4" t="n">
        <v>2</v>
      </c>
      <c r="H1036" s="4" t="n"/>
      <c r="I1036" s="3" t="n"/>
      <c r="J1036" s="4" t="n">
        <v>3</v>
      </c>
      <c r="K1036" s="4" t="n"/>
      <c r="L1036" s="4" t="n"/>
      <c r="M1036" s="5" t="n">
        <v>0</v>
      </c>
      <c r="N1036" s="4" t="inlineStr">
        <is>
          <t>EUR</t>
        </is>
      </c>
      <c r="O1036" s="3" t="inlineStr">
        <is>
          <t>Flexo Food Ltd, Грузия</t>
        </is>
      </c>
      <c r="P1036" s="3" t="inlineStr">
        <is>
          <t>F5</t>
        </is>
      </c>
      <c t="str" r="Q1036" s="6">
        <f>A1036&amp;"|"&amp;C1036&amp;"|"&amp;D1036&amp;"|"&amp;G1036</f>
        <v>Flexo Food , Грузия|План|Сервис|2</v>
      </c>
      <c t="str" r="R1036" s="6">
        <f>A1036&amp;"|"&amp;C1036&amp;"|"&amp;D1036&amp;"|"&amp;J1036</f>
        <v>Flexo Food , Грузия|План|Сервис|3</v>
      </c>
      <c t="str" r="S1036" s="6">
        <f>A1036&amp;"|"&amp;C1036&amp;"|"&amp;D1036&amp;"|"&amp;G1036&amp;"|"&amp;J1036</f>
        <v>Flexo Food , Грузия|План|Сервис|2|3</v>
      </c>
      <c t="str" r="T1036" s="6">
        <f>A1036&amp;"|"&amp;C1036&amp;"|"&amp;G1036</f>
        <v>Flexo Food , Грузия|План|2</v>
      </c>
      <c t="str" r="U1036" s="6">
        <f>IF(H1036="да",A1036&amp;"|"&amp;C1036&amp;"|"&amp;D1036&amp;"|"&amp;J1036,"")</f>
        <v/>
      </c>
      <c t="str" r="V1036" s="6">
        <f>IF(C1036="План",A1036&amp;"|"&amp;J1036,"")</f>
        <v>Flexo Food , Грузия|3</v>
      </c>
    </row>
    <row r="1037">
      <c r="A1037" s="3" t="inlineStr">
        <is>
          <t>Flexo Food , Грузия</t>
        </is>
      </c>
      <c r="B1037" s="3" t="inlineStr">
        <is>
          <t>Заруб</t>
        </is>
      </c>
      <c r="C1037" s="3" t="inlineStr">
        <is>
          <t>План</t>
        </is>
      </c>
      <c r="D1037" s="3" t="inlineStr">
        <is>
          <t>Сервис</t>
        </is>
      </c>
      <c r="E1037" s="3" t="inlineStr">
        <is>
          <t>План и бонусы</t>
        </is>
      </c>
      <c r="F1037" s="3" t="inlineStr">
        <is>
          <t>Размер бонуса по итогам 2026 г</t>
        </is>
      </c>
      <c r="G1037" s="4" t="n">
        <v>2</v>
      </c>
      <c r="H1037" s="4" t="n"/>
      <c r="I1037" s="3" t="n"/>
      <c r="J1037" s="4" t="n">
        <v>5</v>
      </c>
      <c r="K1037" s="4" t="n"/>
      <c r="L1037" s="4" t="n"/>
      <c r="M1037" s="7" t="n">
        <v>0.01</v>
      </c>
      <c r="N1037" s="4" t="inlineStr">
        <is>
          <t>%</t>
        </is>
      </c>
      <c r="O1037" s="3" t="inlineStr">
        <is>
          <t>Flexo Food Ltd, Грузия</t>
        </is>
      </c>
      <c r="P1037" s="3" t="inlineStr">
        <is>
          <t>H5</t>
        </is>
      </c>
      <c t="str" r="Q1037" s="6">
        <f>A1037&amp;"|"&amp;C1037&amp;"|"&amp;D1037&amp;"|"&amp;G1037</f>
        <v>Flexo Food , Грузия|План|Сервис|2</v>
      </c>
      <c t="str" r="R1037" s="6">
        <f>A1037&amp;"|"&amp;C1037&amp;"|"&amp;D1037&amp;"|"&amp;J1037</f>
        <v>Flexo Food , Грузия|План|Сервис|5</v>
      </c>
      <c t="str" r="S1037" s="6">
        <f>A1037&amp;"|"&amp;C1037&amp;"|"&amp;D1037&amp;"|"&amp;G1037&amp;"|"&amp;J1037</f>
        <v>Flexo Food , Грузия|План|Сервис|2|5</v>
      </c>
      <c t="str" r="T1037" s="6">
        <f>A1037&amp;"|"&amp;C1037&amp;"|"&amp;G1037</f>
        <v>Flexo Food , Грузия|План|2</v>
      </c>
      <c t="str" r="U1037" s="6">
        <f>IF(H1037="да",A1037&amp;"|"&amp;C1037&amp;"|"&amp;D1037&amp;"|"&amp;J1037,"")</f>
        <v/>
      </c>
      <c t="str" r="V1037" s="6">
        <f>IF(C1037="План",A1037&amp;"|"&amp;J1037,"")</f>
        <v>Flexo Food , Грузия|5</v>
      </c>
    </row>
    <row r="1038">
      <c r="A1038" s="3" t="inlineStr">
        <is>
          <t>Flexo Food , Грузия</t>
        </is>
      </c>
      <c r="B1038" s="3" t="inlineStr">
        <is>
          <t>Заруб</t>
        </is>
      </c>
      <c r="C1038" s="3" t="inlineStr">
        <is>
          <t>План</t>
        </is>
      </c>
      <c r="D1038" s="3" t="inlineStr">
        <is>
          <t>Сервис</t>
        </is>
      </c>
      <c r="E1038" s="3" t="inlineStr">
        <is>
          <t>План и бонусы</t>
        </is>
      </c>
      <c r="F1038" s="3" t="inlineStr">
        <is>
          <t>Скидка в 1 кв. 2026 ф.г.*</t>
        </is>
      </c>
      <c r="G1038" s="4" t="n">
        <v>2</v>
      </c>
      <c r="H1038" s="4" t="n"/>
      <c r="I1038" s="3" t="n"/>
      <c r="J1038" s="4" t="n">
        <v>6</v>
      </c>
      <c r="K1038" s="4" t="n"/>
      <c r="L1038" s="4" t="n"/>
      <c r="M1038" s="8" t="n">
        <v>0.11</v>
      </c>
      <c r="N1038" s="4" t="inlineStr">
        <is>
          <t>%</t>
        </is>
      </c>
      <c r="O1038" s="3" t="inlineStr">
        <is>
          <t>Flexo Food Ltd, Грузия</t>
        </is>
      </c>
      <c r="P1038" s="3" t="inlineStr">
        <is>
          <t>I5</t>
        </is>
      </c>
      <c t="str" r="Q1038" s="6">
        <f>A1038&amp;"|"&amp;C1038&amp;"|"&amp;D1038&amp;"|"&amp;G1038</f>
        <v>Flexo Food , Грузия|План|Сервис|2</v>
      </c>
      <c t="str" r="R1038" s="6">
        <f>A1038&amp;"|"&amp;C1038&amp;"|"&amp;D1038&amp;"|"&amp;J1038</f>
        <v>Flexo Food , Грузия|План|Сервис|6</v>
      </c>
      <c t="str" r="S1038" s="6">
        <f>A1038&amp;"|"&amp;C1038&amp;"|"&amp;D1038&amp;"|"&amp;G1038&amp;"|"&amp;J1038</f>
        <v>Flexo Food , Грузия|План|Сервис|2|6</v>
      </c>
      <c t="str" r="T1038" s="6">
        <f>A1038&amp;"|"&amp;C1038&amp;"|"&amp;G1038</f>
        <v>Flexo Food , Грузия|План|2</v>
      </c>
      <c t="str" r="U1038" s="6">
        <f>IF(H1038="да",A1038&amp;"|"&amp;C1038&amp;"|"&amp;D1038&amp;"|"&amp;J1038,"")</f>
        <v/>
      </c>
      <c t="str" r="V1038" s="6">
        <f>IF(C1038="План",A1038&amp;"|"&amp;J1038,"")</f>
        <v>Flexo Food , Грузия|6</v>
      </c>
    </row>
    <row r="1039">
      <c r="A1039" s="3" t="inlineStr">
        <is>
          <t>Flexo Food , Грузия</t>
        </is>
      </c>
      <c r="B1039" s="3" t="inlineStr">
        <is>
          <t>Заруб</t>
        </is>
      </c>
      <c r="C1039" s="3" t="inlineStr">
        <is>
          <t>План</t>
        </is>
      </c>
      <c r="D1039" s="3" t="inlineStr">
        <is>
          <t>Оборудование</t>
        </is>
      </c>
      <c r="E1039" s="3" t="inlineStr">
        <is>
          <t>План и бонусы</t>
        </is>
      </c>
      <c r="F1039" s="3" t="inlineStr">
        <is>
          <t>Выручка 2024</t>
        </is>
      </c>
      <c r="G1039" s="4" t="n">
        <v>3</v>
      </c>
      <c r="H1039" s="4" t="n"/>
      <c r="I1039" s="3" t="n"/>
      <c r="J1039" s="4" t="n">
        <v>1</v>
      </c>
      <c r="K1039" s="4" t="n"/>
      <c r="L1039" s="4" t="n"/>
      <c r="M1039" s="5" t="n">
        <v>45294</v>
      </c>
      <c r="N1039" s="4" t="inlineStr">
        <is>
          <t>EUR</t>
        </is>
      </c>
      <c r="O1039" s="3" t="inlineStr">
        <is>
          <t>Flexo Food Ltd, Грузия</t>
        </is>
      </c>
      <c r="P1039" s="3" t="inlineStr">
        <is>
          <t>D6</t>
        </is>
      </c>
      <c t="str" r="Q1039" s="6">
        <f>A1039&amp;"|"&amp;C1039&amp;"|"&amp;D1039&amp;"|"&amp;G1039</f>
        <v>Flexo Food , Грузия|План|Оборудование|3</v>
      </c>
      <c t="str" r="R1039" s="6">
        <f>A1039&amp;"|"&amp;C1039&amp;"|"&amp;D1039&amp;"|"&amp;J1039</f>
        <v>Flexo Food , Грузия|План|Оборудование|1</v>
      </c>
      <c t="str" r="S1039" s="6">
        <f>A1039&amp;"|"&amp;C1039&amp;"|"&amp;D1039&amp;"|"&amp;G1039&amp;"|"&amp;J1039</f>
        <v>Flexo Food , Грузия|План|Оборудование|3|1</v>
      </c>
      <c t="str" r="T1039" s="6">
        <f>A1039&amp;"|"&amp;C1039&amp;"|"&amp;G1039</f>
        <v>Flexo Food , Грузия|План|3</v>
      </c>
      <c t="str" r="U1039" s="6">
        <f>IF(H1039="да",A1039&amp;"|"&amp;C1039&amp;"|"&amp;D1039&amp;"|"&amp;J1039,"")</f>
        <v/>
      </c>
      <c t="str" r="V1039" s="6">
        <f>IF(C1039="План",A1039&amp;"|"&amp;J1039,"")</f>
        <v>Flexo Food , Грузия|1</v>
      </c>
    </row>
    <row r="1040">
      <c r="A1040" s="3" t="inlineStr">
        <is>
          <t>Flexo Food , Грузия</t>
        </is>
      </c>
      <c r="B1040" s="3" t="inlineStr">
        <is>
          <t>Заруб</t>
        </is>
      </c>
      <c r="C1040" s="3" t="inlineStr">
        <is>
          <t>План</t>
        </is>
      </c>
      <c r="D1040" s="3" t="inlineStr">
        <is>
          <t>Оборудование</t>
        </is>
      </c>
      <c r="E1040" s="3" t="inlineStr">
        <is>
          <t>План и бонусы</t>
        </is>
      </c>
      <c r="F1040" s="3" t="inlineStr">
        <is>
          <t>Выручка 2025</t>
        </is>
      </c>
      <c r="G1040" s="4" t="n">
        <v>3</v>
      </c>
      <c r="H1040" s="4" t="n"/>
      <c r="I1040" s="3" t="n"/>
      <c r="J1040" s="4" t="n">
        <v>2</v>
      </c>
      <c r="K1040" s="4" t="n"/>
      <c r="L1040" s="4" t="n"/>
      <c r="M1040" s="5" t="n">
        <v>23552</v>
      </c>
      <c r="N1040" s="4" t="inlineStr">
        <is>
          <t>EUR</t>
        </is>
      </c>
      <c r="O1040" s="3" t="inlineStr">
        <is>
          <t>Flexo Food Ltd, Грузия</t>
        </is>
      </c>
      <c r="P1040" s="3" t="inlineStr">
        <is>
          <t>E6</t>
        </is>
      </c>
      <c t="str" r="Q1040" s="6">
        <f>A1040&amp;"|"&amp;C1040&amp;"|"&amp;D1040&amp;"|"&amp;G1040</f>
        <v>Flexo Food , Грузия|План|Оборудование|3</v>
      </c>
      <c t="str" r="R1040" s="6">
        <f>A1040&amp;"|"&amp;C1040&amp;"|"&amp;D1040&amp;"|"&amp;J1040</f>
        <v>Flexo Food , Грузия|План|Оборудование|2</v>
      </c>
      <c t="str" r="S1040" s="6">
        <f>A1040&amp;"|"&amp;C1040&amp;"|"&amp;D1040&amp;"|"&amp;G1040&amp;"|"&amp;J1040</f>
        <v>Flexo Food , Грузия|План|Оборудование|3|2</v>
      </c>
      <c t="str" r="T1040" s="6">
        <f>A1040&amp;"|"&amp;C1040&amp;"|"&amp;G1040</f>
        <v>Flexo Food , Грузия|План|3</v>
      </c>
      <c t="str" r="U1040" s="6">
        <f>IF(H1040="да",A1040&amp;"|"&amp;C1040&amp;"|"&amp;D1040&amp;"|"&amp;J1040,"")</f>
        <v/>
      </c>
      <c t="str" r="V1040" s="6">
        <f>IF(C1040="План",A1040&amp;"|"&amp;J1040,"")</f>
        <v>Flexo Food , Грузия|2</v>
      </c>
    </row>
    <row r="1041">
      <c r="A1041" s="3" t="inlineStr">
        <is>
          <t>Flexo Food , Грузия</t>
        </is>
      </c>
      <c r="B1041" s="3" t="inlineStr">
        <is>
          <t>Заруб</t>
        </is>
      </c>
      <c r="C1041" s="3" t="inlineStr">
        <is>
          <t>План</t>
        </is>
      </c>
      <c r="D1041" s="3" t="inlineStr">
        <is>
          <t>Оборудование</t>
        </is>
      </c>
      <c r="E1041" s="3" t="inlineStr">
        <is>
          <t>План и бонусы</t>
        </is>
      </c>
      <c r="F1041" s="3" t="inlineStr">
        <is>
          <t>План 2026</t>
        </is>
      </c>
      <c r="G1041" s="4" t="n">
        <v>3</v>
      </c>
      <c r="H1041" s="4" t="n"/>
      <c r="I1041" s="3" t="n"/>
      <c r="J1041" s="4" t="n">
        <v>3</v>
      </c>
      <c r="K1041" s="4" t="n"/>
      <c r="L1041" s="4" t="n"/>
      <c r="M1041" s="5" t="n">
        <v>75000</v>
      </c>
      <c r="N1041" s="4" t="inlineStr">
        <is>
          <t>EUR</t>
        </is>
      </c>
      <c r="O1041" s="3" t="inlineStr">
        <is>
          <t>Flexo Food Ltd, Грузия</t>
        </is>
      </c>
      <c r="P1041" s="3" t="inlineStr">
        <is>
          <t>F6</t>
        </is>
      </c>
      <c t="str" r="Q1041" s="6">
        <f>A1041&amp;"|"&amp;C1041&amp;"|"&amp;D1041&amp;"|"&amp;G1041</f>
        <v>Flexo Food , Грузия|План|Оборудование|3</v>
      </c>
      <c t="str" r="R1041" s="6">
        <f>A1041&amp;"|"&amp;C1041&amp;"|"&amp;D1041&amp;"|"&amp;J1041</f>
        <v>Flexo Food , Грузия|План|Оборудование|3</v>
      </c>
      <c t="str" r="S1041" s="6">
        <f>A1041&amp;"|"&amp;C1041&amp;"|"&amp;D1041&amp;"|"&amp;G1041&amp;"|"&amp;J1041</f>
        <v>Flexo Food , Грузия|План|Оборудование|3|3</v>
      </c>
      <c t="str" r="T1041" s="6">
        <f>A1041&amp;"|"&amp;C1041&amp;"|"&amp;G1041</f>
        <v>Flexo Food , Грузия|План|3</v>
      </c>
      <c t="str" r="U1041" s="6">
        <f>IF(H1041="да",A1041&amp;"|"&amp;C1041&amp;"|"&amp;D1041&amp;"|"&amp;J1041,"")</f>
        <v/>
      </c>
      <c t="str" r="V1041" s="6">
        <f>IF(C1041="План",A1041&amp;"|"&amp;J1041,"")</f>
        <v>Flexo Food , Грузия|3</v>
      </c>
    </row>
    <row r="1042">
      <c r="A1042" s="3" t="inlineStr">
        <is>
          <t>Flexo Food , Грузия</t>
        </is>
      </c>
      <c r="B1042" s="3" t="inlineStr">
        <is>
          <t>Заруб</t>
        </is>
      </c>
      <c r="C1042" s="3" t="inlineStr">
        <is>
          <t>План</t>
        </is>
      </c>
      <c r="D1042" s="3" t="inlineStr">
        <is>
          <t>Оборудование</t>
        </is>
      </c>
      <c r="E1042" s="3" t="inlineStr">
        <is>
          <t>План и бонусы</t>
        </is>
      </c>
      <c r="F1042" s="3" t="inlineStr">
        <is>
          <t>Размер бонуса по итогам 2026 г</t>
        </is>
      </c>
      <c r="G1042" s="4" t="n">
        <v>3</v>
      </c>
      <c r="H1042" s="4" t="n"/>
      <c r="I1042" s="3" t="n"/>
      <c r="J1042" s="4" t="n">
        <v>5</v>
      </c>
      <c r="K1042" s="4" t="n"/>
      <c r="L1042" s="4" t="n"/>
      <c r="M1042" s="7" t="n">
        <v>0.015</v>
      </c>
      <c r="N1042" s="4" t="inlineStr">
        <is>
          <t>%</t>
        </is>
      </c>
      <c r="O1042" s="3" t="inlineStr">
        <is>
          <t>Flexo Food Ltd, Грузия</t>
        </is>
      </c>
      <c r="P1042" s="3" t="inlineStr">
        <is>
          <t>H6</t>
        </is>
      </c>
      <c t="str" r="Q1042" s="6">
        <f>A1042&amp;"|"&amp;C1042&amp;"|"&amp;D1042&amp;"|"&amp;G1042</f>
        <v>Flexo Food , Грузия|План|Оборудование|3</v>
      </c>
      <c t="str" r="R1042" s="6">
        <f>A1042&amp;"|"&amp;C1042&amp;"|"&amp;D1042&amp;"|"&amp;J1042</f>
        <v>Flexo Food , Грузия|План|Оборудование|5</v>
      </c>
      <c t="str" r="S1042" s="6">
        <f>A1042&amp;"|"&amp;C1042&amp;"|"&amp;D1042&amp;"|"&amp;G1042&amp;"|"&amp;J1042</f>
        <v>Flexo Food , Грузия|План|Оборудование|3|5</v>
      </c>
      <c t="str" r="T1042" s="6">
        <f>A1042&amp;"|"&amp;C1042&amp;"|"&amp;G1042</f>
        <v>Flexo Food , Грузия|План|3</v>
      </c>
      <c t="str" r="U1042" s="6">
        <f>IF(H1042="да",A1042&amp;"|"&amp;C1042&amp;"|"&amp;D1042&amp;"|"&amp;J1042,"")</f>
        <v/>
      </c>
      <c t="str" r="V1042" s="6">
        <f>IF(C1042="План",A1042&amp;"|"&amp;J1042,"")</f>
        <v>Flexo Food , Грузия|5</v>
      </c>
    </row>
    <row r="1043">
      <c r="A1043" s="3" t="inlineStr">
        <is>
          <t>Flexo Food , Грузия</t>
        </is>
      </c>
      <c r="B1043" s="3" t="inlineStr">
        <is>
          <t>Заруб</t>
        </is>
      </c>
      <c r="C1043" s="3" t="inlineStr">
        <is>
          <t>План</t>
        </is>
      </c>
      <c r="D1043" s="3" t="inlineStr">
        <is>
          <t>Оборудование</t>
        </is>
      </c>
      <c r="E1043" s="3" t="inlineStr">
        <is>
          <t>План и бонусы</t>
        </is>
      </c>
      <c r="F1043" s="3" t="inlineStr">
        <is>
          <t>Скидка в 1 кв. 2026 ф.г.*</t>
        </is>
      </c>
      <c r="G1043" s="4" t="n">
        <v>3</v>
      </c>
      <c r="H1043" s="4" t="n"/>
      <c r="I1043" s="3" t="n"/>
      <c r="J1043" s="4" t="n">
        <v>6</v>
      </c>
      <c r="K1043" s="4" t="n"/>
      <c r="L1043" s="4" t="n"/>
      <c r="M1043" s="8" t="n">
        <v>0.14</v>
      </c>
      <c r="N1043" s="4" t="inlineStr">
        <is>
          <t>%</t>
        </is>
      </c>
      <c r="O1043" s="3" t="inlineStr">
        <is>
          <t>Flexo Food Ltd, Грузия</t>
        </is>
      </c>
      <c r="P1043" s="3" t="inlineStr">
        <is>
          <t>I6</t>
        </is>
      </c>
      <c t="str" r="Q1043" s="6">
        <f>A1043&amp;"|"&amp;C1043&amp;"|"&amp;D1043&amp;"|"&amp;G1043</f>
        <v>Flexo Food , Грузия|План|Оборудование|3</v>
      </c>
      <c t="str" r="R1043" s="6">
        <f>A1043&amp;"|"&amp;C1043&amp;"|"&amp;D1043&amp;"|"&amp;J1043</f>
        <v>Flexo Food , Грузия|План|Оборудование|6</v>
      </c>
      <c t="str" r="S1043" s="6">
        <f>A1043&amp;"|"&amp;C1043&amp;"|"&amp;D1043&amp;"|"&amp;G1043&amp;"|"&amp;J1043</f>
        <v>Flexo Food , Грузия|План|Оборудование|3|6</v>
      </c>
      <c t="str" r="T1043" s="6">
        <f>A1043&amp;"|"&amp;C1043&amp;"|"&amp;G1043</f>
        <v>Flexo Food , Грузия|План|3</v>
      </c>
      <c t="str" r="U1043" s="6">
        <f>IF(H1043="да",A1043&amp;"|"&amp;C1043&amp;"|"&amp;D1043&amp;"|"&amp;J1043,"")</f>
        <v/>
      </c>
      <c t="str" r="V1043" s="6">
        <f>IF(C1043="План",A1043&amp;"|"&amp;J1043,"")</f>
        <v>Flexo Food , Грузия|6</v>
      </c>
    </row>
    <row r="1044">
      <c r="A1044" s="3" t="inlineStr">
        <is>
          <t>Flexo Food , Грузия</t>
        </is>
      </c>
      <c r="B1044" s="3" t="inlineStr">
        <is>
          <t>Заруб</t>
        </is>
      </c>
      <c r="C1044" s="3" t="inlineStr">
        <is>
          <t>План</t>
        </is>
      </c>
      <c r="D1044" s="3" t="inlineStr">
        <is>
          <t>Расходные материалы</t>
        </is>
      </c>
      <c r="E1044" s="3" t="inlineStr">
        <is>
          <t>План и бонусы</t>
        </is>
      </c>
      <c r="F1044" s="3" t="inlineStr">
        <is>
          <t>Выручка 2024</t>
        </is>
      </c>
      <c r="G1044" s="4" t="n">
        <v>4</v>
      </c>
      <c r="H1044" s="4" t="n"/>
      <c r="I1044" s="3" t="n"/>
      <c r="J1044" s="4" t="n">
        <v>1</v>
      </c>
      <c r="K1044" s="4" t="n"/>
      <c r="L1044" s="4" t="n"/>
      <c r="M1044" s="5" t="n">
        <v>26722</v>
      </c>
      <c r="N1044" s="4" t="inlineStr">
        <is>
          <t>EUR</t>
        </is>
      </c>
      <c r="O1044" s="3" t="inlineStr">
        <is>
          <t>Flexo Food Ltd, Грузия</t>
        </is>
      </c>
      <c r="P1044" s="3" t="inlineStr">
        <is>
          <t>D7</t>
        </is>
      </c>
      <c t="str" r="Q1044" s="6">
        <f>A1044&amp;"|"&amp;C1044&amp;"|"&amp;D1044&amp;"|"&amp;G1044</f>
        <v>Flexo Food , Грузия|План|Расходные материалы|4</v>
      </c>
      <c t="str" r="R1044" s="6">
        <f>A1044&amp;"|"&amp;C1044&amp;"|"&amp;D1044&amp;"|"&amp;J1044</f>
        <v>Flexo Food , Грузия|План|Расходные материалы|1</v>
      </c>
      <c t="str" r="S1044" s="6">
        <f>A1044&amp;"|"&amp;C1044&amp;"|"&amp;D1044&amp;"|"&amp;G1044&amp;"|"&amp;J1044</f>
        <v>Flexo Food , Грузия|План|Расходные материалы|4|1</v>
      </c>
      <c t="str" r="T1044" s="6">
        <f>A1044&amp;"|"&amp;C1044&amp;"|"&amp;G1044</f>
        <v>Flexo Food , Грузия|План|4</v>
      </c>
      <c t="str" r="U1044" s="6">
        <f>IF(H1044="да",A1044&amp;"|"&amp;C1044&amp;"|"&amp;D1044&amp;"|"&amp;J1044,"")</f>
        <v/>
      </c>
      <c t="str" r="V1044" s="6">
        <f>IF(C1044="План",A1044&amp;"|"&amp;J1044,"")</f>
        <v>Flexo Food , Грузия|1</v>
      </c>
    </row>
    <row r="1045">
      <c r="A1045" s="3" t="inlineStr">
        <is>
          <t>Flexo Food , Грузия</t>
        </is>
      </c>
      <c r="B1045" s="3" t="inlineStr">
        <is>
          <t>Заруб</t>
        </is>
      </c>
      <c r="C1045" s="3" t="inlineStr">
        <is>
          <t>План</t>
        </is>
      </c>
      <c r="D1045" s="3" t="inlineStr">
        <is>
          <t>Расходные материалы</t>
        </is>
      </c>
      <c r="E1045" s="3" t="inlineStr">
        <is>
          <t>План и бонусы</t>
        </is>
      </c>
      <c r="F1045" s="3" t="inlineStr">
        <is>
          <t>Выручка 2025</t>
        </is>
      </c>
      <c r="G1045" s="4" t="n">
        <v>4</v>
      </c>
      <c r="H1045" s="4" t="n"/>
      <c r="I1045" s="3" t="n"/>
      <c r="J1045" s="4" t="n">
        <v>2</v>
      </c>
      <c r="K1045" s="4" t="n"/>
      <c r="L1045" s="4" t="n"/>
      <c r="M1045" s="5" t="n">
        <v>7405</v>
      </c>
      <c r="N1045" s="4" t="inlineStr">
        <is>
          <t>EUR</t>
        </is>
      </c>
      <c r="O1045" s="3" t="inlineStr">
        <is>
          <t>Flexo Food Ltd, Грузия</t>
        </is>
      </c>
      <c r="P1045" s="3" t="inlineStr">
        <is>
          <t>E7</t>
        </is>
      </c>
      <c t="str" r="Q1045" s="6">
        <f>A1045&amp;"|"&amp;C1045&amp;"|"&amp;D1045&amp;"|"&amp;G1045</f>
        <v>Flexo Food , Грузия|План|Расходные материалы|4</v>
      </c>
      <c t="str" r="R1045" s="6">
        <f>A1045&amp;"|"&amp;C1045&amp;"|"&amp;D1045&amp;"|"&amp;J1045</f>
        <v>Flexo Food , Грузия|План|Расходные материалы|2</v>
      </c>
      <c t="str" r="S1045" s="6">
        <f>A1045&amp;"|"&amp;C1045&amp;"|"&amp;D1045&amp;"|"&amp;G1045&amp;"|"&amp;J1045</f>
        <v>Flexo Food , Грузия|План|Расходные материалы|4|2</v>
      </c>
      <c t="str" r="T1045" s="6">
        <f>A1045&amp;"|"&amp;C1045&amp;"|"&amp;G1045</f>
        <v>Flexo Food , Грузия|План|4</v>
      </c>
      <c t="str" r="U1045" s="6">
        <f>IF(H1045="да",A1045&amp;"|"&amp;C1045&amp;"|"&amp;D1045&amp;"|"&amp;J1045,"")</f>
        <v/>
      </c>
      <c t="str" r="V1045" s="6">
        <f>IF(C1045="План",A1045&amp;"|"&amp;J1045,"")</f>
        <v>Flexo Food , Грузия|2</v>
      </c>
    </row>
    <row r="1046">
      <c r="A1046" s="3" t="inlineStr">
        <is>
          <t>Flexo Food , Грузия</t>
        </is>
      </c>
      <c r="B1046" s="3" t="inlineStr">
        <is>
          <t>Заруб</t>
        </is>
      </c>
      <c r="C1046" s="3" t="inlineStr">
        <is>
          <t>План</t>
        </is>
      </c>
      <c r="D1046" s="3" t="inlineStr">
        <is>
          <t>Расходные материалы</t>
        </is>
      </c>
      <c r="E1046" s="3" t="inlineStr">
        <is>
          <t>План и бонусы</t>
        </is>
      </c>
      <c r="F1046" s="3" t="inlineStr">
        <is>
          <t>План 2026</t>
        </is>
      </c>
      <c r="G1046" s="4" t="n">
        <v>4</v>
      </c>
      <c r="H1046" s="4" t="n"/>
      <c r="I1046" s="3" t="n"/>
      <c r="J1046" s="4" t="n">
        <v>3</v>
      </c>
      <c r="K1046" s="4" t="n"/>
      <c r="L1046" s="4" t="n"/>
      <c r="M1046" s="5" t="n">
        <v>75000</v>
      </c>
      <c r="N1046" s="4" t="inlineStr">
        <is>
          <t>EUR</t>
        </is>
      </c>
      <c r="O1046" s="3" t="inlineStr">
        <is>
          <t>Flexo Food Ltd, Грузия</t>
        </is>
      </c>
      <c r="P1046" s="3" t="inlineStr">
        <is>
          <t>F7</t>
        </is>
      </c>
      <c t="str" r="Q1046" s="6">
        <f>A1046&amp;"|"&amp;C1046&amp;"|"&amp;D1046&amp;"|"&amp;G1046</f>
        <v>Flexo Food , Грузия|План|Расходные материалы|4</v>
      </c>
      <c t="str" r="R1046" s="6">
        <f>A1046&amp;"|"&amp;C1046&amp;"|"&amp;D1046&amp;"|"&amp;J1046</f>
        <v>Flexo Food , Грузия|План|Расходные материалы|3</v>
      </c>
      <c t="str" r="S1046" s="6">
        <f>A1046&amp;"|"&amp;C1046&amp;"|"&amp;D1046&amp;"|"&amp;G1046&amp;"|"&amp;J1046</f>
        <v>Flexo Food , Грузия|План|Расходные материалы|4|3</v>
      </c>
      <c t="str" r="T1046" s="6">
        <f>A1046&amp;"|"&amp;C1046&amp;"|"&amp;G1046</f>
        <v>Flexo Food , Грузия|План|4</v>
      </c>
      <c t="str" r="U1046" s="6">
        <f>IF(H1046="да",A1046&amp;"|"&amp;C1046&amp;"|"&amp;D1046&amp;"|"&amp;J1046,"")</f>
        <v/>
      </c>
      <c t="str" r="V1046" s="6">
        <f>IF(C1046="План",A1046&amp;"|"&amp;J1046,"")</f>
        <v>Flexo Food , Грузия|3</v>
      </c>
    </row>
    <row r="1047">
      <c r="A1047" s="3" t="inlineStr">
        <is>
          <t>Flexo Food , Грузия</t>
        </is>
      </c>
      <c r="B1047" s="3" t="inlineStr">
        <is>
          <t>Заруб</t>
        </is>
      </c>
      <c r="C1047" s="3" t="inlineStr">
        <is>
          <t>План</t>
        </is>
      </c>
      <c r="D1047" s="3" t="inlineStr">
        <is>
          <t>Расходные материалы</t>
        </is>
      </c>
      <c r="E1047" s="3" t="inlineStr">
        <is>
          <t>План и бонусы</t>
        </is>
      </c>
      <c r="F1047" s="3" t="inlineStr">
        <is>
          <t>Размер бонуса по итогам 2026 г</t>
        </is>
      </c>
      <c r="G1047" s="4" t="n">
        <v>4</v>
      </c>
      <c r="H1047" s="4" t="n"/>
      <c r="I1047" s="3" t="n"/>
      <c r="J1047" s="4" t="n">
        <v>5</v>
      </c>
      <c r="K1047" s="4" t="n"/>
      <c r="L1047" s="4" t="n"/>
      <c r="M1047" s="7" t="n">
        <v>0.005</v>
      </c>
      <c r="N1047" s="4" t="inlineStr">
        <is>
          <t>%</t>
        </is>
      </c>
      <c r="O1047" s="3" t="inlineStr">
        <is>
          <t>Flexo Food Ltd, Грузия</t>
        </is>
      </c>
      <c r="P1047" s="3" t="inlineStr">
        <is>
          <t>H7</t>
        </is>
      </c>
      <c t="str" r="Q1047" s="6">
        <f>A1047&amp;"|"&amp;C1047&amp;"|"&amp;D1047&amp;"|"&amp;G1047</f>
        <v>Flexo Food , Грузия|План|Расходные материалы|4</v>
      </c>
      <c t="str" r="R1047" s="6">
        <f>A1047&amp;"|"&amp;C1047&amp;"|"&amp;D1047&amp;"|"&amp;J1047</f>
        <v>Flexo Food , Грузия|План|Расходные материалы|5</v>
      </c>
      <c t="str" r="S1047" s="6">
        <f>A1047&amp;"|"&amp;C1047&amp;"|"&amp;D1047&amp;"|"&amp;G1047&amp;"|"&amp;J1047</f>
        <v>Flexo Food , Грузия|План|Расходные материалы|4|5</v>
      </c>
      <c t="str" r="T1047" s="6">
        <f>A1047&amp;"|"&amp;C1047&amp;"|"&amp;G1047</f>
        <v>Flexo Food , Грузия|План|4</v>
      </c>
      <c t="str" r="U1047" s="6">
        <f>IF(H1047="да",A1047&amp;"|"&amp;C1047&amp;"|"&amp;D1047&amp;"|"&amp;J1047,"")</f>
        <v/>
      </c>
      <c t="str" r="V1047" s="6">
        <f>IF(C1047="План",A1047&amp;"|"&amp;J1047,"")</f>
        <v>Flexo Food , Грузия|5</v>
      </c>
    </row>
    <row r="1048">
      <c r="A1048" s="3" t="inlineStr">
        <is>
          <t>Flexo Food , Грузия</t>
        </is>
      </c>
      <c r="B1048" s="3" t="inlineStr">
        <is>
          <t>Заруб</t>
        </is>
      </c>
      <c r="C1048" s="3" t="inlineStr">
        <is>
          <t>Шкала</t>
        </is>
      </c>
      <c r="D1048" s="3" t="inlineStr">
        <is>
          <t>Оборудование</t>
        </is>
      </c>
      <c r="E1048" s="3" t="inlineStr">
        <is>
          <t>Оборудование — за полугодие</t>
        </is>
      </c>
      <c r="F1048" s="3" t="inlineStr">
        <is>
          <t>Базовое вознаграждение за Дилерский договор</t>
        </is>
      </c>
      <c r="G1048" s="4" t="n">
        <v>1</v>
      </c>
      <c r="H1048" s="4" t="n"/>
      <c r="I1048" s="3" t="inlineStr">
        <is>
          <t>до 75</t>
        </is>
      </c>
      <c r="J1048" s="4" t="n">
        <v>1</v>
      </c>
      <c r="K1048" s="4" t="n"/>
      <c r="L1048" s="4" t="n"/>
      <c r="M1048" s="8" t="n">
        <v>0.06</v>
      </c>
      <c r="N1048" s="4" t="inlineStr">
        <is>
          <t>%</t>
        </is>
      </c>
      <c r="O1048" s="3" t="inlineStr">
        <is>
          <t>Flexo Food Ltd, Грузия</t>
        </is>
      </c>
      <c r="P1048" s="3" t="inlineStr">
        <is>
          <t>E15</t>
        </is>
      </c>
      <c t="str" r="Q1048" s="6">
        <f>A1048&amp;"|"&amp;C1048&amp;"|"&amp;D1048&amp;"|"&amp;G1048</f>
        <v>Flexo Food , Грузия|Шкала|Оборудование|1</v>
      </c>
      <c t="str" r="R1048" s="6">
        <f>A1048&amp;"|"&amp;C1048&amp;"|"&amp;D1048&amp;"|"&amp;J1048</f>
        <v>Flexo Food , Грузия|Шкала|Оборудование|1</v>
      </c>
      <c t="str" r="S1048" s="6">
        <f>A1048&amp;"|"&amp;C1048&amp;"|"&amp;D1048&amp;"|"&amp;G1048&amp;"|"&amp;J1048</f>
        <v>Flexo Food , Грузия|Шкала|Оборудование|1|1</v>
      </c>
      <c t="str" r="T1048" s="6">
        <f>A1048&amp;"|"&amp;C1048&amp;"|"&amp;G1048</f>
        <v>Flexo Food , Грузия|Шкала|1</v>
      </c>
      <c t="str" r="U1048" s="6">
        <f>IF(H1048="да",A1048&amp;"|"&amp;C1048&amp;"|"&amp;D1048&amp;"|"&amp;J1048,"")</f>
        <v/>
      </c>
      <c t="str" r="V1048" s="6">
        <f>IF(C1048="План",A1048&amp;"|"&amp;J1048,"")</f>
        <v/>
      </c>
    </row>
    <row r="1049">
      <c r="A1049" s="3" t="inlineStr">
        <is>
          <t>Flexo Food , Грузия</t>
        </is>
      </c>
      <c r="B1049" s="3" t="inlineStr">
        <is>
          <t>Заруб</t>
        </is>
      </c>
      <c r="C1049" s="3" t="inlineStr">
        <is>
          <t>Шкала</t>
        </is>
      </c>
      <c r="D1049" s="3" t="inlineStr">
        <is>
          <t>Оборудование</t>
        </is>
      </c>
      <c r="E1049" s="3" t="inlineStr">
        <is>
          <t>Оборудование — за полугодие</t>
        </is>
      </c>
      <c r="F1049" s="3" t="inlineStr">
        <is>
          <t>Базовое вознаграждение за Дилерский договор</t>
        </is>
      </c>
      <c r="G1049" s="4" t="n">
        <v>1</v>
      </c>
      <c r="H1049" s="4" t="n"/>
      <c r="I1049" s="3" t="inlineStr">
        <is>
          <t>75-114</t>
        </is>
      </c>
      <c r="J1049" s="4" t="n">
        <v>2</v>
      </c>
      <c r="K1049" s="4" t="n"/>
      <c r="L1049" s="4" t="n"/>
      <c r="M1049" s="8" t="n">
        <v>0.06</v>
      </c>
      <c r="N1049" s="4" t="inlineStr">
        <is>
          <t>%</t>
        </is>
      </c>
      <c r="O1049" s="3" t="inlineStr">
        <is>
          <t>Flexo Food Ltd, Грузия</t>
        </is>
      </c>
      <c r="P1049" s="3" t="inlineStr">
        <is>
          <t>F15</t>
        </is>
      </c>
      <c t="str" r="Q1049" s="6">
        <f>A1049&amp;"|"&amp;C1049&amp;"|"&amp;D1049&amp;"|"&amp;G1049</f>
        <v>Flexo Food , Грузия|Шкала|Оборудование|1</v>
      </c>
      <c t="str" r="R1049" s="6">
        <f>A1049&amp;"|"&amp;C1049&amp;"|"&amp;D1049&amp;"|"&amp;J1049</f>
        <v>Flexo Food , Грузия|Шкала|Оборудование|2</v>
      </c>
      <c t="str" r="S1049" s="6">
        <f>A1049&amp;"|"&amp;C1049&amp;"|"&amp;D1049&amp;"|"&amp;G1049&amp;"|"&amp;J1049</f>
        <v>Flexo Food , Грузия|Шкала|Оборудование|1|2</v>
      </c>
      <c t="str" r="T1049" s="6">
        <f>A1049&amp;"|"&amp;C1049&amp;"|"&amp;G1049</f>
        <v>Flexo Food , Грузия|Шкала|1</v>
      </c>
      <c t="str" r="U1049" s="6">
        <f>IF(H1049="да",A1049&amp;"|"&amp;C1049&amp;"|"&amp;D1049&amp;"|"&amp;J1049,"")</f>
        <v/>
      </c>
      <c t="str" r="V1049" s="6">
        <f>IF(C1049="План",A1049&amp;"|"&amp;J1049,"")</f>
        <v/>
      </c>
    </row>
    <row r="1050">
      <c r="A1050" s="3" t="inlineStr">
        <is>
          <t>Flexo Food , Грузия</t>
        </is>
      </c>
      <c r="B1050" s="3" t="inlineStr">
        <is>
          <t>Заруб</t>
        </is>
      </c>
      <c r="C1050" s="3" t="inlineStr">
        <is>
          <t>Шкала</t>
        </is>
      </c>
      <c r="D1050" s="3" t="inlineStr">
        <is>
          <t>Оборудование</t>
        </is>
      </c>
      <c r="E1050" s="3" t="inlineStr">
        <is>
          <t>Оборудование — за полугодие</t>
        </is>
      </c>
      <c r="F1050" s="3" t="inlineStr">
        <is>
          <t>Базовое вознаграждение за Дилерский договор</t>
        </is>
      </c>
      <c r="G1050" s="4" t="n">
        <v>1</v>
      </c>
      <c r="H1050" s="4" t="n"/>
      <c r="I1050" s="3" t="inlineStr">
        <is>
          <t>115-149</t>
        </is>
      </c>
      <c r="J1050" s="4" t="n">
        <v>3</v>
      </c>
      <c r="K1050" s="4" t="n"/>
      <c r="L1050" s="4" t="n"/>
      <c r="M1050" s="8" t="n">
        <v>0.06</v>
      </c>
      <c r="N1050" s="4" t="inlineStr">
        <is>
          <t>%</t>
        </is>
      </c>
      <c r="O1050" s="3" t="inlineStr">
        <is>
          <t>Flexo Food Ltd, Грузия</t>
        </is>
      </c>
      <c r="P1050" s="3" t="inlineStr">
        <is>
          <t>G15</t>
        </is>
      </c>
      <c t="str" r="Q1050" s="6">
        <f>A1050&amp;"|"&amp;C1050&amp;"|"&amp;D1050&amp;"|"&amp;G1050</f>
        <v>Flexo Food , Грузия|Шкала|Оборудование|1</v>
      </c>
      <c t="str" r="R1050" s="6">
        <f>A1050&amp;"|"&amp;C1050&amp;"|"&amp;D1050&amp;"|"&amp;J1050</f>
        <v>Flexo Food , Грузия|Шкала|Оборудование|3</v>
      </c>
      <c t="str" r="S1050" s="6">
        <f>A1050&amp;"|"&amp;C1050&amp;"|"&amp;D1050&amp;"|"&amp;G1050&amp;"|"&amp;J1050</f>
        <v>Flexo Food , Грузия|Шкала|Оборудование|1|3</v>
      </c>
      <c t="str" r="T1050" s="6">
        <f>A1050&amp;"|"&amp;C1050&amp;"|"&amp;G1050</f>
        <v>Flexo Food , Грузия|Шкала|1</v>
      </c>
      <c t="str" r="U1050" s="6">
        <f>IF(H1050="да",A1050&amp;"|"&amp;C1050&amp;"|"&amp;D1050&amp;"|"&amp;J1050,"")</f>
        <v/>
      </c>
      <c t="str" r="V1050" s="6">
        <f>IF(C1050="План",A1050&amp;"|"&amp;J1050,"")</f>
        <v/>
      </c>
    </row>
    <row r="1051">
      <c r="A1051" s="3" t="inlineStr">
        <is>
          <t>Flexo Food , Грузия</t>
        </is>
      </c>
      <c r="B1051" s="3" t="inlineStr">
        <is>
          <t>Заруб</t>
        </is>
      </c>
      <c r="C1051" s="3" t="inlineStr">
        <is>
          <t>Шкала</t>
        </is>
      </c>
      <c r="D1051" s="3" t="inlineStr">
        <is>
          <t>Оборудование</t>
        </is>
      </c>
      <c r="E1051" s="3" t="inlineStr">
        <is>
          <t>Оборудование — за полугодие</t>
        </is>
      </c>
      <c r="F1051" s="3" t="inlineStr">
        <is>
          <t>Базовое вознаграждение за Дилерский договор</t>
        </is>
      </c>
      <c r="G1051" s="4" t="n">
        <v>1</v>
      </c>
      <c r="H1051" s="4" t="n"/>
      <c r="I1051" s="3" t="inlineStr">
        <is>
          <t>150-189</t>
        </is>
      </c>
      <c r="J1051" s="4" t="n">
        <v>4</v>
      </c>
      <c r="K1051" s="4" t="n"/>
      <c r="L1051" s="4" t="n"/>
      <c r="M1051" s="8" t="n">
        <v>0.06</v>
      </c>
      <c r="N1051" s="4" t="inlineStr">
        <is>
          <t>%</t>
        </is>
      </c>
      <c r="O1051" s="3" t="inlineStr">
        <is>
          <t>Flexo Food Ltd, Грузия</t>
        </is>
      </c>
      <c r="P1051" s="3" t="inlineStr">
        <is>
          <t>H15</t>
        </is>
      </c>
      <c t="str" r="Q1051" s="6">
        <f>A1051&amp;"|"&amp;C1051&amp;"|"&amp;D1051&amp;"|"&amp;G1051</f>
        <v>Flexo Food , Грузия|Шкала|Оборудование|1</v>
      </c>
      <c t="str" r="R1051" s="6">
        <f>A1051&amp;"|"&amp;C1051&amp;"|"&amp;D1051&amp;"|"&amp;J1051</f>
        <v>Flexo Food , Грузия|Шкала|Оборудование|4</v>
      </c>
      <c t="str" r="S1051" s="6">
        <f>A1051&amp;"|"&amp;C1051&amp;"|"&amp;D1051&amp;"|"&amp;G1051&amp;"|"&amp;J1051</f>
        <v>Flexo Food , Грузия|Шкала|Оборудование|1|4</v>
      </c>
      <c t="str" r="T1051" s="6">
        <f>A1051&amp;"|"&amp;C1051&amp;"|"&amp;G1051</f>
        <v>Flexo Food , Грузия|Шкала|1</v>
      </c>
      <c t="str" r="U1051" s="6">
        <f>IF(H1051="да",A1051&amp;"|"&amp;C1051&amp;"|"&amp;D1051&amp;"|"&amp;J1051,"")</f>
        <v/>
      </c>
      <c t="str" r="V1051" s="6">
        <f>IF(C1051="План",A1051&amp;"|"&amp;J1051,"")</f>
        <v/>
      </c>
    </row>
    <row r="1052">
      <c r="A1052" s="3" t="inlineStr">
        <is>
          <t>Flexo Food , Грузия</t>
        </is>
      </c>
      <c r="B1052" s="3" t="inlineStr">
        <is>
          <t>Заруб</t>
        </is>
      </c>
      <c r="C1052" s="3" t="inlineStr">
        <is>
          <t>Шкала</t>
        </is>
      </c>
      <c r="D1052" s="3" t="inlineStr">
        <is>
          <t>Оборудование</t>
        </is>
      </c>
      <c r="E1052" s="3" t="inlineStr">
        <is>
          <t>Оборудование — за полугодие</t>
        </is>
      </c>
      <c r="F1052" s="3" t="inlineStr">
        <is>
          <t>Базовое вознаграждение за Дилерский договор</t>
        </is>
      </c>
      <c r="G1052" s="4" t="n">
        <v>1</v>
      </c>
      <c r="H1052" s="4" t="n"/>
      <c r="I1052" s="3" t="inlineStr">
        <is>
          <t>190-224</t>
        </is>
      </c>
      <c r="J1052" s="4" t="n">
        <v>5</v>
      </c>
      <c r="K1052" s="4" t="n"/>
      <c r="L1052" s="4" t="n"/>
      <c r="M1052" s="8" t="n">
        <v>0.06</v>
      </c>
      <c r="N1052" s="4" t="inlineStr">
        <is>
          <t>%</t>
        </is>
      </c>
      <c r="O1052" s="3" t="inlineStr">
        <is>
          <t>Flexo Food Ltd, Грузия</t>
        </is>
      </c>
      <c r="P1052" s="3" t="inlineStr">
        <is>
          <t>I15</t>
        </is>
      </c>
      <c t="str" r="Q1052" s="6">
        <f>A1052&amp;"|"&amp;C1052&amp;"|"&amp;D1052&amp;"|"&amp;G1052</f>
        <v>Flexo Food , Грузия|Шкала|Оборудование|1</v>
      </c>
      <c t="str" r="R1052" s="6">
        <f>A1052&amp;"|"&amp;C1052&amp;"|"&amp;D1052&amp;"|"&amp;J1052</f>
        <v>Flexo Food , Грузия|Шкала|Оборудование|5</v>
      </c>
      <c t="str" r="S1052" s="6">
        <f>A1052&amp;"|"&amp;C1052&amp;"|"&amp;D1052&amp;"|"&amp;G1052&amp;"|"&amp;J1052</f>
        <v>Flexo Food , Грузия|Шкала|Оборудование|1|5</v>
      </c>
      <c t="str" r="T1052" s="6">
        <f>A1052&amp;"|"&amp;C1052&amp;"|"&amp;G1052</f>
        <v>Flexo Food , Грузия|Шкала|1</v>
      </c>
      <c t="str" r="U1052" s="6">
        <f>IF(H1052="да",A1052&amp;"|"&amp;C1052&amp;"|"&amp;D1052&amp;"|"&amp;J1052,"")</f>
        <v/>
      </c>
      <c t="str" r="V1052" s="6">
        <f>IF(C1052="План",A1052&amp;"|"&amp;J1052,"")</f>
        <v/>
      </c>
    </row>
    <row r="1053">
      <c r="A1053" s="3" t="inlineStr">
        <is>
          <t>Flexo Food , Грузия</t>
        </is>
      </c>
      <c r="B1053" s="3" t="inlineStr">
        <is>
          <t>Заруб</t>
        </is>
      </c>
      <c r="C1053" s="3" t="inlineStr">
        <is>
          <t>Шкала</t>
        </is>
      </c>
      <c r="D1053" s="3" t="inlineStr">
        <is>
          <t>Оборудование</t>
        </is>
      </c>
      <c r="E1053" s="3" t="inlineStr">
        <is>
          <t>Оборудование — за полугодие</t>
        </is>
      </c>
      <c r="F1053" s="3" t="inlineStr">
        <is>
          <t>Базовое вознаграждение за Дилерский договор</t>
        </is>
      </c>
      <c r="G1053" s="4" t="n">
        <v>1</v>
      </c>
      <c r="H1053" s="4" t="n"/>
      <c r="I1053" s="3" t="inlineStr">
        <is>
          <t>225 и более</t>
        </is>
      </c>
      <c r="J1053" s="4" t="n">
        <v>6</v>
      </c>
      <c r="K1053" s="4" t="n"/>
      <c r="L1053" s="4" t="n"/>
      <c r="M1053" s="8" t="n">
        <v>0.06</v>
      </c>
      <c r="N1053" s="4" t="inlineStr">
        <is>
          <t>%</t>
        </is>
      </c>
      <c r="O1053" s="3" t="inlineStr">
        <is>
          <t>Flexo Food Ltd, Грузия</t>
        </is>
      </c>
      <c r="P1053" s="3" t="inlineStr">
        <is>
          <t>J15</t>
        </is>
      </c>
      <c t="str" r="Q1053" s="6">
        <f>A1053&amp;"|"&amp;C1053&amp;"|"&amp;D1053&amp;"|"&amp;G1053</f>
        <v>Flexo Food , Грузия|Шкала|Оборудование|1</v>
      </c>
      <c t="str" r="R1053" s="6">
        <f>A1053&amp;"|"&amp;C1053&amp;"|"&amp;D1053&amp;"|"&amp;J1053</f>
        <v>Flexo Food , Грузия|Шкала|Оборудование|6</v>
      </c>
      <c t="str" r="S1053" s="6">
        <f>A1053&amp;"|"&amp;C1053&amp;"|"&amp;D1053&amp;"|"&amp;G1053&amp;"|"&amp;J1053</f>
        <v>Flexo Food , Грузия|Шкала|Оборудование|1|6</v>
      </c>
      <c t="str" r="T1053" s="6">
        <f>A1053&amp;"|"&amp;C1053&amp;"|"&amp;G1053</f>
        <v>Flexo Food , Грузия|Шкала|1</v>
      </c>
      <c t="str" r="U1053" s="6">
        <f>IF(H1053="да",A1053&amp;"|"&amp;C1053&amp;"|"&amp;D1053&amp;"|"&amp;J1053,"")</f>
        <v/>
      </c>
      <c t="str" r="V1053" s="6">
        <f>IF(C1053="План",A1053&amp;"|"&amp;J1053,"")</f>
        <v/>
      </c>
    </row>
    <row r="1054">
      <c r="A1054" s="3" t="inlineStr">
        <is>
          <t>Flexo Food , Грузия</t>
        </is>
      </c>
      <c r="B1054" s="3" t="inlineStr">
        <is>
          <t>Заруб</t>
        </is>
      </c>
      <c r="C1054" s="3" t="inlineStr">
        <is>
          <t>Шкала</t>
        </is>
      </c>
      <c r="D1054" s="3" t="inlineStr">
        <is>
          <t>Оборудование</t>
        </is>
      </c>
      <c r="E1054" s="3" t="inlineStr">
        <is>
          <t>Оборудование — за полугодие</t>
        </is>
      </c>
      <c r="F1054" s="3" t="inlineStr">
        <is>
          <t>Наличие сервисного центра и гарантийное обслуживание</t>
        </is>
      </c>
      <c r="G1054" s="4" t="n">
        <v>2</v>
      </c>
      <c r="H1054" s="4" t="n"/>
      <c r="I1054" s="3" t="inlineStr">
        <is>
          <t>до 75</t>
        </is>
      </c>
      <c r="J1054" s="4" t="n">
        <v>1</v>
      </c>
      <c r="K1054" s="4" t="n"/>
      <c r="L1054" s="4" t="n"/>
      <c r="M1054" s="8" t="n">
        <v>0.01</v>
      </c>
      <c r="N1054" s="4" t="inlineStr">
        <is>
          <t>%</t>
        </is>
      </c>
      <c r="O1054" s="3" t="inlineStr">
        <is>
          <t>Flexo Food Ltd, Грузия</t>
        </is>
      </c>
      <c r="P1054" s="3" t="inlineStr">
        <is>
          <t>E16</t>
        </is>
      </c>
      <c t="str" r="Q1054" s="6">
        <f>A1054&amp;"|"&amp;C1054&amp;"|"&amp;D1054&amp;"|"&amp;G1054</f>
        <v>Flexo Food , Грузия|Шкала|Оборудование|2</v>
      </c>
      <c t="str" r="R1054" s="6">
        <f>A1054&amp;"|"&amp;C1054&amp;"|"&amp;D1054&amp;"|"&amp;J1054</f>
        <v>Flexo Food , Грузия|Шкала|Оборудование|1</v>
      </c>
      <c t="str" r="S1054" s="6">
        <f>A1054&amp;"|"&amp;C1054&amp;"|"&amp;D1054&amp;"|"&amp;G1054&amp;"|"&amp;J1054</f>
        <v>Flexo Food , Грузия|Шкала|Оборудование|2|1</v>
      </c>
      <c t="str" r="T1054" s="6">
        <f>A1054&amp;"|"&amp;C1054&amp;"|"&amp;G1054</f>
        <v>Flexo Food , Грузия|Шкала|2</v>
      </c>
      <c t="str" r="U1054" s="6">
        <f>IF(H1054="да",A1054&amp;"|"&amp;C1054&amp;"|"&amp;D1054&amp;"|"&amp;J1054,"")</f>
        <v/>
      </c>
      <c t="str" r="V1054" s="6">
        <f>IF(C1054="План",A1054&amp;"|"&amp;J1054,"")</f>
        <v/>
      </c>
    </row>
    <row r="1055">
      <c r="A1055" s="3" t="inlineStr">
        <is>
          <t>Flexo Food , Грузия</t>
        </is>
      </c>
      <c r="B1055" s="3" t="inlineStr">
        <is>
          <t>Заруб</t>
        </is>
      </c>
      <c r="C1055" s="3" t="inlineStr">
        <is>
          <t>Шкала</t>
        </is>
      </c>
      <c r="D1055" s="3" t="inlineStr">
        <is>
          <t>Оборудование</t>
        </is>
      </c>
      <c r="E1055" s="3" t="inlineStr">
        <is>
          <t>Оборудование — за полугодие</t>
        </is>
      </c>
      <c r="F1055" s="3" t="inlineStr">
        <is>
          <t>Наличие сервисного центра и гарантийное обслуживание</t>
        </is>
      </c>
      <c r="G1055" s="4" t="n">
        <v>2</v>
      </c>
      <c r="H1055" s="4" t="n"/>
      <c r="I1055" s="3" t="inlineStr">
        <is>
          <t>75-114</t>
        </is>
      </c>
      <c r="J1055" s="4" t="n">
        <v>2</v>
      </c>
      <c r="K1055" s="4" t="n"/>
      <c r="L1055" s="4" t="n"/>
      <c r="M1055" s="8" t="n">
        <v>0.01</v>
      </c>
      <c r="N1055" s="4" t="inlineStr">
        <is>
          <t>%</t>
        </is>
      </c>
      <c r="O1055" s="3" t="inlineStr">
        <is>
          <t>Flexo Food Ltd, Грузия</t>
        </is>
      </c>
      <c r="P1055" s="3" t="inlineStr">
        <is>
          <t>F16</t>
        </is>
      </c>
      <c t="str" r="Q1055" s="6">
        <f>A1055&amp;"|"&amp;C1055&amp;"|"&amp;D1055&amp;"|"&amp;G1055</f>
        <v>Flexo Food , Грузия|Шкала|Оборудование|2</v>
      </c>
      <c t="str" r="R1055" s="6">
        <f>A1055&amp;"|"&amp;C1055&amp;"|"&amp;D1055&amp;"|"&amp;J1055</f>
        <v>Flexo Food , Грузия|Шкала|Оборудование|2</v>
      </c>
      <c t="str" r="S1055" s="6">
        <f>A1055&amp;"|"&amp;C1055&amp;"|"&amp;D1055&amp;"|"&amp;G1055&amp;"|"&amp;J1055</f>
        <v>Flexo Food , Грузия|Шкала|Оборудование|2|2</v>
      </c>
      <c t="str" r="T1055" s="6">
        <f>A1055&amp;"|"&amp;C1055&amp;"|"&amp;G1055</f>
        <v>Flexo Food , Грузия|Шкала|2</v>
      </c>
      <c t="str" r="U1055" s="6">
        <f>IF(H1055="да",A1055&amp;"|"&amp;C1055&amp;"|"&amp;D1055&amp;"|"&amp;J1055,"")</f>
        <v/>
      </c>
      <c t="str" r="V1055" s="6">
        <f>IF(C1055="План",A1055&amp;"|"&amp;J1055,"")</f>
        <v/>
      </c>
    </row>
    <row r="1056">
      <c r="A1056" s="3" t="inlineStr">
        <is>
          <t>Flexo Food , Грузия</t>
        </is>
      </c>
      <c r="B1056" s="3" t="inlineStr">
        <is>
          <t>Заруб</t>
        </is>
      </c>
      <c r="C1056" s="3" t="inlineStr">
        <is>
          <t>Шкала</t>
        </is>
      </c>
      <c r="D1056" s="3" t="inlineStr">
        <is>
          <t>Оборудование</t>
        </is>
      </c>
      <c r="E1056" s="3" t="inlineStr">
        <is>
          <t>Оборудование — за полугодие</t>
        </is>
      </c>
      <c r="F1056" s="3" t="inlineStr">
        <is>
          <t>Наличие сервисного центра и гарантийное обслуживание</t>
        </is>
      </c>
      <c r="G1056" s="4" t="n">
        <v>2</v>
      </c>
      <c r="H1056" s="4" t="n"/>
      <c r="I1056" s="3" t="inlineStr">
        <is>
          <t>115-149</t>
        </is>
      </c>
      <c r="J1056" s="4" t="n">
        <v>3</v>
      </c>
      <c r="K1056" s="4" t="n"/>
      <c r="L1056" s="4" t="n"/>
      <c r="M1056" s="8" t="n">
        <v>0.01</v>
      </c>
      <c r="N1056" s="4" t="inlineStr">
        <is>
          <t>%</t>
        </is>
      </c>
      <c r="O1056" s="3" t="inlineStr">
        <is>
          <t>Flexo Food Ltd, Грузия</t>
        </is>
      </c>
      <c r="P1056" s="3" t="inlineStr">
        <is>
          <t>G16</t>
        </is>
      </c>
      <c t="str" r="Q1056" s="6">
        <f>A1056&amp;"|"&amp;C1056&amp;"|"&amp;D1056&amp;"|"&amp;G1056</f>
        <v>Flexo Food , Грузия|Шкала|Оборудование|2</v>
      </c>
      <c t="str" r="R1056" s="6">
        <f>A1056&amp;"|"&amp;C1056&amp;"|"&amp;D1056&amp;"|"&amp;J1056</f>
        <v>Flexo Food , Грузия|Шкала|Оборудование|3</v>
      </c>
      <c t="str" r="S1056" s="6">
        <f>A1056&amp;"|"&amp;C1056&amp;"|"&amp;D1056&amp;"|"&amp;G1056&amp;"|"&amp;J1056</f>
        <v>Flexo Food , Грузия|Шкала|Оборудование|2|3</v>
      </c>
      <c t="str" r="T1056" s="6">
        <f>A1056&amp;"|"&amp;C1056&amp;"|"&amp;G1056</f>
        <v>Flexo Food , Грузия|Шкала|2</v>
      </c>
      <c t="str" r="U1056" s="6">
        <f>IF(H1056="да",A1056&amp;"|"&amp;C1056&amp;"|"&amp;D1056&amp;"|"&amp;J1056,"")</f>
        <v/>
      </c>
      <c t="str" r="V1056" s="6">
        <f>IF(C1056="План",A1056&amp;"|"&amp;J1056,"")</f>
        <v/>
      </c>
    </row>
    <row r="1057">
      <c r="A1057" s="3" t="inlineStr">
        <is>
          <t>Flexo Food , Грузия</t>
        </is>
      </c>
      <c r="B1057" s="3" t="inlineStr">
        <is>
          <t>Заруб</t>
        </is>
      </c>
      <c r="C1057" s="3" t="inlineStr">
        <is>
          <t>Шкала</t>
        </is>
      </c>
      <c r="D1057" s="3" t="inlineStr">
        <is>
          <t>Оборудование</t>
        </is>
      </c>
      <c r="E1057" s="3" t="inlineStr">
        <is>
          <t>Оборудование — за полугодие</t>
        </is>
      </c>
      <c r="F1057" s="3" t="inlineStr">
        <is>
          <t>Наличие сервисного центра и гарантийное обслуживание</t>
        </is>
      </c>
      <c r="G1057" s="4" t="n">
        <v>2</v>
      </c>
      <c r="H1057" s="4" t="n"/>
      <c r="I1057" s="3" t="inlineStr">
        <is>
          <t>150-189</t>
        </is>
      </c>
      <c r="J1057" s="4" t="n">
        <v>4</v>
      </c>
      <c r="K1057" s="4" t="n"/>
      <c r="L1057" s="4" t="n"/>
      <c r="M1057" s="8" t="n">
        <v>0.01</v>
      </c>
      <c r="N1057" s="4" t="inlineStr">
        <is>
          <t>%</t>
        </is>
      </c>
      <c r="O1057" s="3" t="inlineStr">
        <is>
          <t>Flexo Food Ltd, Грузия</t>
        </is>
      </c>
      <c r="P1057" s="3" t="inlineStr">
        <is>
          <t>H16</t>
        </is>
      </c>
      <c t="str" r="Q1057" s="6">
        <f>A1057&amp;"|"&amp;C1057&amp;"|"&amp;D1057&amp;"|"&amp;G1057</f>
        <v>Flexo Food , Грузия|Шкала|Оборудование|2</v>
      </c>
      <c t="str" r="R1057" s="6">
        <f>A1057&amp;"|"&amp;C1057&amp;"|"&amp;D1057&amp;"|"&amp;J1057</f>
        <v>Flexo Food , Грузия|Шкала|Оборудование|4</v>
      </c>
      <c t="str" r="S1057" s="6">
        <f>A1057&amp;"|"&amp;C1057&amp;"|"&amp;D1057&amp;"|"&amp;G1057&amp;"|"&amp;J1057</f>
        <v>Flexo Food , Грузия|Шкала|Оборудование|2|4</v>
      </c>
      <c t="str" r="T1057" s="6">
        <f>A1057&amp;"|"&amp;C1057&amp;"|"&amp;G1057</f>
        <v>Flexo Food , Грузия|Шкала|2</v>
      </c>
      <c t="str" r="U1057" s="6">
        <f>IF(H1057="да",A1057&amp;"|"&amp;C1057&amp;"|"&amp;D1057&amp;"|"&amp;J1057,"")</f>
        <v/>
      </c>
      <c t="str" r="V1057" s="6">
        <f>IF(C1057="План",A1057&amp;"|"&amp;J1057,"")</f>
        <v/>
      </c>
    </row>
    <row r="1058">
      <c r="A1058" s="3" t="inlineStr">
        <is>
          <t>Flexo Food , Грузия</t>
        </is>
      </c>
      <c r="B1058" s="3" t="inlineStr">
        <is>
          <t>Заруб</t>
        </is>
      </c>
      <c r="C1058" s="3" t="inlineStr">
        <is>
          <t>Шкала</t>
        </is>
      </c>
      <c r="D1058" s="3" t="inlineStr">
        <is>
          <t>Оборудование</t>
        </is>
      </c>
      <c r="E1058" s="3" t="inlineStr">
        <is>
          <t>Оборудование — за полугодие</t>
        </is>
      </c>
      <c r="F1058" s="3" t="inlineStr">
        <is>
          <t>Наличие сервисного центра и гарантийное обслуживание</t>
        </is>
      </c>
      <c r="G1058" s="4" t="n">
        <v>2</v>
      </c>
      <c r="H1058" s="4" t="n"/>
      <c r="I1058" s="3" t="inlineStr">
        <is>
          <t>190-224</t>
        </is>
      </c>
      <c r="J1058" s="4" t="n">
        <v>5</v>
      </c>
      <c r="K1058" s="4" t="n"/>
      <c r="L1058" s="4" t="n"/>
      <c r="M1058" s="8" t="n">
        <v>0.01</v>
      </c>
      <c r="N1058" s="4" t="inlineStr">
        <is>
          <t>%</t>
        </is>
      </c>
      <c r="O1058" s="3" t="inlineStr">
        <is>
          <t>Flexo Food Ltd, Грузия</t>
        </is>
      </c>
      <c r="P1058" s="3" t="inlineStr">
        <is>
          <t>I16</t>
        </is>
      </c>
      <c t="str" r="Q1058" s="6">
        <f>A1058&amp;"|"&amp;C1058&amp;"|"&amp;D1058&amp;"|"&amp;G1058</f>
        <v>Flexo Food , Грузия|Шкала|Оборудование|2</v>
      </c>
      <c t="str" r="R1058" s="6">
        <f>A1058&amp;"|"&amp;C1058&amp;"|"&amp;D1058&amp;"|"&amp;J1058</f>
        <v>Flexo Food , Грузия|Шкала|Оборудование|5</v>
      </c>
      <c t="str" r="S1058" s="6">
        <f>A1058&amp;"|"&amp;C1058&amp;"|"&amp;D1058&amp;"|"&amp;G1058&amp;"|"&amp;J1058</f>
        <v>Flexo Food , Грузия|Шкала|Оборудование|2|5</v>
      </c>
      <c t="str" r="T1058" s="6">
        <f>A1058&amp;"|"&amp;C1058&amp;"|"&amp;G1058</f>
        <v>Flexo Food , Грузия|Шкала|2</v>
      </c>
      <c t="str" r="U1058" s="6">
        <f>IF(H1058="да",A1058&amp;"|"&amp;C1058&amp;"|"&amp;D1058&amp;"|"&amp;J1058,"")</f>
        <v/>
      </c>
      <c t="str" r="V1058" s="6">
        <f>IF(C1058="План",A1058&amp;"|"&amp;J1058,"")</f>
        <v/>
      </c>
    </row>
    <row r="1059">
      <c r="A1059" s="3" t="inlineStr">
        <is>
          <t>Flexo Food , Грузия</t>
        </is>
      </c>
      <c r="B1059" s="3" t="inlineStr">
        <is>
          <t>Заруб</t>
        </is>
      </c>
      <c r="C1059" s="3" t="inlineStr">
        <is>
          <t>Шкала</t>
        </is>
      </c>
      <c r="D1059" s="3" t="inlineStr">
        <is>
          <t>Оборудование</t>
        </is>
      </c>
      <c r="E1059" s="3" t="inlineStr">
        <is>
          <t>Оборудование — за полугодие</t>
        </is>
      </c>
      <c r="F1059" s="3" t="inlineStr">
        <is>
          <t>Наличие сервисного центра и гарантийное обслуживание</t>
        </is>
      </c>
      <c r="G1059" s="4" t="n">
        <v>2</v>
      </c>
      <c r="H1059" s="4" t="n"/>
      <c r="I1059" s="3" t="inlineStr">
        <is>
          <t>225 и более</t>
        </is>
      </c>
      <c r="J1059" s="4" t="n">
        <v>6</v>
      </c>
      <c r="K1059" s="4" t="n"/>
      <c r="L1059" s="4" t="n"/>
      <c r="M1059" s="8" t="n">
        <v>0.01</v>
      </c>
      <c r="N1059" s="4" t="inlineStr">
        <is>
          <t>%</t>
        </is>
      </c>
      <c r="O1059" s="3" t="inlineStr">
        <is>
          <t>Flexo Food Ltd, Грузия</t>
        </is>
      </c>
      <c r="P1059" s="3" t="inlineStr">
        <is>
          <t>J16</t>
        </is>
      </c>
      <c t="str" r="Q1059" s="6">
        <f>A1059&amp;"|"&amp;C1059&amp;"|"&amp;D1059&amp;"|"&amp;G1059</f>
        <v>Flexo Food , Грузия|Шкала|Оборудование|2</v>
      </c>
      <c t="str" r="R1059" s="6">
        <f>A1059&amp;"|"&amp;C1059&amp;"|"&amp;D1059&amp;"|"&amp;J1059</f>
        <v>Flexo Food , Грузия|Шкала|Оборудование|6</v>
      </c>
      <c t="str" r="S1059" s="6">
        <f>A1059&amp;"|"&amp;C1059&amp;"|"&amp;D1059&amp;"|"&amp;G1059&amp;"|"&amp;J1059</f>
        <v>Flexo Food , Грузия|Шкала|Оборудование|2|6</v>
      </c>
      <c t="str" r="T1059" s="6">
        <f>A1059&amp;"|"&amp;C1059&amp;"|"&amp;G1059</f>
        <v>Flexo Food , Грузия|Шкала|2</v>
      </c>
      <c t="str" r="U1059" s="6">
        <f>IF(H1059="да",A1059&amp;"|"&amp;C1059&amp;"|"&amp;D1059&amp;"|"&amp;J1059,"")</f>
        <v/>
      </c>
      <c t="str" r="V1059" s="6">
        <f>IF(C1059="План",A1059&amp;"|"&amp;J1059,"")</f>
        <v/>
      </c>
    </row>
    <row r="1060">
      <c r="A1060" s="3" t="inlineStr">
        <is>
          <t>Flexo Food , Грузия</t>
        </is>
      </c>
      <c r="B1060" s="3" t="inlineStr">
        <is>
          <t>Заруб</t>
        </is>
      </c>
      <c r="C1060" s="3" t="inlineStr">
        <is>
          <t>Шкала</t>
        </is>
      </c>
      <c r="D1060" s="3" t="inlineStr">
        <is>
          <t>Оборудование</t>
        </is>
      </c>
      <c r="E1060" s="3" t="inlineStr">
        <is>
          <t>Оборудование — за полугодие</t>
        </is>
      </c>
      <c r="F1060" s="3" t="inlineStr">
        <is>
          <t>Объем закупок МП</t>
        </is>
      </c>
      <c r="G1060" s="4" t="n">
        <v>3</v>
      </c>
      <c r="H1060" s="4" t="n"/>
      <c r="I1060" s="3" t="inlineStr">
        <is>
          <t>до 75</t>
        </is>
      </c>
      <c r="J1060" s="4" t="n">
        <v>1</v>
      </c>
      <c r="K1060" s="4" t="n"/>
      <c r="L1060" s="4" t="n"/>
      <c r="M1060" s="8" t="n">
        <v>0.07000000000000001</v>
      </c>
      <c r="N1060" s="4" t="inlineStr">
        <is>
          <t>%</t>
        </is>
      </c>
      <c r="O1060" s="3" t="inlineStr">
        <is>
          <t>Flexo Food Ltd, Грузия</t>
        </is>
      </c>
      <c r="P1060" s="3" t="inlineStr">
        <is>
          <t>E17</t>
        </is>
      </c>
      <c t="str" r="Q1060" s="6">
        <f>A1060&amp;"|"&amp;C1060&amp;"|"&amp;D1060&amp;"|"&amp;G1060</f>
        <v>Flexo Food , Грузия|Шкала|Оборудование|3</v>
      </c>
      <c t="str" r="R1060" s="6">
        <f>A1060&amp;"|"&amp;C1060&amp;"|"&amp;D1060&amp;"|"&amp;J1060</f>
        <v>Flexo Food , Грузия|Шкала|Оборудование|1</v>
      </c>
      <c t="str" r="S1060" s="6">
        <f>A1060&amp;"|"&amp;C1060&amp;"|"&amp;D1060&amp;"|"&amp;G1060&amp;"|"&amp;J1060</f>
        <v>Flexo Food , Грузия|Шкала|Оборудование|3|1</v>
      </c>
      <c t="str" r="T1060" s="6">
        <f>A1060&amp;"|"&amp;C1060&amp;"|"&amp;G1060</f>
        <v>Flexo Food , Грузия|Шкала|3</v>
      </c>
      <c t="str" r="U1060" s="6">
        <f>IF(H1060="да",A1060&amp;"|"&amp;C1060&amp;"|"&amp;D1060&amp;"|"&amp;J1060,"")</f>
        <v/>
      </c>
      <c t="str" r="V1060" s="6">
        <f>IF(C1060="План",A1060&amp;"|"&amp;J1060,"")</f>
        <v/>
      </c>
    </row>
    <row r="1061">
      <c r="A1061" s="3" t="inlineStr">
        <is>
          <t>Flexo Food , Грузия</t>
        </is>
      </c>
      <c r="B1061" s="3" t="inlineStr">
        <is>
          <t>Заруб</t>
        </is>
      </c>
      <c r="C1061" s="3" t="inlineStr">
        <is>
          <t>Шкала</t>
        </is>
      </c>
      <c r="D1061" s="3" t="inlineStr">
        <is>
          <t>Оборудование</t>
        </is>
      </c>
      <c r="E1061" s="3" t="inlineStr">
        <is>
          <t>Оборудование — за полугодие</t>
        </is>
      </c>
      <c r="F1061" s="3" t="inlineStr">
        <is>
          <t>Объем закупок МП</t>
        </is>
      </c>
      <c r="G1061" s="4" t="n">
        <v>3</v>
      </c>
      <c r="H1061" s="4" t="n"/>
      <c r="I1061" s="3" t="inlineStr">
        <is>
          <t>75-114</t>
        </is>
      </c>
      <c r="J1061" s="4" t="n">
        <v>2</v>
      </c>
      <c r="K1061" s="4" t="n"/>
      <c r="L1061" s="4" t="n"/>
      <c r="M1061" s="8" t="n">
        <v>0.09</v>
      </c>
      <c r="N1061" s="4" t="inlineStr">
        <is>
          <t>%</t>
        </is>
      </c>
      <c r="O1061" s="3" t="inlineStr">
        <is>
          <t>Flexo Food Ltd, Грузия</t>
        </is>
      </c>
      <c r="P1061" s="3" t="inlineStr">
        <is>
          <t>F17</t>
        </is>
      </c>
      <c t="str" r="Q1061" s="6">
        <f>A1061&amp;"|"&amp;C1061&amp;"|"&amp;D1061&amp;"|"&amp;G1061</f>
        <v>Flexo Food , Грузия|Шкала|Оборудование|3</v>
      </c>
      <c t="str" r="R1061" s="6">
        <f>A1061&amp;"|"&amp;C1061&amp;"|"&amp;D1061&amp;"|"&amp;J1061</f>
        <v>Flexo Food , Грузия|Шкала|Оборудование|2</v>
      </c>
      <c t="str" r="S1061" s="6">
        <f>A1061&amp;"|"&amp;C1061&amp;"|"&amp;D1061&amp;"|"&amp;G1061&amp;"|"&amp;J1061</f>
        <v>Flexo Food , Грузия|Шкала|Оборудование|3|2</v>
      </c>
      <c t="str" r="T1061" s="6">
        <f>A1061&amp;"|"&amp;C1061&amp;"|"&amp;G1061</f>
        <v>Flexo Food , Грузия|Шкала|3</v>
      </c>
      <c t="str" r="U1061" s="6">
        <f>IF(H1061="да",A1061&amp;"|"&amp;C1061&amp;"|"&amp;D1061&amp;"|"&amp;J1061,"")</f>
        <v/>
      </c>
      <c t="str" r="V1061" s="6">
        <f>IF(C1061="План",A1061&amp;"|"&amp;J1061,"")</f>
        <v/>
      </c>
    </row>
    <row r="1062">
      <c r="A1062" s="3" t="inlineStr">
        <is>
          <t>Flexo Food , Грузия</t>
        </is>
      </c>
      <c r="B1062" s="3" t="inlineStr">
        <is>
          <t>Заруб</t>
        </is>
      </c>
      <c r="C1062" s="3" t="inlineStr">
        <is>
          <t>Шкала</t>
        </is>
      </c>
      <c r="D1062" s="3" t="inlineStr">
        <is>
          <t>Оборудование</t>
        </is>
      </c>
      <c r="E1062" s="3" t="inlineStr">
        <is>
          <t>Оборудование — за полугодие</t>
        </is>
      </c>
      <c r="F1062" s="3" t="inlineStr">
        <is>
          <t>Объем закупок МП</t>
        </is>
      </c>
      <c r="G1062" s="4" t="n">
        <v>3</v>
      </c>
      <c r="H1062" s="4" t="n"/>
      <c r="I1062" s="3" t="inlineStr">
        <is>
          <t>115-149</t>
        </is>
      </c>
      <c r="J1062" s="4" t="n">
        <v>3</v>
      </c>
      <c r="K1062" s="4" t="n"/>
      <c r="L1062" s="4" t="n"/>
      <c r="M1062" s="8" t="n">
        <v>0.1</v>
      </c>
      <c r="N1062" s="4" t="inlineStr">
        <is>
          <t>%</t>
        </is>
      </c>
      <c r="O1062" s="3" t="inlineStr">
        <is>
          <t>Flexo Food Ltd, Грузия</t>
        </is>
      </c>
      <c r="P1062" s="3" t="inlineStr">
        <is>
          <t>G17</t>
        </is>
      </c>
      <c t="str" r="Q1062" s="6">
        <f>A1062&amp;"|"&amp;C1062&amp;"|"&amp;D1062&amp;"|"&amp;G1062</f>
        <v>Flexo Food , Грузия|Шкала|Оборудование|3</v>
      </c>
      <c t="str" r="R1062" s="6">
        <f>A1062&amp;"|"&amp;C1062&amp;"|"&amp;D1062&amp;"|"&amp;J1062</f>
        <v>Flexo Food , Грузия|Шкала|Оборудование|3</v>
      </c>
      <c t="str" r="S1062" s="6">
        <f>A1062&amp;"|"&amp;C1062&amp;"|"&amp;D1062&amp;"|"&amp;G1062&amp;"|"&amp;J1062</f>
        <v>Flexo Food , Грузия|Шкала|Оборудование|3|3</v>
      </c>
      <c t="str" r="T1062" s="6">
        <f>A1062&amp;"|"&amp;C1062&amp;"|"&amp;G1062</f>
        <v>Flexo Food , Грузия|Шкала|3</v>
      </c>
      <c t="str" r="U1062" s="6">
        <f>IF(H1062="да",A1062&amp;"|"&amp;C1062&amp;"|"&amp;D1062&amp;"|"&amp;J1062,"")</f>
        <v/>
      </c>
      <c t="str" r="V1062" s="6">
        <f>IF(C1062="План",A1062&amp;"|"&amp;J1062,"")</f>
        <v/>
      </c>
    </row>
    <row r="1063">
      <c r="A1063" s="3" t="inlineStr">
        <is>
          <t>Flexo Food , Грузия</t>
        </is>
      </c>
      <c r="B1063" s="3" t="inlineStr">
        <is>
          <t>Заруб</t>
        </is>
      </c>
      <c r="C1063" s="3" t="inlineStr">
        <is>
          <t>Шкала</t>
        </is>
      </c>
      <c r="D1063" s="3" t="inlineStr">
        <is>
          <t>Оборудование</t>
        </is>
      </c>
      <c r="E1063" s="3" t="inlineStr">
        <is>
          <t>Оборудование — за полугодие</t>
        </is>
      </c>
      <c r="F1063" s="3" t="inlineStr">
        <is>
          <t>Объем закупок МП</t>
        </is>
      </c>
      <c r="G1063" s="4" t="n">
        <v>3</v>
      </c>
      <c r="H1063" s="4" t="n"/>
      <c r="I1063" s="3" t="inlineStr">
        <is>
          <t>150-189</t>
        </is>
      </c>
      <c r="J1063" s="4" t="n">
        <v>4</v>
      </c>
      <c r="K1063" s="4" t="n"/>
      <c r="L1063" s="4" t="n"/>
      <c r="M1063" s="8" t="n">
        <v>0.11</v>
      </c>
      <c r="N1063" s="4" t="inlineStr">
        <is>
          <t>%</t>
        </is>
      </c>
      <c r="O1063" s="3" t="inlineStr">
        <is>
          <t>Flexo Food Ltd, Грузия</t>
        </is>
      </c>
      <c r="P1063" s="3" t="inlineStr">
        <is>
          <t>H17</t>
        </is>
      </c>
      <c t="str" r="Q1063" s="6">
        <f>A1063&amp;"|"&amp;C1063&amp;"|"&amp;D1063&amp;"|"&amp;G1063</f>
        <v>Flexo Food , Грузия|Шкала|Оборудование|3</v>
      </c>
      <c t="str" r="R1063" s="6">
        <f>A1063&amp;"|"&amp;C1063&amp;"|"&amp;D1063&amp;"|"&amp;J1063</f>
        <v>Flexo Food , Грузия|Шкала|Оборудование|4</v>
      </c>
      <c t="str" r="S1063" s="6">
        <f>A1063&amp;"|"&amp;C1063&amp;"|"&amp;D1063&amp;"|"&amp;G1063&amp;"|"&amp;J1063</f>
        <v>Flexo Food , Грузия|Шкала|Оборудование|3|4</v>
      </c>
      <c t="str" r="T1063" s="6">
        <f>A1063&amp;"|"&amp;C1063&amp;"|"&amp;G1063</f>
        <v>Flexo Food , Грузия|Шкала|3</v>
      </c>
      <c t="str" r="U1063" s="6">
        <f>IF(H1063="да",A1063&amp;"|"&amp;C1063&amp;"|"&amp;D1063&amp;"|"&amp;J1063,"")</f>
        <v/>
      </c>
      <c t="str" r="V1063" s="6">
        <f>IF(C1063="План",A1063&amp;"|"&amp;J1063,"")</f>
        <v/>
      </c>
    </row>
    <row r="1064">
      <c r="A1064" s="3" t="inlineStr">
        <is>
          <t>Flexo Food , Грузия</t>
        </is>
      </c>
      <c r="B1064" s="3" t="inlineStr">
        <is>
          <t>Заруб</t>
        </is>
      </c>
      <c r="C1064" s="3" t="inlineStr">
        <is>
          <t>Шкала</t>
        </is>
      </c>
      <c r="D1064" s="3" t="inlineStr">
        <is>
          <t>Оборудование</t>
        </is>
      </c>
      <c r="E1064" s="3" t="inlineStr">
        <is>
          <t>Оборудование — за полугодие</t>
        </is>
      </c>
      <c r="F1064" s="3" t="inlineStr">
        <is>
          <t>Объем закупок МП</t>
        </is>
      </c>
      <c r="G1064" s="4" t="n">
        <v>3</v>
      </c>
      <c r="H1064" s="4" t="n"/>
      <c r="I1064" s="3" t="inlineStr">
        <is>
          <t>190-224</t>
        </is>
      </c>
      <c r="J1064" s="4" t="n">
        <v>5</v>
      </c>
      <c r="K1064" s="4" t="n"/>
      <c r="L1064" s="4" t="n"/>
      <c r="M1064" s="8" t="n">
        <v>0.12</v>
      </c>
      <c r="N1064" s="4" t="inlineStr">
        <is>
          <t>%</t>
        </is>
      </c>
      <c r="O1064" s="3" t="inlineStr">
        <is>
          <t>Flexo Food Ltd, Грузия</t>
        </is>
      </c>
      <c r="P1064" s="3" t="inlineStr">
        <is>
          <t>I17</t>
        </is>
      </c>
      <c t="str" r="Q1064" s="6">
        <f>A1064&amp;"|"&amp;C1064&amp;"|"&amp;D1064&amp;"|"&amp;G1064</f>
        <v>Flexo Food , Грузия|Шкала|Оборудование|3</v>
      </c>
      <c t="str" r="R1064" s="6">
        <f>A1064&amp;"|"&amp;C1064&amp;"|"&amp;D1064&amp;"|"&amp;J1064</f>
        <v>Flexo Food , Грузия|Шкала|Оборудование|5</v>
      </c>
      <c t="str" r="S1064" s="6">
        <f>A1064&amp;"|"&amp;C1064&amp;"|"&amp;D1064&amp;"|"&amp;G1064&amp;"|"&amp;J1064</f>
        <v>Flexo Food , Грузия|Шкала|Оборудование|3|5</v>
      </c>
      <c t="str" r="T1064" s="6">
        <f>A1064&amp;"|"&amp;C1064&amp;"|"&amp;G1064</f>
        <v>Flexo Food , Грузия|Шкала|3</v>
      </c>
      <c t="str" r="U1064" s="6">
        <f>IF(H1064="да",A1064&amp;"|"&amp;C1064&amp;"|"&amp;D1064&amp;"|"&amp;J1064,"")</f>
        <v/>
      </c>
      <c t="str" r="V1064" s="6">
        <f>IF(C1064="План",A1064&amp;"|"&amp;J1064,"")</f>
        <v/>
      </c>
    </row>
    <row r="1065">
      <c r="A1065" s="3" t="inlineStr">
        <is>
          <t>Flexo Food , Грузия</t>
        </is>
      </c>
      <c r="B1065" s="3" t="inlineStr">
        <is>
          <t>Заруб</t>
        </is>
      </c>
      <c r="C1065" s="3" t="inlineStr">
        <is>
          <t>Шкала</t>
        </is>
      </c>
      <c r="D1065" s="3" t="inlineStr">
        <is>
          <t>Оборудование</t>
        </is>
      </c>
      <c r="E1065" s="3" t="inlineStr">
        <is>
          <t>Оборудование — за полугодие</t>
        </is>
      </c>
      <c r="F1065" s="3" t="inlineStr">
        <is>
          <t>Объем закупок МП</t>
        </is>
      </c>
      <c r="G1065" s="4" t="n">
        <v>3</v>
      </c>
      <c r="H1065" s="4" t="n"/>
      <c r="I1065" s="3" t="inlineStr">
        <is>
          <t>225 и более</t>
        </is>
      </c>
      <c r="J1065" s="4" t="n">
        <v>6</v>
      </c>
      <c r="K1065" s="4" t="n"/>
      <c r="L1065" s="4" t="n"/>
      <c r="M1065" s="8" t="n">
        <v>0.13</v>
      </c>
      <c r="N1065" s="4" t="inlineStr">
        <is>
          <t>%</t>
        </is>
      </c>
      <c r="O1065" s="3" t="inlineStr">
        <is>
          <t>Flexo Food Ltd, Грузия</t>
        </is>
      </c>
      <c r="P1065" s="3" t="inlineStr">
        <is>
          <t>J17</t>
        </is>
      </c>
      <c t="str" r="Q1065" s="6">
        <f>A1065&amp;"|"&amp;C1065&amp;"|"&amp;D1065&amp;"|"&amp;G1065</f>
        <v>Flexo Food , Грузия|Шкала|Оборудование|3</v>
      </c>
      <c t="str" r="R1065" s="6">
        <f>A1065&amp;"|"&amp;C1065&amp;"|"&amp;D1065&amp;"|"&amp;J1065</f>
        <v>Flexo Food , Грузия|Шкала|Оборудование|6</v>
      </c>
      <c t="str" r="S1065" s="6">
        <f>A1065&amp;"|"&amp;C1065&amp;"|"&amp;D1065&amp;"|"&amp;G1065&amp;"|"&amp;J1065</f>
        <v>Flexo Food , Грузия|Шкала|Оборудование|3|6</v>
      </c>
      <c t="str" r="T1065" s="6">
        <f>A1065&amp;"|"&amp;C1065&amp;"|"&amp;G1065</f>
        <v>Flexo Food , Грузия|Шкала|3</v>
      </c>
      <c t="str" r="U1065" s="6">
        <f>IF(H1065="да",A1065&amp;"|"&amp;C1065&amp;"|"&amp;D1065&amp;"|"&amp;J1065,"")</f>
        <v/>
      </c>
      <c t="str" r="V1065" s="6">
        <f>IF(C1065="План",A1065&amp;"|"&amp;J1065,"")</f>
        <v/>
      </c>
    </row>
    <row r="1066">
      <c r="A1066" s="3" t="inlineStr">
        <is>
          <t>Flexo Food , Грузия</t>
        </is>
      </c>
      <c r="B1066" s="3" t="inlineStr">
        <is>
          <t>Заруб</t>
        </is>
      </c>
      <c r="C1066" s="3" t="inlineStr">
        <is>
          <t>Шкала</t>
        </is>
      </c>
      <c r="D1066" s="3" t="inlineStr">
        <is>
          <t>Оборудование</t>
        </is>
      </c>
      <c r="E1066" s="3" t="inlineStr">
        <is>
          <t>Оборудование — за полугодие</t>
        </is>
      </c>
      <c r="F1066" s="3" t="inlineStr">
        <is>
          <t>ИТОГО</t>
        </is>
      </c>
      <c r="G1066" s="4" t="n">
        <v>4</v>
      </c>
      <c r="H1066" s="4" t="inlineStr">
        <is>
          <t>да</t>
        </is>
      </c>
      <c r="I1066" s="3" t="inlineStr">
        <is>
          <t>до 75</t>
        </is>
      </c>
      <c r="J1066" s="4" t="n">
        <v>1</v>
      </c>
      <c r="K1066" s="4" t="n"/>
      <c r="L1066" s="4" t="n"/>
      <c r="M1066" s="8" t="n">
        <v>0.14</v>
      </c>
      <c r="N1066" s="4" t="inlineStr">
        <is>
          <t>%</t>
        </is>
      </c>
      <c r="O1066" s="3" t="inlineStr">
        <is>
          <t>Flexo Food Ltd, Грузия</t>
        </is>
      </c>
      <c r="P1066" s="3" t="inlineStr">
        <is>
          <t>E18</t>
        </is>
      </c>
      <c t="str" r="Q1066" s="6">
        <f>A1066&amp;"|"&amp;C1066&amp;"|"&amp;D1066&amp;"|"&amp;G1066</f>
        <v>Flexo Food , Грузия|Шкала|Оборудование|4</v>
      </c>
      <c t="str" r="R1066" s="6">
        <f>A1066&amp;"|"&amp;C1066&amp;"|"&amp;D1066&amp;"|"&amp;J1066</f>
        <v>Flexo Food , Грузия|Шкала|Оборудование|1</v>
      </c>
      <c t="str" r="S1066" s="6">
        <f>A1066&amp;"|"&amp;C1066&amp;"|"&amp;D1066&amp;"|"&amp;G1066&amp;"|"&amp;J1066</f>
        <v>Flexo Food , Грузия|Шкала|Оборудование|4|1</v>
      </c>
      <c t="str" r="T1066" s="6">
        <f>A1066&amp;"|"&amp;C1066&amp;"|"&amp;G1066</f>
        <v>Flexo Food , Грузия|Шкала|4</v>
      </c>
      <c t="str" r="U1066" s="6">
        <f>IF(H1066="да",A1066&amp;"|"&amp;C1066&amp;"|"&amp;D1066&amp;"|"&amp;J1066,"")</f>
        <v>Flexo Food , Грузия|Шкала|Оборудование|1</v>
      </c>
      <c t="str" r="V1066" s="6">
        <f>IF(C1066="План",A1066&amp;"|"&amp;J1066,"")</f>
        <v/>
      </c>
    </row>
    <row r="1067">
      <c r="A1067" s="3" t="inlineStr">
        <is>
          <t>Flexo Food , Грузия</t>
        </is>
      </c>
      <c r="B1067" s="3" t="inlineStr">
        <is>
          <t>Заруб</t>
        </is>
      </c>
      <c r="C1067" s="3" t="inlineStr">
        <is>
          <t>Шкала</t>
        </is>
      </c>
      <c r="D1067" s="3" t="inlineStr">
        <is>
          <t>Оборудование</t>
        </is>
      </c>
      <c r="E1067" s="3" t="inlineStr">
        <is>
          <t>Оборудование — за полугодие</t>
        </is>
      </c>
      <c r="F1067" s="3" t="inlineStr">
        <is>
          <t>ИТОГО</t>
        </is>
      </c>
      <c r="G1067" s="4" t="n">
        <v>4</v>
      </c>
      <c r="H1067" s="4" t="inlineStr">
        <is>
          <t>да</t>
        </is>
      </c>
      <c r="I1067" s="3" t="inlineStr">
        <is>
          <t>75-114</t>
        </is>
      </c>
      <c r="J1067" s="4" t="n">
        <v>2</v>
      </c>
      <c r="K1067" s="4" t="n"/>
      <c r="L1067" s="4" t="n"/>
      <c r="M1067" s="8" t="n">
        <v>0.16</v>
      </c>
      <c r="N1067" s="4" t="inlineStr">
        <is>
          <t>%</t>
        </is>
      </c>
      <c r="O1067" s="3" t="inlineStr">
        <is>
          <t>Flexo Food Ltd, Грузия</t>
        </is>
      </c>
      <c r="P1067" s="3" t="inlineStr">
        <is>
          <t>F18</t>
        </is>
      </c>
      <c t="str" r="Q1067" s="6">
        <f>A1067&amp;"|"&amp;C1067&amp;"|"&amp;D1067&amp;"|"&amp;G1067</f>
        <v>Flexo Food , Грузия|Шкала|Оборудование|4</v>
      </c>
      <c t="str" r="R1067" s="6">
        <f>A1067&amp;"|"&amp;C1067&amp;"|"&amp;D1067&amp;"|"&amp;J1067</f>
        <v>Flexo Food , Грузия|Шкала|Оборудование|2</v>
      </c>
      <c t="str" r="S1067" s="6">
        <f>A1067&amp;"|"&amp;C1067&amp;"|"&amp;D1067&amp;"|"&amp;G1067&amp;"|"&amp;J1067</f>
        <v>Flexo Food , Грузия|Шкала|Оборудование|4|2</v>
      </c>
      <c t="str" r="T1067" s="6">
        <f>A1067&amp;"|"&amp;C1067&amp;"|"&amp;G1067</f>
        <v>Flexo Food , Грузия|Шкала|4</v>
      </c>
      <c t="str" r="U1067" s="6">
        <f>IF(H1067="да",A1067&amp;"|"&amp;C1067&amp;"|"&amp;D1067&amp;"|"&amp;J1067,"")</f>
        <v>Flexo Food , Грузия|Шкала|Оборудование|2</v>
      </c>
      <c t="str" r="V1067" s="6">
        <f>IF(C1067="План",A1067&amp;"|"&amp;J1067,"")</f>
        <v/>
      </c>
    </row>
    <row r="1068">
      <c r="A1068" s="3" t="inlineStr">
        <is>
          <t>Flexo Food , Грузия</t>
        </is>
      </c>
      <c r="B1068" s="3" t="inlineStr">
        <is>
          <t>Заруб</t>
        </is>
      </c>
      <c r="C1068" s="3" t="inlineStr">
        <is>
          <t>Шкала</t>
        </is>
      </c>
      <c r="D1068" s="3" t="inlineStr">
        <is>
          <t>Оборудование</t>
        </is>
      </c>
      <c r="E1068" s="3" t="inlineStr">
        <is>
          <t>Оборудование — за полугодие</t>
        </is>
      </c>
      <c r="F1068" s="3" t="inlineStr">
        <is>
          <t>ИТОГО</t>
        </is>
      </c>
      <c r="G1068" s="4" t="n">
        <v>4</v>
      </c>
      <c r="H1068" s="4" t="inlineStr">
        <is>
          <t>да</t>
        </is>
      </c>
      <c r="I1068" s="3" t="inlineStr">
        <is>
          <t>115-149</t>
        </is>
      </c>
      <c r="J1068" s="4" t="n">
        <v>3</v>
      </c>
      <c r="K1068" s="4" t="n"/>
      <c r="L1068" s="4" t="n"/>
      <c r="M1068" s="8" t="n">
        <v>0.17</v>
      </c>
      <c r="N1068" s="4" t="inlineStr">
        <is>
          <t>%</t>
        </is>
      </c>
      <c r="O1068" s="3" t="inlineStr">
        <is>
          <t>Flexo Food Ltd, Грузия</t>
        </is>
      </c>
      <c r="P1068" s="3" t="inlineStr">
        <is>
          <t>G18</t>
        </is>
      </c>
      <c t="str" r="Q1068" s="6">
        <f>A1068&amp;"|"&amp;C1068&amp;"|"&amp;D1068&amp;"|"&amp;G1068</f>
        <v>Flexo Food , Грузия|Шкала|Оборудование|4</v>
      </c>
      <c t="str" r="R1068" s="6">
        <f>A1068&amp;"|"&amp;C1068&amp;"|"&amp;D1068&amp;"|"&amp;J1068</f>
        <v>Flexo Food , Грузия|Шкала|Оборудование|3</v>
      </c>
      <c t="str" r="S1068" s="6">
        <f>A1068&amp;"|"&amp;C1068&amp;"|"&amp;D1068&amp;"|"&amp;G1068&amp;"|"&amp;J1068</f>
        <v>Flexo Food , Грузия|Шкала|Оборудование|4|3</v>
      </c>
      <c t="str" r="T1068" s="6">
        <f>A1068&amp;"|"&amp;C1068&amp;"|"&amp;G1068</f>
        <v>Flexo Food , Грузия|Шкала|4</v>
      </c>
      <c t="str" r="U1068" s="6">
        <f>IF(H1068="да",A1068&amp;"|"&amp;C1068&amp;"|"&amp;D1068&amp;"|"&amp;J1068,"")</f>
        <v>Flexo Food , Грузия|Шкала|Оборудование|3</v>
      </c>
      <c t="str" r="V1068" s="6">
        <f>IF(C1068="План",A1068&amp;"|"&amp;J1068,"")</f>
        <v/>
      </c>
    </row>
    <row r="1069">
      <c r="A1069" s="3" t="inlineStr">
        <is>
          <t>Flexo Food , Грузия</t>
        </is>
      </c>
      <c r="B1069" s="3" t="inlineStr">
        <is>
          <t>Заруб</t>
        </is>
      </c>
      <c r="C1069" s="3" t="inlineStr">
        <is>
          <t>Шкала</t>
        </is>
      </c>
      <c r="D1069" s="3" t="inlineStr">
        <is>
          <t>Оборудование</t>
        </is>
      </c>
      <c r="E1069" s="3" t="inlineStr">
        <is>
          <t>Оборудование — за полугодие</t>
        </is>
      </c>
      <c r="F1069" s="3" t="inlineStr">
        <is>
          <t>ИТОГО</t>
        </is>
      </c>
      <c r="G1069" s="4" t="n">
        <v>4</v>
      </c>
      <c r="H1069" s="4" t="inlineStr">
        <is>
          <t>да</t>
        </is>
      </c>
      <c r="I1069" s="3" t="inlineStr">
        <is>
          <t>150-189</t>
        </is>
      </c>
      <c r="J1069" s="4" t="n">
        <v>4</v>
      </c>
      <c r="K1069" s="4" t="n"/>
      <c r="L1069" s="4" t="n"/>
      <c r="M1069" s="8" t="n">
        <v>0.18</v>
      </c>
      <c r="N1069" s="4" t="inlineStr">
        <is>
          <t>%</t>
        </is>
      </c>
      <c r="O1069" s="3" t="inlineStr">
        <is>
          <t>Flexo Food Ltd, Грузия</t>
        </is>
      </c>
      <c r="P1069" s="3" t="inlineStr">
        <is>
          <t>H18</t>
        </is>
      </c>
      <c t="str" r="Q1069" s="6">
        <f>A1069&amp;"|"&amp;C1069&amp;"|"&amp;D1069&amp;"|"&amp;G1069</f>
        <v>Flexo Food , Грузия|Шкала|Оборудование|4</v>
      </c>
      <c t="str" r="R1069" s="6">
        <f>A1069&amp;"|"&amp;C1069&amp;"|"&amp;D1069&amp;"|"&amp;J1069</f>
        <v>Flexo Food , Грузия|Шкала|Оборудование|4</v>
      </c>
      <c t="str" r="S1069" s="6">
        <f>A1069&amp;"|"&amp;C1069&amp;"|"&amp;D1069&amp;"|"&amp;G1069&amp;"|"&amp;J1069</f>
        <v>Flexo Food , Грузия|Шкала|Оборудование|4|4</v>
      </c>
      <c t="str" r="T1069" s="6">
        <f>A1069&amp;"|"&amp;C1069&amp;"|"&amp;G1069</f>
        <v>Flexo Food , Грузия|Шкала|4</v>
      </c>
      <c t="str" r="U1069" s="6">
        <f>IF(H1069="да",A1069&amp;"|"&amp;C1069&amp;"|"&amp;D1069&amp;"|"&amp;J1069,"")</f>
        <v>Flexo Food , Грузия|Шкала|Оборудование|4</v>
      </c>
      <c t="str" r="V1069" s="6">
        <f>IF(C1069="План",A1069&amp;"|"&amp;J1069,"")</f>
        <v/>
      </c>
    </row>
    <row r="1070">
      <c r="A1070" s="3" t="inlineStr">
        <is>
          <t>Flexo Food , Грузия</t>
        </is>
      </c>
      <c r="B1070" s="3" t="inlineStr">
        <is>
          <t>Заруб</t>
        </is>
      </c>
      <c r="C1070" s="3" t="inlineStr">
        <is>
          <t>Шкала</t>
        </is>
      </c>
      <c r="D1070" s="3" t="inlineStr">
        <is>
          <t>Оборудование</t>
        </is>
      </c>
      <c r="E1070" s="3" t="inlineStr">
        <is>
          <t>Оборудование — за полугодие</t>
        </is>
      </c>
      <c r="F1070" s="3" t="inlineStr">
        <is>
          <t>ИТОГО</t>
        </is>
      </c>
      <c r="G1070" s="4" t="n">
        <v>4</v>
      </c>
      <c r="H1070" s="4" t="inlineStr">
        <is>
          <t>да</t>
        </is>
      </c>
      <c r="I1070" s="3" t="inlineStr">
        <is>
          <t>190-224</t>
        </is>
      </c>
      <c r="J1070" s="4" t="n">
        <v>5</v>
      </c>
      <c r="K1070" s="4" t="n"/>
      <c r="L1070" s="4" t="n"/>
      <c r="M1070" s="8" t="n">
        <v>0.19</v>
      </c>
      <c r="N1070" s="4" t="inlineStr">
        <is>
          <t>%</t>
        </is>
      </c>
      <c r="O1070" s="3" t="inlineStr">
        <is>
          <t>Flexo Food Ltd, Грузия</t>
        </is>
      </c>
      <c r="P1070" s="3" t="inlineStr">
        <is>
          <t>I18</t>
        </is>
      </c>
      <c t="str" r="Q1070" s="6">
        <f>A1070&amp;"|"&amp;C1070&amp;"|"&amp;D1070&amp;"|"&amp;G1070</f>
        <v>Flexo Food , Грузия|Шкала|Оборудование|4</v>
      </c>
      <c t="str" r="R1070" s="6">
        <f>A1070&amp;"|"&amp;C1070&amp;"|"&amp;D1070&amp;"|"&amp;J1070</f>
        <v>Flexo Food , Грузия|Шкала|Оборудование|5</v>
      </c>
      <c t="str" r="S1070" s="6">
        <f>A1070&amp;"|"&amp;C1070&amp;"|"&amp;D1070&amp;"|"&amp;G1070&amp;"|"&amp;J1070</f>
        <v>Flexo Food , Грузия|Шкала|Оборудование|4|5</v>
      </c>
      <c t="str" r="T1070" s="6">
        <f>A1070&amp;"|"&amp;C1070&amp;"|"&amp;G1070</f>
        <v>Flexo Food , Грузия|Шкала|4</v>
      </c>
      <c t="str" r="U1070" s="6">
        <f>IF(H1070="да",A1070&amp;"|"&amp;C1070&amp;"|"&amp;D1070&amp;"|"&amp;J1070,"")</f>
        <v>Flexo Food , Грузия|Шкала|Оборудование|5</v>
      </c>
      <c t="str" r="V1070" s="6">
        <f>IF(C1070="План",A1070&amp;"|"&amp;J1070,"")</f>
        <v/>
      </c>
    </row>
    <row r="1071">
      <c r="A1071" s="3" t="inlineStr">
        <is>
          <t>Flexo Food , Грузия</t>
        </is>
      </c>
      <c r="B1071" s="3" t="inlineStr">
        <is>
          <t>Заруб</t>
        </is>
      </c>
      <c r="C1071" s="3" t="inlineStr">
        <is>
          <t>Шкала</t>
        </is>
      </c>
      <c r="D1071" s="3" t="inlineStr">
        <is>
          <t>Оборудование</t>
        </is>
      </c>
      <c r="E1071" s="3" t="inlineStr">
        <is>
          <t>Оборудование — за полугодие</t>
        </is>
      </c>
      <c r="F1071" s="3" t="inlineStr">
        <is>
          <t>ИТОГО</t>
        </is>
      </c>
      <c r="G1071" s="4" t="n">
        <v>4</v>
      </c>
      <c r="H1071" s="4" t="inlineStr">
        <is>
          <t>да</t>
        </is>
      </c>
      <c r="I1071" s="3" t="inlineStr">
        <is>
          <t>225 и более</t>
        </is>
      </c>
      <c r="J1071" s="4" t="n">
        <v>6</v>
      </c>
      <c r="K1071" s="4" t="n"/>
      <c r="L1071" s="4" t="n"/>
      <c r="M1071" s="8" t="n">
        <v>0.2</v>
      </c>
      <c r="N1071" s="4" t="inlineStr">
        <is>
          <t>%</t>
        </is>
      </c>
      <c r="O1071" s="3" t="inlineStr">
        <is>
          <t>Flexo Food Ltd, Грузия</t>
        </is>
      </c>
      <c r="P1071" s="3" t="inlineStr">
        <is>
          <t>J18</t>
        </is>
      </c>
      <c t="str" r="Q1071" s="6">
        <f>A1071&amp;"|"&amp;C1071&amp;"|"&amp;D1071&amp;"|"&amp;G1071</f>
        <v>Flexo Food , Грузия|Шкала|Оборудование|4</v>
      </c>
      <c t="str" r="R1071" s="6">
        <f>A1071&amp;"|"&amp;C1071&amp;"|"&amp;D1071&amp;"|"&amp;J1071</f>
        <v>Flexo Food , Грузия|Шкала|Оборудование|6</v>
      </c>
      <c t="str" r="S1071" s="6">
        <f>A1071&amp;"|"&amp;C1071&amp;"|"&amp;D1071&amp;"|"&amp;G1071&amp;"|"&amp;J1071</f>
        <v>Flexo Food , Грузия|Шкала|Оборудование|4|6</v>
      </c>
      <c t="str" r="T1071" s="6">
        <f>A1071&amp;"|"&amp;C1071&amp;"|"&amp;G1071</f>
        <v>Flexo Food , Грузия|Шкала|4</v>
      </c>
      <c t="str" r="U1071" s="6">
        <f>IF(H1071="да",A1071&amp;"|"&amp;C1071&amp;"|"&amp;D1071&amp;"|"&amp;J1071,"")</f>
        <v>Flexo Food , Грузия|Шкала|Оборудование|6</v>
      </c>
      <c t="str" r="V1071" s="6">
        <f>IF(C1071="План",A1071&amp;"|"&amp;J1071,"")</f>
        <v/>
      </c>
    </row>
    <row r="1072">
      <c r="A1072" s="3" t="inlineStr">
        <is>
          <t>Flexo Food , Грузия</t>
        </is>
      </c>
      <c r="B1072" s="3" t="inlineStr">
        <is>
          <t>Заруб</t>
        </is>
      </c>
      <c r="C1072" s="3" t="inlineStr">
        <is>
          <t>Шкала</t>
        </is>
      </c>
      <c r="D1072" s="3" t="inlineStr">
        <is>
          <t>Расходные материалы</t>
        </is>
      </c>
      <c r="E1072" s="3" t="inlineStr">
        <is>
          <t>Расходные материалы — за полугодие</t>
        </is>
      </c>
      <c r="F1072" s="3" t="inlineStr">
        <is>
          <t>Объем закупок РМ</t>
        </is>
      </c>
      <c r="G1072" s="4" t="n">
        <v>1</v>
      </c>
      <c r="H1072" s="4" t="n"/>
      <c r="I1072" s="3" t="inlineStr">
        <is>
          <t>до 24</t>
        </is>
      </c>
      <c r="J1072" s="4" t="n">
        <v>1</v>
      </c>
      <c r="K1072" s="4" t="n"/>
      <c r="L1072" s="4" t="n"/>
      <c r="M1072" s="8" t="n">
        <v>0</v>
      </c>
      <c r="N1072" s="4" t="inlineStr">
        <is>
          <t>%</t>
        </is>
      </c>
      <c r="O1072" s="3" t="inlineStr">
        <is>
          <t>Flexo Food Ltd, Грузия</t>
        </is>
      </c>
      <c r="P1072" s="3" t="inlineStr">
        <is>
          <t>E21</t>
        </is>
      </c>
      <c t="str" r="Q1072" s="6">
        <f>A1072&amp;"|"&amp;C1072&amp;"|"&amp;D1072&amp;"|"&amp;G1072</f>
        <v>Flexo Food , Грузия|Шкала|Расходные материалы|1</v>
      </c>
      <c t="str" r="R1072" s="6">
        <f>A1072&amp;"|"&amp;C1072&amp;"|"&amp;D1072&amp;"|"&amp;J1072</f>
        <v>Flexo Food , Грузия|Шкала|Расходные материалы|1</v>
      </c>
      <c t="str" r="S1072" s="6">
        <f>A1072&amp;"|"&amp;C1072&amp;"|"&amp;D1072&amp;"|"&amp;G1072&amp;"|"&amp;J1072</f>
        <v>Flexo Food , Грузия|Шкала|Расходные материалы|1|1</v>
      </c>
      <c t="str" r="T1072" s="6">
        <f>A1072&amp;"|"&amp;C1072&amp;"|"&amp;G1072</f>
        <v>Flexo Food , Грузия|Шкала|1</v>
      </c>
      <c t="str" r="U1072" s="6">
        <f>IF(H1072="да",A1072&amp;"|"&amp;C1072&amp;"|"&amp;D1072&amp;"|"&amp;J1072,"")</f>
        <v/>
      </c>
      <c t="str" r="V1072" s="6">
        <f>IF(C1072="План",A1072&amp;"|"&amp;J1072,"")</f>
        <v/>
      </c>
    </row>
    <row r="1073">
      <c r="A1073" s="3" t="inlineStr">
        <is>
          <t>Flexo Food , Грузия</t>
        </is>
      </c>
      <c r="B1073" s="3" t="inlineStr">
        <is>
          <t>Заруб</t>
        </is>
      </c>
      <c r="C1073" s="3" t="inlineStr">
        <is>
          <t>Шкала</t>
        </is>
      </c>
      <c r="D1073" s="3" t="inlineStr">
        <is>
          <t>Расходные материалы</t>
        </is>
      </c>
      <c r="E1073" s="3" t="inlineStr">
        <is>
          <t>Расходные материалы — за полугодие</t>
        </is>
      </c>
      <c r="F1073" s="3" t="inlineStr">
        <is>
          <t>Объем закупок РМ</t>
        </is>
      </c>
      <c r="G1073" s="4" t="n">
        <v>1</v>
      </c>
      <c r="H1073" s="4" t="n"/>
      <c r="I1073" s="3" t="inlineStr">
        <is>
          <t>25-34</t>
        </is>
      </c>
      <c r="J1073" s="4" t="n">
        <v>2</v>
      </c>
      <c r="K1073" s="4" t="n"/>
      <c r="L1073" s="4" t="n"/>
      <c r="M1073" s="8" t="n">
        <v>0.01</v>
      </c>
      <c r="N1073" s="4" t="inlineStr">
        <is>
          <t>%</t>
        </is>
      </c>
      <c r="O1073" s="3" t="inlineStr">
        <is>
          <t>Flexo Food Ltd, Грузия</t>
        </is>
      </c>
      <c r="P1073" s="3" t="inlineStr">
        <is>
          <t>F21</t>
        </is>
      </c>
      <c t="str" r="Q1073" s="6">
        <f>A1073&amp;"|"&amp;C1073&amp;"|"&amp;D1073&amp;"|"&amp;G1073</f>
        <v>Flexo Food , Грузия|Шкала|Расходные материалы|1</v>
      </c>
      <c t="str" r="R1073" s="6">
        <f>A1073&amp;"|"&amp;C1073&amp;"|"&amp;D1073&amp;"|"&amp;J1073</f>
        <v>Flexo Food , Грузия|Шкала|Расходные материалы|2</v>
      </c>
      <c t="str" r="S1073" s="6">
        <f>A1073&amp;"|"&amp;C1073&amp;"|"&amp;D1073&amp;"|"&amp;G1073&amp;"|"&amp;J1073</f>
        <v>Flexo Food , Грузия|Шкала|Расходные материалы|1|2</v>
      </c>
      <c t="str" r="T1073" s="6">
        <f>A1073&amp;"|"&amp;C1073&amp;"|"&amp;G1073</f>
        <v>Flexo Food , Грузия|Шкала|1</v>
      </c>
      <c t="str" r="U1073" s="6">
        <f>IF(H1073="да",A1073&amp;"|"&amp;C1073&amp;"|"&amp;D1073&amp;"|"&amp;J1073,"")</f>
        <v/>
      </c>
      <c t="str" r="V1073" s="6">
        <f>IF(C1073="План",A1073&amp;"|"&amp;J1073,"")</f>
        <v/>
      </c>
    </row>
    <row r="1074">
      <c r="A1074" s="3" t="inlineStr">
        <is>
          <t>Flexo Food , Грузия</t>
        </is>
      </c>
      <c r="B1074" s="3" t="inlineStr">
        <is>
          <t>Заруб</t>
        </is>
      </c>
      <c r="C1074" s="3" t="inlineStr">
        <is>
          <t>Шкала</t>
        </is>
      </c>
      <c r="D1074" s="3" t="inlineStr">
        <is>
          <t>Расходные материалы</t>
        </is>
      </c>
      <c r="E1074" s="3" t="inlineStr">
        <is>
          <t>Расходные материалы — за полугодие</t>
        </is>
      </c>
      <c r="F1074" s="3" t="inlineStr">
        <is>
          <t>Объем закупок РМ</t>
        </is>
      </c>
      <c r="G1074" s="4" t="n">
        <v>1</v>
      </c>
      <c r="H1074" s="4" t="n"/>
      <c r="I1074" s="3" t="inlineStr">
        <is>
          <t>35-44</t>
        </is>
      </c>
      <c r="J1074" s="4" t="n">
        <v>3</v>
      </c>
      <c r="K1074" s="4" t="n"/>
      <c r="L1074" s="4" t="n"/>
      <c r="M1074" s="8" t="n">
        <v>0.02</v>
      </c>
      <c r="N1074" s="4" t="inlineStr">
        <is>
          <t>%</t>
        </is>
      </c>
      <c r="O1074" s="3" t="inlineStr">
        <is>
          <t>Flexo Food Ltd, Грузия</t>
        </is>
      </c>
      <c r="P1074" s="3" t="inlineStr">
        <is>
          <t>G21</t>
        </is>
      </c>
      <c t="str" r="Q1074" s="6">
        <f>A1074&amp;"|"&amp;C1074&amp;"|"&amp;D1074&amp;"|"&amp;G1074</f>
        <v>Flexo Food , Грузия|Шкала|Расходные материалы|1</v>
      </c>
      <c t="str" r="R1074" s="6">
        <f>A1074&amp;"|"&amp;C1074&amp;"|"&amp;D1074&amp;"|"&amp;J1074</f>
        <v>Flexo Food , Грузия|Шкала|Расходные материалы|3</v>
      </c>
      <c t="str" r="S1074" s="6">
        <f>A1074&amp;"|"&amp;C1074&amp;"|"&amp;D1074&amp;"|"&amp;G1074&amp;"|"&amp;J1074</f>
        <v>Flexo Food , Грузия|Шкала|Расходные материалы|1|3</v>
      </c>
      <c t="str" r="T1074" s="6">
        <f>A1074&amp;"|"&amp;C1074&amp;"|"&amp;G1074</f>
        <v>Flexo Food , Грузия|Шкала|1</v>
      </c>
      <c t="str" r="U1074" s="6">
        <f>IF(H1074="да",A1074&amp;"|"&amp;C1074&amp;"|"&amp;D1074&amp;"|"&amp;J1074,"")</f>
        <v/>
      </c>
      <c t="str" r="V1074" s="6">
        <f>IF(C1074="План",A1074&amp;"|"&amp;J1074,"")</f>
        <v/>
      </c>
    </row>
    <row r="1075">
      <c r="A1075" s="3" t="inlineStr">
        <is>
          <t>Flexo Food , Грузия</t>
        </is>
      </c>
      <c r="B1075" s="3" t="inlineStr">
        <is>
          <t>Заруб</t>
        </is>
      </c>
      <c r="C1075" s="3" t="inlineStr">
        <is>
          <t>Шкала</t>
        </is>
      </c>
      <c r="D1075" s="3" t="inlineStr">
        <is>
          <t>Расходные материалы</t>
        </is>
      </c>
      <c r="E1075" s="3" t="inlineStr">
        <is>
          <t>Расходные материалы — за полугодие</t>
        </is>
      </c>
      <c r="F1075" s="3" t="inlineStr">
        <is>
          <t>Объем закупок РМ</t>
        </is>
      </c>
      <c r="G1075" s="4" t="n">
        <v>1</v>
      </c>
      <c r="H1075" s="4" t="n"/>
      <c r="I1075" s="3" t="inlineStr">
        <is>
          <t>45-54</t>
        </is>
      </c>
      <c r="J1075" s="4" t="n">
        <v>4</v>
      </c>
      <c r="K1075" s="4" t="n"/>
      <c r="L1075" s="4" t="n"/>
      <c r="M1075" s="8" t="n">
        <v>0.03</v>
      </c>
      <c r="N1075" s="4" t="inlineStr">
        <is>
          <t>%</t>
        </is>
      </c>
      <c r="O1075" s="3" t="inlineStr">
        <is>
          <t>Flexo Food Ltd, Грузия</t>
        </is>
      </c>
      <c r="P1075" s="3" t="inlineStr">
        <is>
          <t>H21</t>
        </is>
      </c>
      <c t="str" r="Q1075" s="6">
        <f>A1075&amp;"|"&amp;C1075&amp;"|"&amp;D1075&amp;"|"&amp;G1075</f>
        <v>Flexo Food , Грузия|Шкала|Расходные материалы|1</v>
      </c>
      <c t="str" r="R1075" s="6">
        <f>A1075&amp;"|"&amp;C1075&amp;"|"&amp;D1075&amp;"|"&amp;J1075</f>
        <v>Flexo Food , Грузия|Шкала|Расходные материалы|4</v>
      </c>
      <c t="str" r="S1075" s="6">
        <f>A1075&amp;"|"&amp;C1075&amp;"|"&amp;D1075&amp;"|"&amp;G1075&amp;"|"&amp;J1075</f>
        <v>Flexo Food , Грузия|Шкала|Расходные материалы|1|4</v>
      </c>
      <c t="str" r="T1075" s="6">
        <f>A1075&amp;"|"&amp;C1075&amp;"|"&amp;G1075</f>
        <v>Flexo Food , Грузия|Шкала|1</v>
      </c>
      <c t="str" r="U1075" s="6">
        <f>IF(H1075="да",A1075&amp;"|"&amp;C1075&amp;"|"&amp;D1075&amp;"|"&amp;J1075,"")</f>
        <v/>
      </c>
      <c t="str" r="V1075" s="6">
        <f>IF(C1075="План",A1075&amp;"|"&amp;J1075,"")</f>
        <v/>
      </c>
    </row>
    <row r="1076">
      <c r="A1076" s="3" t="inlineStr">
        <is>
          <t>Flexo Food , Грузия</t>
        </is>
      </c>
      <c r="B1076" s="3" t="inlineStr">
        <is>
          <t>Заруб</t>
        </is>
      </c>
      <c r="C1076" s="3" t="inlineStr">
        <is>
          <t>Шкала</t>
        </is>
      </c>
      <c r="D1076" s="3" t="inlineStr">
        <is>
          <t>Расходные материалы</t>
        </is>
      </c>
      <c r="E1076" s="3" t="inlineStr">
        <is>
          <t>Расходные материалы — за полугодие</t>
        </is>
      </c>
      <c r="F1076" s="3" t="inlineStr">
        <is>
          <t>Объем закупок РМ</t>
        </is>
      </c>
      <c r="G1076" s="4" t="n">
        <v>1</v>
      </c>
      <c r="H1076" s="4" t="n"/>
      <c r="I1076" s="3" t="inlineStr">
        <is>
          <t>55-64</t>
        </is>
      </c>
      <c r="J1076" s="4" t="n">
        <v>5</v>
      </c>
      <c r="K1076" s="4" t="n"/>
      <c r="L1076" s="4" t="n"/>
      <c r="M1076" s="8" t="n">
        <v>0.04</v>
      </c>
      <c r="N1076" s="4" t="inlineStr">
        <is>
          <t>%</t>
        </is>
      </c>
      <c r="O1076" s="3" t="inlineStr">
        <is>
          <t>Flexo Food Ltd, Грузия</t>
        </is>
      </c>
      <c r="P1076" s="3" t="inlineStr">
        <is>
          <t>I21</t>
        </is>
      </c>
      <c t="str" r="Q1076" s="6">
        <f>A1076&amp;"|"&amp;C1076&amp;"|"&amp;D1076&amp;"|"&amp;G1076</f>
        <v>Flexo Food , Грузия|Шкала|Расходные материалы|1</v>
      </c>
      <c t="str" r="R1076" s="6">
        <f>A1076&amp;"|"&amp;C1076&amp;"|"&amp;D1076&amp;"|"&amp;J1076</f>
        <v>Flexo Food , Грузия|Шкала|Расходные материалы|5</v>
      </c>
      <c t="str" r="S1076" s="6">
        <f>A1076&amp;"|"&amp;C1076&amp;"|"&amp;D1076&amp;"|"&amp;G1076&amp;"|"&amp;J1076</f>
        <v>Flexo Food , Грузия|Шкала|Расходные материалы|1|5</v>
      </c>
      <c t="str" r="T1076" s="6">
        <f>A1076&amp;"|"&amp;C1076&amp;"|"&amp;G1076</f>
        <v>Flexo Food , Грузия|Шкала|1</v>
      </c>
      <c t="str" r="U1076" s="6">
        <f>IF(H1076="да",A1076&amp;"|"&amp;C1076&amp;"|"&amp;D1076&amp;"|"&amp;J1076,"")</f>
        <v/>
      </c>
      <c t="str" r="V1076" s="6">
        <f>IF(C1076="План",A1076&amp;"|"&amp;J1076,"")</f>
        <v/>
      </c>
    </row>
    <row r="1077">
      <c r="A1077" s="3" t="inlineStr">
        <is>
          <t>Flexo Food , Грузия</t>
        </is>
      </c>
      <c r="B1077" s="3" t="inlineStr">
        <is>
          <t>Заруб</t>
        </is>
      </c>
      <c r="C1077" s="3" t="inlineStr">
        <is>
          <t>Шкала</t>
        </is>
      </c>
      <c r="D1077" s="3" t="inlineStr">
        <is>
          <t>Расходные материалы</t>
        </is>
      </c>
      <c r="E1077" s="3" t="inlineStr">
        <is>
          <t>Расходные материалы — за полугодие</t>
        </is>
      </c>
      <c r="F1077" s="3" t="inlineStr">
        <is>
          <t>Объем закупок РМ</t>
        </is>
      </c>
      <c r="G1077" s="4" t="n">
        <v>1</v>
      </c>
      <c r="H1077" s="4" t="n"/>
      <c r="I1077" s="3" t="inlineStr">
        <is>
          <t>65 и более</t>
        </is>
      </c>
      <c r="J1077" s="4" t="n">
        <v>6</v>
      </c>
      <c r="K1077" s="4" t="n"/>
      <c r="L1077" s="4" t="n"/>
      <c r="M1077" s="8" t="n">
        <v>0.05</v>
      </c>
      <c r="N1077" s="4" t="inlineStr">
        <is>
          <t>%</t>
        </is>
      </c>
      <c r="O1077" s="3" t="inlineStr">
        <is>
          <t>Flexo Food Ltd, Грузия</t>
        </is>
      </c>
      <c r="P1077" s="3" t="inlineStr">
        <is>
          <t>J21</t>
        </is>
      </c>
      <c t="str" r="Q1077" s="6">
        <f>A1077&amp;"|"&amp;C1077&amp;"|"&amp;D1077&amp;"|"&amp;G1077</f>
        <v>Flexo Food , Грузия|Шкала|Расходные материалы|1</v>
      </c>
      <c t="str" r="R1077" s="6">
        <f>A1077&amp;"|"&amp;C1077&amp;"|"&amp;D1077&amp;"|"&amp;J1077</f>
        <v>Flexo Food , Грузия|Шкала|Расходные материалы|6</v>
      </c>
      <c t="str" r="S1077" s="6">
        <f>A1077&amp;"|"&amp;C1077&amp;"|"&amp;D1077&amp;"|"&amp;G1077&amp;"|"&amp;J1077</f>
        <v>Flexo Food , Грузия|Шкала|Расходные материалы|1|6</v>
      </c>
      <c t="str" r="T1077" s="6">
        <f>A1077&amp;"|"&amp;C1077&amp;"|"&amp;G1077</f>
        <v>Flexo Food , Грузия|Шкала|1</v>
      </c>
      <c t="str" r="U1077" s="6">
        <f>IF(H1077="да",A1077&amp;"|"&amp;C1077&amp;"|"&amp;D1077&amp;"|"&amp;J1077,"")</f>
        <v/>
      </c>
      <c t="str" r="V1077" s="6">
        <f>IF(C1077="План",A1077&amp;"|"&amp;J1077,"")</f>
        <v/>
      </c>
    </row>
    <row r="1078">
      <c r="A1078" s="3" t="inlineStr">
        <is>
          <t>Flexo Food , Грузия</t>
        </is>
      </c>
      <c r="B1078" s="3" t="inlineStr">
        <is>
          <t>Заруб</t>
        </is>
      </c>
      <c r="C1078" s="3" t="inlineStr">
        <is>
          <t>Шкала</t>
        </is>
      </c>
      <c r="D1078" s="3" t="inlineStr">
        <is>
          <t>Сервис (ЗЧ)</t>
        </is>
      </c>
      <c r="E1078" s="3" t="inlineStr">
        <is>
          <t>Сервис (ЗЧ) — абсолютные отгрузки за 12 месяцев</t>
        </is>
      </c>
      <c r="F1078" s="3" t="inlineStr">
        <is>
          <t>Скидка по сервису</t>
        </is>
      </c>
      <c r="G1078" s="4" t="n">
        <v>1</v>
      </c>
      <c r="H1078" s="4" t="inlineStr">
        <is>
          <t>да</t>
        </is>
      </c>
      <c r="I1078" s="3" t="inlineStr">
        <is>
          <t>0–7000</t>
        </is>
      </c>
      <c r="J1078" s="4" t="n">
        <v>1</v>
      </c>
      <c r="K1078" s="4" t="n">
        <v>0</v>
      </c>
      <c r="L1078" s="4" t="n">
        <v>7000</v>
      </c>
      <c r="M1078" s="8" t="n">
        <v>0.1</v>
      </c>
      <c r="N1078" s="4" t="inlineStr">
        <is>
          <t>%</t>
        </is>
      </c>
      <c r="O1078" s="3" t="inlineStr">
        <is>
          <t>Flexo Food Ltd, Грузия</t>
        </is>
      </c>
      <c r="P1078" s="3" t="inlineStr">
        <is>
          <t>F24</t>
        </is>
      </c>
      <c t="str" r="Q1078" s="6">
        <f>A1078&amp;"|"&amp;C1078&amp;"|"&amp;D1078&amp;"|"&amp;G1078</f>
        <v>Flexo Food , Грузия|Шкала|Сервис (ЗЧ)|1</v>
      </c>
      <c t="str" r="R1078" s="6">
        <f>A1078&amp;"|"&amp;C1078&amp;"|"&amp;D1078&amp;"|"&amp;J1078</f>
        <v>Flexo Food , Грузия|Шкала|Сервис (ЗЧ)|1</v>
      </c>
      <c t="str" r="S1078" s="6">
        <f>A1078&amp;"|"&amp;C1078&amp;"|"&amp;D1078&amp;"|"&amp;G1078&amp;"|"&amp;J1078</f>
        <v>Flexo Food , Грузия|Шкала|Сервис (ЗЧ)|1|1</v>
      </c>
      <c t="str" r="T1078" s="6">
        <f>A1078&amp;"|"&amp;C1078&amp;"|"&amp;G1078</f>
        <v>Flexo Food , Грузия|Шкала|1</v>
      </c>
      <c t="str" r="U1078" s="6">
        <f>IF(H1078="да",A1078&amp;"|"&amp;C1078&amp;"|"&amp;D1078&amp;"|"&amp;J1078,"")</f>
        <v>Flexo Food , Грузия|Шкала|Сервис (ЗЧ)|1</v>
      </c>
      <c t="str" r="V1078" s="6">
        <f>IF(C1078="План",A1078&amp;"|"&amp;J1078,"")</f>
        <v/>
      </c>
    </row>
    <row r="1079">
      <c r="A1079" s="3" t="inlineStr">
        <is>
          <t>Flexo Food , Грузия</t>
        </is>
      </c>
      <c r="B1079" s="3" t="inlineStr">
        <is>
          <t>Заруб</t>
        </is>
      </c>
      <c r="C1079" s="3" t="inlineStr">
        <is>
          <t>Шкала</t>
        </is>
      </c>
      <c r="D1079" s="3" t="inlineStr">
        <is>
          <t>Сервис (ЗЧ)</t>
        </is>
      </c>
      <c r="E1079" s="3" t="inlineStr">
        <is>
          <t>Сервис (ЗЧ) — абсолютные отгрузки за 12 месяцев</t>
        </is>
      </c>
      <c r="F1079" s="3" t="inlineStr">
        <is>
          <t>Скидка по сервису</t>
        </is>
      </c>
      <c r="G1079" s="4" t="n">
        <v>1</v>
      </c>
      <c r="H1079" s="4" t="inlineStr">
        <is>
          <t>да</t>
        </is>
      </c>
      <c r="I1079" s="3" t="inlineStr">
        <is>
          <t>7001–19000</t>
        </is>
      </c>
      <c r="J1079" s="4" t="n">
        <v>2</v>
      </c>
      <c r="K1079" s="4" t="n">
        <v>7001</v>
      </c>
      <c r="L1079" s="4" t="n">
        <v>19000</v>
      </c>
      <c r="M1079" s="8" t="n">
        <v>0.11</v>
      </c>
      <c r="N1079" s="4" t="inlineStr">
        <is>
          <t>%</t>
        </is>
      </c>
      <c r="O1079" s="3" t="inlineStr">
        <is>
          <t>Flexo Food Ltd, Грузия</t>
        </is>
      </c>
      <c r="P1079" s="3" t="inlineStr">
        <is>
          <t>F25</t>
        </is>
      </c>
      <c t="str" r="Q1079" s="6">
        <f>A1079&amp;"|"&amp;C1079&amp;"|"&amp;D1079&amp;"|"&amp;G1079</f>
        <v>Flexo Food , Грузия|Шкала|Сервис (ЗЧ)|1</v>
      </c>
      <c t="str" r="R1079" s="6">
        <f>A1079&amp;"|"&amp;C1079&amp;"|"&amp;D1079&amp;"|"&amp;J1079</f>
        <v>Flexo Food , Грузия|Шкала|Сервис (ЗЧ)|2</v>
      </c>
      <c t="str" r="S1079" s="6">
        <f>A1079&amp;"|"&amp;C1079&amp;"|"&amp;D1079&amp;"|"&amp;G1079&amp;"|"&amp;J1079</f>
        <v>Flexo Food , Грузия|Шкала|Сервис (ЗЧ)|1|2</v>
      </c>
      <c t="str" r="T1079" s="6">
        <f>A1079&amp;"|"&amp;C1079&amp;"|"&amp;G1079</f>
        <v>Flexo Food , Грузия|Шкала|1</v>
      </c>
      <c t="str" r="U1079" s="6">
        <f>IF(H1079="да",A1079&amp;"|"&amp;C1079&amp;"|"&amp;D1079&amp;"|"&amp;J1079,"")</f>
        <v>Flexo Food , Грузия|Шкала|Сервис (ЗЧ)|2</v>
      </c>
      <c t="str" r="V1079" s="6">
        <f>IF(C1079="План",A1079&amp;"|"&amp;J1079,"")</f>
        <v/>
      </c>
    </row>
    <row r="1080">
      <c r="A1080" s="3" t="inlineStr">
        <is>
          <t>Flexo Food , Грузия</t>
        </is>
      </c>
      <c r="B1080" s="3" t="inlineStr">
        <is>
          <t>Заруб</t>
        </is>
      </c>
      <c r="C1080" s="3" t="inlineStr">
        <is>
          <t>Шкала</t>
        </is>
      </c>
      <c r="D1080" s="3" t="inlineStr">
        <is>
          <t>Сервис (ЗЧ)</t>
        </is>
      </c>
      <c r="E1080" s="3" t="inlineStr">
        <is>
          <t>Сервис (ЗЧ) — абсолютные отгрузки за 12 месяцев</t>
        </is>
      </c>
      <c r="F1080" s="3" t="inlineStr">
        <is>
          <t>Скидка по сервису</t>
        </is>
      </c>
      <c r="G1080" s="4" t="n">
        <v>1</v>
      </c>
      <c r="H1080" s="4" t="inlineStr">
        <is>
          <t>да</t>
        </is>
      </c>
      <c r="I1080" s="3" t="inlineStr">
        <is>
          <t>19001–24000</t>
        </is>
      </c>
      <c r="J1080" s="4" t="n">
        <v>3</v>
      </c>
      <c r="K1080" s="4" t="n">
        <v>19001</v>
      </c>
      <c r="L1080" s="4" t="n">
        <v>24000</v>
      </c>
      <c r="M1080" s="8" t="n">
        <v>0.13</v>
      </c>
      <c r="N1080" s="4" t="inlineStr">
        <is>
          <t>%</t>
        </is>
      </c>
      <c r="O1080" s="3" t="inlineStr">
        <is>
          <t>Flexo Food Ltd, Грузия</t>
        </is>
      </c>
      <c r="P1080" s="3" t="inlineStr">
        <is>
          <t>F26</t>
        </is>
      </c>
      <c t="str" r="Q1080" s="6">
        <f>A1080&amp;"|"&amp;C1080&amp;"|"&amp;D1080&amp;"|"&amp;G1080</f>
        <v>Flexo Food , Грузия|Шкала|Сервис (ЗЧ)|1</v>
      </c>
      <c t="str" r="R1080" s="6">
        <f>A1080&amp;"|"&amp;C1080&amp;"|"&amp;D1080&amp;"|"&amp;J1080</f>
        <v>Flexo Food , Грузия|Шкала|Сервис (ЗЧ)|3</v>
      </c>
      <c t="str" r="S1080" s="6">
        <f>A1080&amp;"|"&amp;C1080&amp;"|"&amp;D1080&amp;"|"&amp;G1080&amp;"|"&amp;J1080</f>
        <v>Flexo Food , Грузия|Шкала|Сервис (ЗЧ)|1|3</v>
      </c>
      <c t="str" r="T1080" s="6">
        <f>A1080&amp;"|"&amp;C1080&amp;"|"&amp;G1080</f>
        <v>Flexo Food , Грузия|Шкала|1</v>
      </c>
      <c t="str" r="U1080" s="6">
        <f>IF(H1080="да",A1080&amp;"|"&amp;C1080&amp;"|"&amp;D1080&amp;"|"&amp;J1080,"")</f>
        <v>Flexo Food , Грузия|Шкала|Сервис (ЗЧ)|3</v>
      </c>
      <c t="str" r="V1080" s="6">
        <f>IF(C1080="План",A1080&amp;"|"&amp;J1080,"")</f>
        <v/>
      </c>
    </row>
    <row r="1081">
      <c r="A1081" s="3" t="inlineStr">
        <is>
          <t>Flexo Food , Грузия</t>
        </is>
      </c>
      <c r="B1081" s="3" t="inlineStr">
        <is>
          <t>Заруб</t>
        </is>
      </c>
      <c r="C1081" s="3" t="inlineStr">
        <is>
          <t>Шкала</t>
        </is>
      </c>
      <c r="D1081" s="3" t="inlineStr">
        <is>
          <t>Сервис (ЗЧ)</t>
        </is>
      </c>
      <c r="E1081" s="3" t="inlineStr">
        <is>
          <t>Сервис (ЗЧ) — абсолютные отгрузки за 12 месяцев</t>
        </is>
      </c>
      <c r="F1081" s="3" t="inlineStr">
        <is>
          <t>Скидка по сервису</t>
        </is>
      </c>
      <c r="G1081" s="4" t="n">
        <v>1</v>
      </c>
      <c r="H1081" s="4" t="inlineStr">
        <is>
          <t>да</t>
        </is>
      </c>
      <c r="I1081" s="3" t="inlineStr">
        <is>
          <t>24001–28000</t>
        </is>
      </c>
      <c r="J1081" s="4" t="n">
        <v>4</v>
      </c>
      <c r="K1081" s="4" t="n">
        <v>24001</v>
      </c>
      <c r="L1081" s="4" t="n">
        <v>28000</v>
      </c>
      <c r="M1081" s="8" t="n">
        <v>0.14</v>
      </c>
      <c r="N1081" s="4" t="inlineStr">
        <is>
          <t>%</t>
        </is>
      </c>
      <c r="O1081" s="3" t="inlineStr">
        <is>
          <t>Flexo Food Ltd, Грузия</t>
        </is>
      </c>
      <c r="P1081" s="3" t="inlineStr">
        <is>
          <t>F27</t>
        </is>
      </c>
      <c t="str" r="Q1081" s="6">
        <f>A1081&amp;"|"&amp;C1081&amp;"|"&amp;D1081&amp;"|"&amp;G1081</f>
        <v>Flexo Food , Грузия|Шкала|Сервис (ЗЧ)|1</v>
      </c>
      <c t="str" r="R1081" s="6">
        <f>A1081&amp;"|"&amp;C1081&amp;"|"&amp;D1081&amp;"|"&amp;J1081</f>
        <v>Flexo Food , Грузия|Шкала|Сервис (ЗЧ)|4</v>
      </c>
      <c t="str" r="S1081" s="6">
        <f>A1081&amp;"|"&amp;C1081&amp;"|"&amp;D1081&amp;"|"&amp;G1081&amp;"|"&amp;J1081</f>
        <v>Flexo Food , Грузия|Шкала|Сервис (ЗЧ)|1|4</v>
      </c>
      <c t="str" r="T1081" s="6">
        <f>A1081&amp;"|"&amp;C1081&amp;"|"&amp;G1081</f>
        <v>Flexo Food , Грузия|Шкала|1</v>
      </c>
      <c t="str" r="U1081" s="6">
        <f>IF(H1081="да",A1081&amp;"|"&amp;C1081&amp;"|"&amp;D1081&amp;"|"&amp;J1081,"")</f>
        <v>Flexo Food , Грузия|Шкала|Сервис (ЗЧ)|4</v>
      </c>
      <c t="str" r="V1081" s="6">
        <f>IF(C1081="План",A1081&amp;"|"&amp;J1081,"")</f>
        <v/>
      </c>
    </row>
    <row r="1082">
      <c r="A1082" s="3" t="inlineStr">
        <is>
          <t>Flexo Food , Грузия</t>
        </is>
      </c>
      <c r="B1082" s="3" t="inlineStr">
        <is>
          <t>Заруб</t>
        </is>
      </c>
      <c r="C1082" s="3" t="inlineStr">
        <is>
          <t>Шкала</t>
        </is>
      </c>
      <c r="D1082" s="3" t="inlineStr">
        <is>
          <t>Сервис (ЗЧ)</t>
        </is>
      </c>
      <c r="E1082" s="3" t="inlineStr">
        <is>
          <t>Сервис (ЗЧ) — абсолютные отгрузки за 12 месяцев</t>
        </is>
      </c>
      <c r="F1082" s="3" t="inlineStr">
        <is>
          <t>Скидка по сервису</t>
        </is>
      </c>
      <c r="G1082" s="4" t="n">
        <v>1</v>
      </c>
      <c r="H1082" s="4" t="inlineStr">
        <is>
          <t>да</t>
        </is>
      </c>
      <c r="I1082" s="3" t="inlineStr">
        <is>
          <t>28001–40000</t>
        </is>
      </c>
      <c r="J1082" s="4" t="n">
        <v>5</v>
      </c>
      <c r="K1082" s="4" t="n">
        <v>28001</v>
      </c>
      <c r="L1082" s="4" t="n">
        <v>40000</v>
      </c>
      <c r="M1082" s="8" t="n">
        <v>0.15</v>
      </c>
      <c r="N1082" s="4" t="inlineStr">
        <is>
          <t>%</t>
        </is>
      </c>
      <c r="O1082" s="3" t="inlineStr">
        <is>
          <t>Flexo Food Ltd, Грузия</t>
        </is>
      </c>
      <c r="P1082" s="3" t="inlineStr">
        <is>
          <t>F28</t>
        </is>
      </c>
      <c t="str" r="Q1082" s="6">
        <f>A1082&amp;"|"&amp;C1082&amp;"|"&amp;D1082&amp;"|"&amp;G1082</f>
        <v>Flexo Food , Грузия|Шкала|Сервис (ЗЧ)|1</v>
      </c>
      <c t="str" r="R1082" s="6">
        <f>A1082&amp;"|"&amp;C1082&amp;"|"&amp;D1082&amp;"|"&amp;J1082</f>
        <v>Flexo Food , Грузия|Шкала|Сервис (ЗЧ)|5</v>
      </c>
      <c t="str" r="S1082" s="6">
        <f>A1082&amp;"|"&amp;C1082&amp;"|"&amp;D1082&amp;"|"&amp;G1082&amp;"|"&amp;J1082</f>
        <v>Flexo Food , Грузия|Шкала|Сервис (ЗЧ)|1|5</v>
      </c>
      <c t="str" r="T1082" s="6">
        <f>A1082&amp;"|"&amp;C1082&amp;"|"&amp;G1082</f>
        <v>Flexo Food , Грузия|Шкала|1</v>
      </c>
      <c t="str" r="U1082" s="6">
        <f>IF(H1082="да",A1082&amp;"|"&amp;C1082&amp;"|"&amp;D1082&amp;"|"&amp;J1082,"")</f>
        <v>Flexo Food , Грузия|Шкала|Сервис (ЗЧ)|5</v>
      </c>
      <c t="str" r="V1082" s="6">
        <f>IF(C1082="План",A1082&amp;"|"&amp;J1082,"")</f>
        <v/>
      </c>
    </row>
    <row r="1083">
      <c r="A1083" s="3" t="inlineStr">
        <is>
          <t>Flexo Food , Грузия</t>
        </is>
      </c>
      <c r="B1083" s="3" t="inlineStr">
        <is>
          <t>Заруб</t>
        </is>
      </c>
      <c r="C1083" s="3" t="inlineStr">
        <is>
          <t>Шкала</t>
        </is>
      </c>
      <c r="D1083" s="3" t="inlineStr">
        <is>
          <t>Сервис (ЗЧ)</t>
        </is>
      </c>
      <c r="E1083" s="3" t="inlineStr">
        <is>
          <t>Сервис (ЗЧ) — абсолютные отгрузки за 12 месяцев</t>
        </is>
      </c>
      <c r="F1083" s="3" t="inlineStr">
        <is>
          <t>Скидка по сервису</t>
        </is>
      </c>
      <c r="G1083" s="4" t="n">
        <v>1</v>
      </c>
      <c r="H1083" s="4" t="inlineStr">
        <is>
          <t>да</t>
        </is>
      </c>
      <c r="I1083" s="3" t="inlineStr">
        <is>
          <t>40001–48000</t>
        </is>
      </c>
      <c r="J1083" s="4" t="n">
        <v>6</v>
      </c>
      <c r="K1083" s="4" t="n">
        <v>40001</v>
      </c>
      <c r="L1083" s="4" t="n">
        <v>48000</v>
      </c>
      <c r="M1083" s="8" t="n">
        <v>0.16</v>
      </c>
      <c r="N1083" s="4" t="inlineStr">
        <is>
          <t>%</t>
        </is>
      </c>
      <c r="O1083" s="3" t="inlineStr">
        <is>
          <t>Flexo Food Ltd, Грузия</t>
        </is>
      </c>
      <c r="P1083" s="3" t="inlineStr">
        <is>
          <t>F29</t>
        </is>
      </c>
      <c t="str" r="Q1083" s="6">
        <f>A1083&amp;"|"&amp;C1083&amp;"|"&amp;D1083&amp;"|"&amp;G1083</f>
        <v>Flexo Food , Грузия|Шкала|Сервис (ЗЧ)|1</v>
      </c>
      <c t="str" r="R1083" s="6">
        <f>A1083&amp;"|"&amp;C1083&amp;"|"&amp;D1083&amp;"|"&amp;J1083</f>
        <v>Flexo Food , Грузия|Шкала|Сервис (ЗЧ)|6</v>
      </c>
      <c t="str" r="S1083" s="6">
        <f>A1083&amp;"|"&amp;C1083&amp;"|"&amp;D1083&amp;"|"&amp;G1083&amp;"|"&amp;J1083</f>
        <v>Flexo Food , Грузия|Шкала|Сервис (ЗЧ)|1|6</v>
      </c>
      <c t="str" r="T1083" s="6">
        <f>A1083&amp;"|"&amp;C1083&amp;"|"&amp;G1083</f>
        <v>Flexo Food , Грузия|Шкала|1</v>
      </c>
      <c t="str" r="U1083" s="6">
        <f>IF(H1083="да",A1083&amp;"|"&amp;C1083&amp;"|"&amp;D1083&amp;"|"&amp;J1083,"")</f>
        <v>Flexo Food , Грузия|Шкала|Сервис (ЗЧ)|6</v>
      </c>
      <c t="str" r="V1083" s="6">
        <f>IF(C1083="План",A1083&amp;"|"&amp;J1083,"")</f>
        <v/>
      </c>
    </row>
    <row r="1084">
      <c r="A1084" s="3" t="inlineStr">
        <is>
          <t>Flexo Food , Грузия</t>
        </is>
      </c>
      <c r="B1084" s="3" t="inlineStr">
        <is>
          <t>Заруб</t>
        </is>
      </c>
      <c r="C1084" s="3" t="inlineStr">
        <is>
          <t>Шкала</t>
        </is>
      </c>
      <c r="D1084" s="3" t="inlineStr">
        <is>
          <t>Сервис (ЗЧ)</t>
        </is>
      </c>
      <c r="E1084" s="3" t="inlineStr">
        <is>
          <t>Сервис (ЗЧ) — абсолютные отгрузки за 12 месяцев</t>
        </is>
      </c>
      <c r="F1084" s="3" t="inlineStr">
        <is>
          <t>Скидка по сервису</t>
        </is>
      </c>
      <c r="G1084" s="4" t="n">
        <v>1</v>
      </c>
      <c r="H1084" s="4" t="inlineStr">
        <is>
          <t>да</t>
        </is>
      </c>
      <c r="I1084" s="3" t="inlineStr">
        <is>
          <t>48001–60000</t>
        </is>
      </c>
      <c r="J1084" s="4" t="n">
        <v>7</v>
      </c>
      <c r="K1084" s="4" t="n">
        <v>48001</v>
      </c>
      <c r="L1084" s="4" t="n">
        <v>60000</v>
      </c>
      <c r="M1084" s="8" t="n">
        <v>0.17</v>
      </c>
      <c r="N1084" s="4" t="inlineStr">
        <is>
          <t>%</t>
        </is>
      </c>
      <c r="O1084" s="3" t="inlineStr">
        <is>
          <t>Flexo Food Ltd, Грузия</t>
        </is>
      </c>
      <c r="P1084" s="3" t="inlineStr">
        <is>
          <t>F30</t>
        </is>
      </c>
      <c t="str" r="Q1084" s="6">
        <f>A1084&amp;"|"&amp;C1084&amp;"|"&amp;D1084&amp;"|"&amp;G1084</f>
        <v>Flexo Food , Грузия|Шкала|Сервис (ЗЧ)|1</v>
      </c>
      <c t="str" r="R1084" s="6">
        <f>A1084&amp;"|"&amp;C1084&amp;"|"&amp;D1084&amp;"|"&amp;J1084</f>
        <v>Flexo Food , Грузия|Шкала|Сервис (ЗЧ)|7</v>
      </c>
      <c t="str" r="S1084" s="6">
        <f>A1084&amp;"|"&amp;C1084&amp;"|"&amp;D1084&amp;"|"&amp;G1084&amp;"|"&amp;J1084</f>
        <v>Flexo Food , Грузия|Шкала|Сервис (ЗЧ)|1|7</v>
      </c>
      <c t="str" r="T1084" s="6">
        <f>A1084&amp;"|"&amp;C1084&amp;"|"&amp;G1084</f>
        <v>Flexo Food , Грузия|Шкала|1</v>
      </c>
      <c t="str" r="U1084" s="6">
        <f>IF(H1084="да",A1084&amp;"|"&amp;C1084&amp;"|"&amp;D1084&amp;"|"&amp;J1084,"")</f>
        <v>Flexo Food , Грузия|Шкала|Сервис (ЗЧ)|7</v>
      </c>
      <c t="str" r="V1084" s="6">
        <f>IF(C1084="План",A1084&amp;"|"&amp;J1084,"")</f>
        <v/>
      </c>
    </row>
    <row r="1085">
      <c r="A1085" s="3" t="inlineStr">
        <is>
          <t>Flexo Food , Грузия</t>
        </is>
      </c>
      <c r="B1085" s="3" t="inlineStr">
        <is>
          <t>Заруб</t>
        </is>
      </c>
      <c r="C1085" s="3" t="inlineStr">
        <is>
          <t>Шкала</t>
        </is>
      </c>
      <c r="D1085" s="3" t="inlineStr">
        <is>
          <t>Сервис (ЗЧ)</t>
        </is>
      </c>
      <c r="E1085" s="3" t="inlineStr">
        <is>
          <t>Сервис (ЗЧ) — абсолютные отгрузки за 12 месяцев</t>
        </is>
      </c>
      <c r="F1085" s="3" t="inlineStr">
        <is>
          <t>Скидка по сервису</t>
        </is>
      </c>
      <c r="G1085" s="4" t="n">
        <v>1</v>
      </c>
      <c r="H1085" s="4" t="inlineStr">
        <is>
          <t>да</t>
        </is>
      </c>
      <c r="I1085" s="3" t="inlineStr">
        <is>
          <t>60001–75000</t>
        </is>
      </c>
      <c r="J1085" s="4" t="n">
        <v>8</v>
      </c>
      <c r="K1085" s="4" t="n">
        <v>60001</v>
      </c>
      <c r="L1085" s="4" t="n">
        <v>75000</v>
      </c>
      <c r="M1085" s="8" t="n">
        <v>0.18</v>
      </c>
      <c r="N1085" s="4" t="inlineStr">
        <is>
          <t>%</t>
        </is>
      </c>
      <c r="O1085" s="3" t="inlineStr">
        <is>
          <t>Flexo Food Ltd, Грузия</t>
        </is>
      </c>
      <c r="P1085" s="3" t="inlineStr">
        <is>
          <t>F31</t>
        </is>
      </c>
      <c t="str" r="Q1085" s="6">
        <f>A1085&amp;"|"&amp;C1085&amp;"|"&amp;D1085&amp;"|"&amp;G1085</f>
        <v>Flexo Food , Грузия|Шкала|Сервис (ЗЧ)|1</v>
      </c>
      <c t="str" r="R1085" s="6">
        <f>A1085&amp;"|"&amp;C1085&amp;"|"&amp;D1085&amp;"|"&amp;J1085</f>
        <v>Flexo Food , Грузия|Шкала|Сервис (ЗЧ)|8</v>
      </c>
      <c t="str" r="S1085" s="6">
        <f>A1085&amp;"|"&amp;C1085&amp;"|"&amp;D1085&amp;"|"&amp;G1085&amp;"|"&amp;J1085</f>
        <v>Flexo Food , Грузия|Шкала|Сервис (ЗЧ)|1|8</v>
      </c>
      <c t="str" r="T1085" s="6">
        <f>A1085&amp;"|"&amp;C1085&amp;"|"&amp;G1085</f>
        <v>Flexo Food , Грузия|Шкала|1</v>
      </c>
      <c t="str" r="U1085" s="6">
        <f>IF(H1085="да",A1085&amp;"|"&amp;C1085&amp;"|"&amp;D1085&amp;"|"&amp;J1085,"")</f>
        <v>Flexo Food , Грузия|Шкала|Сервис (ЗЧ)|8</v>
      </c>
      <c t="str" r="V1085" s="6">
        <f>IF(C1085="План",A1085&amp;"|"&amp;J1085,"")</f>
        <v/>
      </c>
    </row>
    <row r="1086">
      <c r="A1086" s="3" t="inlineStr">
        <is>
          <t>Flexo Food , Грузия</t>
        </is>
      </c>
      <c r="B1086" s="3" t="inlineStr">
        <is>
          <t>Заруб</t>
        </is>
      </c>
      <c r="C1086" s="3" t="inlineStr">
        <is>
          <t>Шкала</t>
        </is>
      </c>
      <c r="D1086" s="3" t="inlineStr">
        <is>
          <t>Сервис (ЗЧ)</t>
        </is>
      </c>
      <c r="E1086" s="3" t="inlineStr">
        <is>
          <t>Сервис (ЗЧ) — абсолютные отгрузки за 12 месяцев</t>
        </is>
      </c>
      <c r="F1086" s="3" t="inlineStr">
        <is>
          <t>Скидка по сервису</t>
        </is>
      </c>
      <c r="G1086" s="4" t="n">
        <v>1</v>
      </c>
      <c r="H1086" s="4" t="inlineStr">
        <is>
          <t>да</t>
        </is>
      </c>
      <c r="I1086" s="3" t="inlineStr">
        <is>
          <t>75001–90000</t>
        </is>
      </c>
      <c r="J1086" s="4" t="n">
        <v>9</v>
      </c>
      <c r="K1086" s="4" t="n">
        <v>75001</v>
      </c>
      <c r="L1086" s="4" t="n">
        <v>90000</v>
      </c>
      <c r="M1086" s="8" t="n">
        <v>0.19</v>
      </c>
      <c r="N1086" s="4" t="inlineStr">
        <is>
          <t>%</t>
        </is>
      </c>
      <c r="O1086" s="3" t="inlineStr">
        <is>
          <t>Flexo Food Ltd, Грузия</t>
        </is>
      </c>
      <c r="P1086" s="3" t="inlineStr">
        <is>
          <t>F32</t>
        </is>
      </c>
      <c t="str" r="Q1086" s="6">
        <f>A1086&amp;"|"&amp;C1086&amp;"|"&amp;D1086&amp;"|"&amp;G1086</f>
        <v>Flexo Food , Грузия|Шкала|Сервис (ЗЧ)|1</v>
      </c>
      <c t="str" r="R1086" s="6">
        <f>A1086&amp;"|"&amp;C1086&amp;"|"&amp;D1086&amp;"|"&amp;J1086</f>
        <v>Flexo Food , Грузия|Шкала|Сервис (ЗЧ)|9</v>
      </c>
      <c t="str" r="S1086" s="6">
        <f>A1086&amp;"|"&amp;C1086&amp;"|"&amp;D1086&amp;"|"&amp;G1086&amp;"|"&amp;J1086</f>
        <v>Flexo Food , Грузия|Шкала|Сервис (ЗЧ)|1|9</v>
      </c>
      <c t="str" r="T1086" s="6">
        <f>A1086&amp;"|"&amp;C1086&amp;"|"&amp;G1086</f>
        <v>Flexo Food , Грузия|Шкала|1</v>
      </c>
      <c t="str" r="U1086" s="6">
        <f>IF(H1086="да",A1086&amp;"|"&amp;C1086&amp;"|"&amp;D1086&amp;"|"&amp;J1086,"")</f>
        <v>Flexo Food , Грузия|Шкала|Сервис (ЗЧ)|9</v>
      </c>
      <c t="str" r="V1086" s="6">
        <f>IF(C1086="План",A1086&amp;"|"&amp;J1086,"")</f>
        <v/>
      </c>
    </row>
    <row r="1087">
      <c r="A1087" s="3" t="inlineStr">
        <is>
          <t>Flexo Food , Грузия</t>
        </is>
      </c>
      <c r="B1087" s="3" t="inlineStr">
        <is>
          <t>Заруб</t>
        </is>
      </c>
      <c r="C1087" s="3" t="inlineStr">
        <is>
          <t>Шкала</t>
        </is>
      </c>
      <c r="D1087" s="3" t="inlineStr">
        <is>
          <t>Сервис (ЗЧ)</t>
        </is>
      </c>
      <c r="E1087" s="3" t="inlineStr">
        <is>
          <t>Сервис (ЗЧ) — абсолютные отгрузки за 12 месяцев</t>
        </is>
      </c>
      <c r="F1087" s="3" t="inlineStr">
        <is>
          <t>Скидка по сервису</t>
        </is>
      </c>
      <c r="G1087" s="4" t="n">
        <v>1</v>
      </c>
      <c r="H1087" s="4" t="inlineStr">
        <is>
          <t>да</t>
        </is>
      </c>
      <c r="I1087" s="3" t="inlineStr">
        <is>
          <t>90001–105000</t>
        </is>
      </c>
      <c r="J1087" s="4" t="n">
        <v>10</v>
      </c>
      <c r="K1087" s="4" t="n">
        <v>90001</v>
      </c>
      <c r="L1087" s="4" t="n">
        <v>105000</v>
      </c>
      <c r="M1087" s="8" t="n">
        <v>0.2</v>
      </c>
      <c r="N1087" s="4" t="inlineStr">
        <is>
          <t>%</t>
        </is>
      </c>
      <c r="O1087" s="3" t="inlineStr">
        <is>
          <t>Flexo Food Ltd, Грузия</t>
        </is>
      </c>
      <c r="P1087" s="3" t="inlineStr">
        <is>
          <t>F33</t>
        </is>
      </c>
      <c t="str" r="Q1087" s="6">
        <f>A1087&amp;"|"&amp;C1087&amp;"|"&amp;D1087&amp;"|"&amp;G1087</f>
        <v>Flexo Food , Грузия|Шкала|Сервис (ЗЧ)|1</v>
      </c>
      <c t="str" r="R1087" s="6">
        <f>A1087&amp;"|"&amp;C1087&amp;"|"&amp;D1087&amp;"|"&amp;J1087</f>
        <v>Flexo Food , Грузия|Шкала|Сервис (ЗЧ)|10</v>
      </c>
      <c t="str" r="S1087" s="6">
        <f>A1087&amp;"|"&amp;C1087&amp;"|"&amp;D1087&amp;"|"&amp;G1087&amp;"|"&amp;J1087</f>
        <v>Flexo Food , Грузия|Шкала|Сервис (ЗЧ)|1|10</v>
      </c>
      <c t="str" r="T1087" s="6">
        <f>A1087&amp;"|"&amp;C1087&amp;"|"&amp;G1087</f>
        <v>Flexo Food , Грузия|Шкала|1</v>
      </c>
      <c t="str" r="U1087" s="6">
        <f>IF(H1087="да",A1087&amp;"|"&amp;C1087&amp;"|"&amp;D1087&amp;"|"&amp;J1087,"")</f>
        <v>Flexo Food , Грузия|Шкала|Сервис (ЗЧ)|10</v>
      </c>
      <c t="str" r="V1087" s="6">
        <f>IF(C1087="План",A1087&amp;"|"&amp;J1087,"")</f>
        <v/>
      </c>
    </row>
    <row r="1088">
      <c r="A1088" s="3" t="inlineStr">
        <is>
          <t>Flexo Food , Грузия</t>
        </is>
      </c>
      <c r="B1088" s="3" t="inlineStr">
        <is>
          <t>Заруб</t>
        </is>
      </c>
      <c r="C1088" s="3" t="inlineStr">
        <is>
          <t>Шкала</t>
        </is>
      </c>
      <c r="D1088" s="3" t="inlineStr">
        <is>
          <t>Сервис (ЗЧ)</t>
        </is>
      </c>
      <c r="E1088" s="3" t="inlineStr">
        <is>
          <t>Сервис (ЗЧ) — абсолютные отгрузки за 12 месяцев</t>
        </is>
      </c>
      <c r="F1088" s="3" t="inlineStr">
        <is>
          <t>Скидка по сервису</t>
        </is>
      </c>
      <c r="G1088" s="4" t="n">
        <v>1</v>
      </c>
      <c r="H1088" s="4" t="inlineStr">
        <is>
          <t>да</t>
        </is>
      </c>
      <c r="I1088" s="3" t="inlineStr">
        <is>
          <t>105001–115000</t>
        </is>
      </c>
      <c r="J1088" s="4" t="n">
        <v>11</v>
      </c>
      <c r="K1088" s="4" t="n">
        <v>105001</v>
      </c>
      <c r="L1088" s="4" t="n">
        <v>115000</v>
      </c>
      <c r="M1088" s="8" t="n">
        <v>0.21</v>
      </c>
      <c r="N1088" s="4" t="inlineStr">
        <is>
          <t>%</t>
        </is>
      </c>
      <c r="O1088" s="3" t="inlineStr">
        <is>
          <t>Flexo Food Ltd, Грузия</t>
        </is>
      </c>
      <c r="P1088" s="3" t="inlineStr">
        <is>
          <t>F34</t>
        </is>
      </c>
      <c t="str" r="Q1088" s="6">
        <f>A1088&amp;"|"&amp;C1088&amp;"|"&amp;D1088&amp;"|"&amp;G1088</f>
        <v>Flexo Food , Грузия|Шкала|Сервис (ЗЧ)|1</v>
      </c>
      <c t="str" r="R1088" s="6">
        <f>A1088&amp;"|"&amp;C1088&amp;"|"&amp;D1088&amp;"|"&amp;J1088</f>
        <v>Flexo Food , Грузия|Шкала|Сервис (ЗЧ)|11</v>
      </c>
      <c t="str" r="S1088" s="6">
        <f>A1088&amp;"|"&amp;C1088&amp;"|"&amp;D1088&amp;"|"&amp;G1088&amp;"|"&amp;J1088</f>
        <v>Flexo Food , Грузия|Шкала|Сервис (ЗЧ)|1|11</v>
      </c>
      <c t="str" r="T1088" s="6">
        <f>A1088&amp;"|"&amp;C1088&amp;"|"&amp;G1088</f>
        <v>Flexo Food , Грузия|Шкала|1</v>
      </c>
      <c t="str" r="U1088" s="6">
        <f>IF(H1088="да",A1088&amp;"|"&amp;C1088&amp;"|"&amp;D1088&amp;"|"&amp;J1088,"")</f>
        <v>Flexo Food , Грузия|Шкала|Сервис (ЗЧ)|11</v>
      </c>
      <c t="str" r="V1088" s="6">
        <f>IF(C1088="План",A1088&amp;"|"&amp;J1088,"")</f>
        <v/>
      </c>
    </row>
    <row r="1089">
      <c r="A1089" s="3" t="inlineStr">
        <is>
          <t>Flexo Food , Грузия</t>
        </is>
      </c>
      <c r="B1089" s="3" t="inlineStr">
        <is>
          <t>Заруб</t>
        </is>
      </c>
      <c r="C1089" s="3" t="inlineStr">
        <is>
          <t>Шкала</t>
        </is>
      </c>
      <c r="D1089" s="3" t="inlineStr">
        <is>
          <t>Сервис (ЗЧ)</t>
        </is>
      </c>
      <c r="E1089" s="3" t="inlineStr">
        <is>
          <t>Сервис (ЗЧ) — абсолютные отгрузки за 12 месяцев</t>
        </is>
      </c>
      <c r="F1089" s="3" t="inlineStr">
        <is>
          <t>Скидка по сервису</t>
        </is>
      </c>
      <c r="G1089" s="4" t="n">
        <v>1</v>
      </c>
      <c r="H1089" s="4" t="inlineStr">
        <is>
          <t>да</t>
        </is>
      </c>
      <c r="I1089" s="3" t="inlineStr">
        <is>
          <t>115001+</t>
        </is>
      </c>
      <c r="J1089" s="4" t="n">
        <v>12</v>
      </c>
      <c r="K1089" s="4" t="n">
        <v>115001</v>
      </c>
      <c r="L1089" s="4" t="n">
        <v>0</v>
      </c>
      <c r="M1089" s="8" t="n">
        <v>0.22</v>
      </c>
      <c r="N1089" s="4" t="inlineStr">
        <is>
          <t>%</t>
        </is>
      </c>
      <c r="O1089" s="3" t="inlineStr">
        <is>
          <t>Flexo Food Ltd, Грузия</t>
        </is>
      </c>
      <c r="P1089" s="3" t="inlineStr">
        <is>
          <t>F35</t>
        </is>
      </c>
      <c t="str" r="Q1089" s="6">
        <f>A1089&amp;"|"&amp;C1089&amp;"|"&amp;D1089&amp;"|"&amp;G1089</f>
        <v>Flexo Food , Грузия|Шкала|Сервис (ЗЧ)|1</v>
      </c>
      <c t="str" r="R1089" s="6">
        <f>A1089&amp;"|"&amp;C1089&amp;"|"&amp;D1089&amp;"|"&amp;J1089</f>
        <v>Flexo Food , Грузия|Шкала|Сервис (ЗЧ)|12</v>
      </c>
      <c t="str" r="S1089" s="6">
        <f>A1089&amp;"|"&amp;C1089&amp;"|"&amp;D1089&amp;"|"&amp;G1089&amp;"|"&amp;J1089</f>
        <v>Flexo Food , Грузия|Шкала|Сервис (ЗЧ)|1|12</v>
      </c>
      <c t="str" r="T1089" s="6">
        <f>A1089&amp;"|"&amp;C1089&amp;"|"&amp;G1089</f>
        <v>Flexo Food , Грузия|Шкала|1</v>
      </c>
      <c t="str" r="U1089" s="6">
        <f>IF(H1089="да",A1089&amp;"|"&amp;C1089&amp;"|"&amp;D1089&amp;"|"&amp;J1089,"")</f>
        <v>Flexo Food , Грузия|Шкала|Сервис (ЗЧ)|12</v>
      </c>
      <c t="str" r="V1089" s="6">
        <f>IF(C1089="План",A1089&amp;"|"&amp;J1089,"")</f>
        <v/>
      </c>
    </row>
    <row r="1090">
      <c r="A1090" s="3" t="inlineStr">
        <is>
          <t>Гинап, Армения</t>
        </is>
      </c>
      <c r="B1090" s="3" t="inlineStr">
        <is>
          <t>Заруб</t>
        </is>
      </c>
      <c r="C1090" s="3" t="inlineStr">
        <is>
          <t>План</t>
        </is>
      </c>
      <c r="D1090" s="3" t="inlineStr">
        <is>
          <t>Итого по дилеру</t>
        </is>
      </c>
      <c r="E1090" s="3" t="inlineStr">
        <is>
          <t>План и бонусы</t>
        </is>
      </c>
      <c r="F1090" s="3" t="inlineStr">
        <is>
          <t>Выручка 2024</t>
        </is>
      </c>
      <c r="G1090" s="4" t="n">
        <v>1</v>
      </c>
      <c r="H1090" s="4" t="n"/>
      <c r="I1090" s="3" t="n"/>
      <c r="J1090" s="4" t="n">
        <v>1</v>
      </c>
      <c r="K1090" s="4" t="n"/>
      <c r="L1090" s="4" t="n"/>
      <c r="M1090" s="5" t="n">
        <v>85433</v>
      </c>
      <c r="N1090" s="4" t="inlineStr">
        <is>
          <t>EUR</t>
        </is>
      </c>
      <c r="O1090" s="3" t="inlineStr">
        <is>
          <t>ГИНАП, Армения</t>
        </is>
      </c>
      <c r="P1090" s="3" t="inlineStr">
        <is>
          <t>D4</t>
        </is>
      </c>
      <c t="str" r="Q1090" s="6">
        <f>A1090&amp;"|"&amp;C1090&amp;"|"&amp;D1090&amp;"|"&amp;G1090</f>
        <v>Гинап, Армения|План|Итого по дилеру|1</v>
      </c>
      <c t="str" r="R1090" s="6">
        <f>A1090&amp;"|"&amp;C1090&amp;"|"&amp;D1090&amp;"|"&amp;J1090</f>
        <v>Гинап, Армения|План|Итого по дилеру|1</v>
      </c>
      <c t="str" r="S1090" s="6">
        <f>A1090&amp;"|"&amp;C1090&amp;"|"&amp;D1090&amp;"|"&amp;G1090&amp;"|"&amp;J1090</f>
        <v>Гинап, Армения|План|Итого по дилеру|1|1</v>
      </c>
      <c t="str" r="T1090" s="6">
        <f>A1090&amp;"|"&amp;C1090&amp;"|"&amp;G1090</f>
        <v>Гинап, Армения|План|1</v>
      </c>
      <c t="str" r="U1090" s="6">
        <f>IF(H1090="да",A1090&amp;"|"&amp;C1090&amp;"|"&amp;D1090&amp;"|"&amp;J1090,"")</f>
        <v/>
      </c>
      <c t="str" r="V1090" s="6">
        <f>IF(C1090="План",A1090&amp;"|"&amp;J1090,"")</f>
        <v>Гинап, Армения|1</v>
      </c>
    </row>
    <row r="1091">
      <c r="A1091" s="3" t="inlineStr">
        <is>
          <t>Гинап, Армения</t>
        </is>
      </c>
      <c r="B1091" s="3" t="inlineStr">
        <is>
          <t>Заруб</t>
        </is>
      </c>
      <c r="C1091" s="3" t="inlineStr">
        <is>
          <t>План</t>
        </is>
      </c>
      <c r="D1091" s="3" t="inlineStr">
        <is>
          <t>Итого по дилеру</t>
        </is>
      </c>
      <c r="E1091" s="3" t="inlineStr">
        <is>
          <t>План и бонусы</t>
        </is>
      </c>
      <c r="F1091" s="3" t="inlineStr">
        <is>
          <t>Выручка 2025</t>
        </is>
      </c>
      <c r="G1091" s="4" t="n">
        <v>1</v>
      </c>
      <c r="H1091" s="4" t="n"/>
      <c r="I1091" s="3" t="n"/>
      <c r="J1091" s="4" t="n">
        <v>2</v>
      </c>
      <c r="K1091" s="4" t="n"/>
      <c r="L1091" s="4" t="n"/>
      <c r="M1091" s="5" t="n">
        <v>27404</v>
      </c>
      <c r="N1091" s="4" t="inlineStr">
        <is>
          <t>EUR</t>
        </is>
      </c>
      <c r="O1091" s="3" t="inlineStr">
        <is>
          <t>ГИНАП, Армения</t>
        </is>
      </c>
      <c r="P1091" s="3" t="inlineStr">
        <is>
          <t>E4</t>
        </is>
      </c>
      <c t="str" r="Q1091" s="6">
        <f>A1091&amp;"|"&amp;C1091&amp;"|"&amp;D1091&amp;"|"&amp;G1091</f>
        <v>Гинап, Армения|План|Итого по дилеру|1</v>
      </c>
      <c t="str" r="R1091" s="6">
        <f>A1091&amp;"|"&amp;C1091&amp;"|"&amp;D1091&amp;"|"&amp;J1091</f>
        <v>Гинап, Армения|План|Итого по дилеру|2</v>
      </c>
      <c t="str" r="S1091" s="6">
        <f>A1091&amp;"|"&amp;C1091&amp;"|"&amp;D1091&amp;"|"&amp;G1091&amp;"|"&amp;J1091</f>
        <v>Гинап, Армения|План|Итого по дилеру|1|2</v>
      </c>
      <c t="str" r="T1091" s="6">
        <f>A1091&amp;"|"&amp;C1091&amp;"|"&amp;G1091</f>
        <v>Гинап, Армения|План|1</v>
      </c>
      <c t="str" r="U1091" s="6">
        <f>IF(H1091="да",A1091&amp;"|"&amp;C1091&amp;"|"&amp;D1091&amp;"|"&amp;J1091,"")</f>
        <v/>
      </c>
      <c t="str" r="V1091" s="6">
        <f>IF(C1091="План",A1091&amp;"|"&amp;J1091,"")</f>
        <v>Гинап, Армения|2</v>
      </c>
    </row>
    <row r="1092">
      <c r="A1092" s="3" t="inlineStr">
        <is>
          <t>Гинап, Армения</t>
        </is>
      </c>
      <c r="B1092" s="3" t="inlineStr">
        <is>
          <t>Заруб</t>
        </is>
      </c>
      <c r="C1092" s="3" t="inlineStr">
        <is>
          <t>План</t>
        </is>
      </c>
      <c r="D1092" s="3" t="inlineStr">
        <is>
          <t>Итого по дилеру</t>
        </is>
      </c>
      <c r="E1092" s="3" t="inlineStr">
        <is>
          <t>План и бонусы</t>
        </is>
      </c>
      <c r="F1092" s="3" t="inlineStr">
        <is>
          <t>План 2026</t>
        </is>
      </c>
      <c r="G1092" s="4" t="n">
        <v>1</v>
      </c>
      <c r="H1092" s="4" t="n"/>
      <c r="I1092" s="3" t="n"/>
      <c r="J1092" s="4" t="n">
        <v>3</v>
      </c>
      <c r="K1092" s="4" t="n"/>
      <c r="L1092" s="4" t="n"/>
      <c r="M1092" s="5" t="n">
        <v>175000</v>
      </c>
      <c r="N1092" s="4" t="inlineStr">
        <is>
          <t>EUR</t>
        </is>
      </c>
      <c r="O1092" s="3" t="inlineStr">
        <is>
          <t>ГИНАП, Армения</t>
        </is>
      </c>
      <c r="P1092" s="3" t="inlineStr">
        <is>
          <t>F4</t>
        </is>
      </c>
      <c t="str" r="Q1092" s="6">
        <f>A1092&amp;"|"&amp;C1092&amp;"|"&amp;D1092&amp;"|"&amp;G1092</f>
        <v>Гинап, Армения|План|Итого по дилеру|1</v>
      </c>
      <c t="str" r="R1092" s="6">
        <f>A1092&amp;"|"&amp;C1092&amp;"|"&amp;D1092&amp;"|"&amp;J1092</f>
        <v>Гинап, Армения|План|Итого по дилеру|3</v>
      </c>
      <c t="str" r="S1092" s="6">
        <f>A1092&amp;"|"&amp;C1092&amp;"|"&amp;D1092&amp;"|"&amp;G1092&amp;"|"&amp;J1092</f>
        <v>Гинап, Армения|План|Итого по дилеру|1|3</v>
      </c>
      <c t="str" r="T1092" s="6">
        <f>A1092&amp;"|"&amp;C1092&amp;"|"&amp;G1092</f>
        <v>Гинап, Армения|План|1</v>
      </c>
      <c t="str" r="U1092" s="6">
        <f>IF(H1092="да",A1092&amp;"|"&amp;C1092&amp;"|"&amp;D1092&amp;"|"&amp;J1092,"")</f>
        <v/>
      </c>
      <c t="str" r="V1092" s="6">
        <f>IF(C1092="План",A1092&amp;"|"&amp;J1092,"")</f>
        <v>Гинап, Армения|3</v>
      </c>
    </row>
    <row r="1093">
      <c r="A1093" s="3" t="inlineStr">
        <is>
          <t>Гинап, Армения</t>
        </is>
      </c>
      <c r="B1093" s="3" t="inlineStr">
        <is>
          <t>Заруб</t>
        </is>
      </c>
      <c r="C1093" s="3" t="inlineStr">
        <is>
          <t>План</t>
        </is>
      </c>
      <c r="D1093" s="3" t="inlineStr">
        <is>
          <t>Итого по дилеру</t>
        </is>
      </c>
      <c r="E1093" s="3" t="inlineStr">
        <is>
          <t>План и бонусы</t>
        </is>
      </c>
      <c r="F1093" s="3" t="inlineStr">
        <is>
          <t>Прирост П/Ф</t>
        </is>
      </c>
      <c r="G1093" s="4" t="n">
        <v>1</v>
      </c>
      <c r="H1093" s="4" t="n"/>
      <c r="I1093" s="3" t="n"/>
      <c r="J1093" s="4" t="n">
        <v>4</v>
      </c>
      <c r="K1093" s="4" t="n"/>
      <c r="L1093" s="4" t="n"/>
      <c r="M1093" s="7" t="n">
        <v>5.385929061450883</v>
      </c>
      <c r="N1093" s="4" t="inlineStr">
        <is>
          <t>%</t>
        </is>
      </c>
      <c r="O1093" s="3" t="inlineStr">
        <is>
          <t>ГИНАП, Армения</t>
        </is>
      </c>
      <c r="P1093" s="3" t="inlineStr">
        <is>
          <t>G4</t>
        </is>
      </c>
      <c t="str" r="Q1093" s="6">
        <f>A1093&amp;"|"&amp;C1093&amp;"|"&amp;D1093&amp;"|"&amp;G1093</f>
        <v>Гинап, Армения|План|Итого по дилеру|1</v>
      </c>
      <c t="str" r="R1093" s="6">
        <f>A1093&amp;"|"&amp;C1093&amp;"|"&amp;D1093&amp;"|"&amp;J1093</f>
        <v>Гинап, Армения|План|Итого по дилеру|4</v>
      </c>
      <c t="str" r="S1093" s="6">
        <f>A1093&amp;"|"&amp;C1093&amp;"|"&amp;D1093&amp;"|"&amp;G1093&amp;"|"&amp;J1093</f>
        <v>Гинап, Армения|План|Итого по дилеру|1|4</v>
      </c>
      <c t="str" r="T1093" s="6">
        <f>A1093&amp;"|"&amp;C1093&amp;"|"&amp;G1093</f>
        <v>Гинап, Армения|План|1</v>
      </c>
      <c t="str" r="U1093" s="6">
        <f>IF(H1093="да",A1093&amp;"|"&amp;C1093&amp;"|"&amp;D1093&amp;"|"&amp;J1093,"")</f>
        <v/>
      </c>
      <c t="str" r="V1093" s="6">
        <f>IF(C1093="План",A1093&amp;"|"&amp;J1093,"")</f>
        <v>Гинап, Армения|4</v>
      </c>
    </row>
    <row r="1094">
      <c r="A1094" s="3" t="inlineStr">
        <is>
          <t>Гинап, Армения</t>
        </is>
      </c>
      <c r="B1094" s="3" t="inlineStr">
        <is>
          <t>Заруб</t>
        </is>
      </c>
      <c r="C1094" s="3" t="inlineStr">
        <is>
          <t>План</t>
        </is>
      </c>
      <c r="D1094" s="3" t="inlineStr">
        <is>
          <t>Сервис</t>
        </is>
      </c>
      <c r="E1094" s="3" t="inlineStr">
        <is>
          <t>План и бонусы</t>
        </is>
      </c>
      <c r="F1094" s="3" t="inlineStr">
        <is>
          <t>Выручка 2024</t>
        </is>
      </c>
      <c r="G1094" s="4" t="n">
        <v>2</v>
      </c>
      <c r="H1094" s="4" t="n"/>
      <c r="I1094" s="3" t="n"/>
      <c r="J1094" s="4" t="n">
        <v>1</v>
      </c>
      <c r="K1094" s="4" t="n"/>
      <c r="L1094" s="4" t="n"/>
      <c r="M1094" s="5" t="n">
        <v>23538</v>
      </c>
      <c r="N1094" s="4" t="inlineStr">
        <is>
          <t>EUR</t>
        </is>
      </c>
      <c r="O1094" s="3" t="inlineStr">
        <is>
          <t>ГИНАП, Армения</t>
        </is>
      </c>
      <c r="P1094" s="3" t="inlineStr">
        <is>
          <t>D5</t>
        </is>
      </c>
      <c t="str" r="Q1094" s="6">
        <f>A1094&amp;"|"&amp;C1094&amp;"|"&amp;D1094&amp;"|"&amp;G1094</f>
        <v>Гинап, Армения|План|Сервис|2</v>
      </c>
      <c t="str" r="R1094" s="6">
        <f>A1094&amp;"|"&amp;C1094&amp;"|"&amp;D1094&amp;"|"&amp;J1094</f>
        <v>Гинап, Армения|План|Сервис|1</v>
      </c>
      <c t="str" r="S1094" s="6">
        <f>A1094&amp;"|"&amp;C1094&amp;"|"&amp;D1094&amp;"|"&amp;G1094&amp;"|"&amp;J1094</f>
        <v>Гинап, Армения|План|Сервис|2|1</v>
      </c>
      <c t="str" r="T1094" s="6">
        <f>A1094&amp;"|"&amp;C1094&amp;"|"&amp;G1094</f>
        <v>Гинап, Армения|План|2</v>
      </c>
      <c t="str" r="U1094" s="6">
        <f>IF(H1094="да",A1094&amp;"|"&amp;C1094&amp;"|"&amp;D1094&amp;"|"&amp;J1094,"")</f>
        <v/>
      </c>
      <c t="str" r="V1094" s="6">
        <f>IF(C1094="План",A1094&amp;"|"&amp;J1094,"")</f>
        <v>Гинап, Армения|1</v>
      </c>
    </row>
    <row r="1095">
      <c r="A1095" s="3" t="inlineStr">
        <is>
          <t>Гинап, Армения</t>
        </is>
      </c>
      <c r="B1095" s="3" t="inlineStr">
        <is>
          <t>Заруб</t>
        </is>
      </c>
      <c r="C1095" s="3" t="inlineStr">
        <is>
          <t>План</t>
        </is>
      </c>
      <c r="D1095" s="3" t="inlineStr">
        <is>
          <t>Сервис</t>
        </is>
      </c>
      <c r="E1095" s="3" t="inlineStr">
        <is>
          <t>План и бонусы</t>
        </is>
      </c>
      <c r="F1095" s="3" t="inlineStr">
        <is>
          <t>Выручка 2025</t>
        </is>
      </c>
      <c r="G1095" s="4" t="n">
        <v>2</v>
      </c>
      <c r="H1095" s="4" t="n"/>
      <c r="I1095" s="3" t="n"/>
      <c r="J1095" s="4" t="n">
        <v>2</v>
      </c>
      <c r="K1095" s="4" t="n"/>
      <c r="L1095" s="4" t="n"/>
      <c r="M1095" s="5" t="n">
        <v>7079</v>
      </c>
      <c r="N1095" s="4" t="inlineStr">
        <is>
          <t>EUR</t>
        </is>
      </c>
      <c r="O1095" s="3" t="inlineStr">
        <is>
          <t>ГИНАП, Армения</t>
        </is>
      </c>
      <c r="P1095" s="3" t="inlineStr">
        <is>
          <t>E5</t>
        </is>
      </c>
      <c t="str" r="Q1095" s="6">
        <f>A1095&amp;"|"&amp;C1095&amp;"|"&amp;D1095&amp;"|"&amp;G1095</f>
        <v>Гинап, Армения|План|Сервис|2</v>
      </c>
      <c t="str" r="R1095" s="6">
        <f>A1095&amp;"|"&amp;C1095&amp;"|"&amp;D1095&amp;"|"&amp;J1095</f>
        <v>Гинап, Армения|План|Сервис|2</v>
      </c>
      <c t="str" r="S1095" s="6">
        <f>A1095&amp;"|"&amp;C1095&amp;"|"&amp;D1095&amp;"|"&amp;G1095&amp;"|"&amp;J1095</f>
        <v>Гинап, Армения|План|Сервис|2|2</v>
      </c>
      <c t="str" r="T1095" s="6">
        <f>A1095&amp;"|"&amp;C1095&amp;"|"&amp;G1095</f>
        <v>Гинап, Армения|План|2</v>
      </c>
      <c t="str" r="U1095" s="6">
        <f>IF(H1095="да",A1095&amp;"|"&amp;C1095&amp;"|"&amp;D1095&amp;"|"&amp;J1095,"")</f>
        <v/>
      </c>
      <c t="str" r="V1095" s="6">
        <f>IF(C1095="План",A1095&amp;"|"&amp;J1095,"")</f>
        <v>Гинап, Армения|2</v>
      </c>
    </row>
    <row r="1096">
      <c r="A1096" s="3" t="inlineStr">
        <is>
          <t>Гинап, Армения</t>
        </is>
      </c>
      <c r="B1096" s="3" t="inlineStr">
        <is>
          <t>Заруб</t>
        </is>
      </c>
      <c r="C1096" s="3" t="inlineStr">
        <is>
          <t>План</t>
        </is>
      </c>
      <c r="D1096" s="3" t="inlineStr">
        <is>
          <t>Сервис</t>
        </is>
      </c>
      <c r="E1096" s="3" t="inlineStr">
        <is>
          <t>План и бонусы</t>
        </is>
      </c>
      <c r="F1096" s="3" t="inlineStr">
        <is>
          <t>План 2026</t>
        </is>
      </c>
      <c r="G1096" s="4" t="n">
        <v>2</v>
      </c>
      <c r="H1096" s="4" t="n"/>
      <c r="I1096" s="3" t="n"/>
      <c r="J1096" s="4" t="n">
        <v>3</v>
      </c>
      <c r="K1096" s="4" t="n"/>
      <c r="L1096" s="4" t="n"/>
      <c r="M1096" s="5" t="n">
        <v>25000</v>
      </c>
      <c r="N1096" s="4" t="inlineStr">
        <is>
          <t>EUR</t>
        </is>
      </c>
      <c r="O1096" s="3" t="inlineStr">
        <is>
          <t>ГИНАП, Армения</t>
        </is>
      </c>
      <c r="P1096" s="3" t="inlineStr">
        <is>
          <t>F5</t>
        </is>
      </c>
      <c t="str" r="Q1096" s="6">
        <f>A1096&amp;"|"&amp;C1096&amp;"|"&amp;D1096&amp;"|"&amp;G1096</f>
        <v>Гинап, Армения|План|Сервис|2</v>
      </c>
      <c t="str" r="R1096" s="6">
        <f>A1096&amp;"|"&amp;C1096&amp;"|"&amp;D1096&amp;"|"&amp;J1096</f>
        <v>Гинап, Армения|План|Сервис|3</v>
      </c>
      <c t="str" r="S1096" s="6">
        <f>A1096&amp;"|"&amp;C1096&amp;"|"&amp;D1096&amp;"|"&amp;G1096&amp;"|"&amp;J1096</f>
        <v>Гинап, Армения|План|Сервис|2|3</v>
      </c>
      <c t="str" r="T1096" s="6">
        <f>A1096&amp;"|"&amp;C1096&amp;"|"&amp;G1096</f>
        <v>Гинап, Армения|План|2</v>
      </c>
      <c t="str" r="U1096" s="6">
        <f>IF(H1096="да",A1096&amp;"|"&amp;C1096&amp;"|"&amp;D1096&amp;"|"&amp;J1096,"")</f>
        <v/>
      </c>
      <c t="str" r="V1096" s="6">
        <f>IF(C1096="План",A1096&amp;"|"&amp;J1096,"")</f>
        <v>Гинап, Армения|3</v>
      </c>
    </row>
    <row r="1097">
      <c r="A1097" s="3" t="inlineStr">
        <is>
          <t>Гинап, Армения</t>
        </is>
      </c>
      <c r="B1097" s="3" t="inlineStr">
        <is>
          <t>Заруб</t>
        </is>
      </c>
      <c r="C1097" s="3" t="inlineStr">
        <is>
          <t>План</t>
        </is>
      </c>
      <c r="D1097" s="3" t="inlineStr">
        <is>
          <t>Сервис</t>
        </is>
      </c>
      <c r="E1097" s="3" t="inlineStr">
        <is>
          <t>План и бонусы</t>
        </is>
      </c>
      <c r="F1097" s="3" t="inlineStr">
        <is>
          <t>Размер бонуса по итогам 2026 г</t>
        </is>
      </c>
      <c r="G1097" s="4" t="n">
        <v>2</v>
      </c>
      <c r="H1097" s="4" t="n"/>
      <c r="I1097" s="3" t="n"/>
      <c r="J1097" s="4" t="n">
        <v>5</v>
      </c>
      <c r="K1097" s="4" t="n"/>
      <c r="L1097" s="4" t="n"/>
      <c r="M1097" s="7" t="n">
        <v>0.01</v>
      </c>
      <c r="N1097" s="4" t="inlineStr">
        <is>
          <t>%</t>
        </is>
      </c>
      <c r="O1097" s="3" t="inlineStr">
        <is>
          <t>ГИНАП, Армения</t>
        </is>
      </c>
      <c r="P1097" s="3" t="inlineStr">
        <is>
          <t>H5</t>
        </is>
      </c>
      <c t="str" r="Q1097" s="6">
        <f>A1097&amp;"|"&amp;C1097&amp;"|"&amp;D1097&amp;"|"&amp;G1097</f>
        <v>Гинап, Армения|План|Сервис|2</v>
      </c>
      <c t="str" r="R1097" s="6">
        <f>A1097&amp;"|"&amp;C1097&amp;"|"&amp;D1097&amp;"|"&amp;J1097</f>
        <v>Гинап, Армения|План|Сервис|5</v>
      </c>
      <c t="str" r="S1097" s="6">
        <f>A1097&amp;"|"&amp;C1097&amp;"|"&amp;D1097&amp;"|"&amp;G1097&amp;"|"&amp;J1097</f>
        <v>Гинап, Армения|План|Сервис|2|5</v>
      </c>
      <c t="str" r="T1097" s="6">
        <f>A1097&amp;"|"&amp;C1097&amp;"|"&amp;G1097</f>
        <v>Гинап, Армения|План|2</v>
      </c>
      <c t="str" r="U1097" s="6">
        <f>IF(H1097="да",A1097&amp;"|"&amp;C1097&amp;"|"&amp;D1097&amp;"|"&amp;J1097,"")</f>
        <v/>
      </c>
      <c t="str" r="V1097" s="6">
        <f>IF(C1097="План",A1097&amp;"|"&amp;J1097,"")</f>
        <v>Гинап, Армения|5</v>
      </c>
    </row>
    <row r="1098">
      <c r="A1098" s="3" t="inlineStr">
        <is>
          <t>Гинап, Армения</t>
        </is>
      </c>
      <c r="B1098" s="3" t="inlineStr">
        <is>
          <t>Заруб</t>
        </is>
      </c>
      <c r="C1098" s="3" t="inlineStr">
        <is>
          <t>План</t>
        </is>
      </c>
      <c r="D1098" s="3" t="inlineStr">
        <is>
          <t>Сервис</t>
        </is>
      </c>
      <c r="E1098" s="3" t="inlineStr">
        <is>
          <t>План и бонусы</t>
        </is>
      </c>
      <c r="F1098" s="3" t="inlineStr">
        <is>
          <t>Скидка в 1 кв. 2026 ф.г.*</t>
        </is>
      </c>
      <c r="G1098" s="4" t="n">
        <v>2</v>
      </c>
      <c r="H1098" s="4" t="n"/>
      <c r="I1098" s="3" t="n"/>
      <c r="J1098" s="4" t="n">
        <v>6</v>
      </c>
      <c r="K1098" s="4" t="n"/>
      <c r="L1098" s="4" t="n"/>
      <c r="M1098" s="8" t="n">
        <v>0.11</v>
      </c>
      <c r="N1098" s="4" t="inlineStr">
        <is>
          <t>%</t>
        </is>
      </c>
      <c r="O1098" s="3" t="inlineStr">
        <is>
          <t>ГИНАП, Армения</t>
        </is>
      </c>
      <c r="P1098" s="3" t="inlineStr">
        <is>
          <t>I5</t>
        </is>
      </c>
      <c t="str" r="Q1098" s="6">
        <f>A1098&amp;"|"&amp;C1098&amp;"|"&amp;D1098&amp;"|"&amp;G1098</f>
        <v>Гинап, Армения|План|Сервис|2</v>
      </c>
      <c t="str" r="R1098" s="6">
        <f>A1098&amp;"|"&amp;C1098&amp;"|"&amp;D1098&amp;"|"&amp;J1098</f>
        <v>Гинап, Армения|План|Сервис|6</v>
      </c>
      <c t="str" r="S1098" s="6">
        <f>A1098&amp;"|"&amp;C1098&amp;"|"&amp;D1098&amp;"|"&amp;G1098&amp;"|"&amp;J1098</f>
        <v>Гинап, Армения|План|Сервис|2|6</v>
      </c>
      <c t="str" r="T1098" s="6">
        <f>A1098&amp;"|"&amp;C1098&amp;"|"&amp;G1098</f>
        <v>Гинап, Армения|План|2</v>
      </c>
      <c t="str" r="U1098" s="6">
        <f>IF(H1098="да",A1098&amp;"|"&amp;C1098&amp;"|"&amp;D1098&amp;"|"&amp;J1098,"")</f>
        <v/>
      </c>
      <c t="str" r="V1098" s="6">
        <f>IF(C1098="План",A1098&amp;"|"&amp;J1098,"")</f>
        <v>Гинап, Армения|6</v>
      </c>
    </row>
    <row r="1099">
      <c r="A1099" s="3" t="inlineStr">
        <is>
          <t>Гинап, Армения</t>
        </is>
      </c>
      <c r="B1099" s="3" t="inlineStr">
        <is>
          <t>Заруб</t>
        </is>
      </c>
      <c r="C1099" s="3" t="inlineStr">
        <is>
          <t>План</t>
        </is>
      </c>
      <c r="D1099" s="3" t="inlineStr">
        <is>
          <t>Оборудование</t>
        </is>
      </c>
      <c r="E1099" s="3" t="inlineStr">
        <is>
          <t>План и бонусы</t>
        </is>
      </c>
      <c r="F1099" s="3" t="inlineStr">
        <is>
          <t>Выручка 2024</t>
        </is>
      </c>
      <c r="G1099" s="4" t="n">
        <v>3</v>
      </c>
      <c r="H1099" s="4" t="n"/>
      <c r="I1099" s="3" t="n"/>
      <c r="J1099" s="4" t="n">
        <v>1</v>
      </c>
      <c r="K1099" s="4" t="n"/>
      <c r="L1099" s="4" t="n"/>
      <c r="M1099" s="5" t="n">
        <v>44599</v>
      </c>
      <c r="N1099" s="4" t="inlineStr">
        <is>
          <t>EUR</t>
        </is>
      </c>
      <c r="O1099" s="3" t="inlineStr">
        <is>
          <t>ГИНАП, Армения</t>
        </is>
      </c>
      <c r="P1099" s="3" t="inlineStr">
        <is>
          <t>D6</t>
        </is>
      </c>
      <c t="str" r="Q1099" s="6">
        <f>A1099&amp;"|"&amp;C1099&amp;"|"&amp;D1099&amp;"|"&amp;G1099</f>
        <v>Гинап, Армения|План|Оборудование|3</v>
      </c>
      <c t="str" r="R1099" s="6">
        <f>A1099&amp;"|"&amp;C1099&amp;"|"&amp;D1099&amp;"|"&amp;J1099</f>
        <v>Гинап, Армения|План|Оборудование|1</v>
      </c>
      <c t="str" r="S1099" s="6">
        <f>A1099&amp;"|"&amp;C1099&amp;"|"&amp;D1099&amp;"|"&amp;G1099&amp;"|"&amp;J1099</f>
        <v>Гинап, Армения|План|Оборудование|3|1</v>
      </c>
      <c t="str" r="T1099" s="6">
        <f>A1099&amp;"|"&amp;C1099&amp;"|"&amp;G1099</f>
        <v>Гинап, Армения|План|3</v>
      </c>
      <c t="str" r="U1099" s="6">
        <f>IF(H1099="да",A1099&amp;"|"&amp;C1099&amp;"|"&amp;D1099&amp;"|"&amp;J1099,"")</f>
        <v/>
      </c>
      <c t="str" r="V1099" s="6">
        <f>IF(C1099="План",A1099&amp;"|"&amp;J1099,"")</f>
        <v>Гинап, Армения|1</v>
      </c>
    </row>
    <row r="1100">
      <c r="A1100" s="3" t="inlineStr">
        <is>
          <t>Гинап, Армения</t>
        </is>
      </c>
      <c r="B1100" s="3" t="inlineStr">
        <is>
          <t>Заруб</t>
        </is>
      </c>
      <c r="C1100" s="3" t="inlineStr">
        <is>
          <t>План</t>
        </is>
      </c>
      <c r="D1100" s="3" t="inlineStr">
        <is>
          <t>Оборудование</t>
        </is>
      </c>
      <c r="E1100" s="3" t="inlineStr">
        <is>
          <t>План и бонусы</t>
        </is>
      </c>
      <c r="F1100" s="3" t="inlineStr">
        <is>
          <t>План 2026</t>
        </is>
      </c>
      <c r="G1100" s="4" t="n">
        <v>3</v>
      </c>
      <c r="H1100" s="4" t="n"/>
      <c r="I1100" s="3" t="n"/>
      <c r="J1100" s="4" t="n">
        <v>3</v>
      </c>
      <c r="K1100" s="4" t="n"/>
      <c r="L1100" s="4" t="n"/>
      <c r="M1100" s="5" t="n">
        <v>75000</v>
      </c>
      <c r="N1100" s="4" t="inlineStr">
        <is>
          <t>EUR</t>
        </is>
      </c>
      <c r="O1100" s="3" t="inlineStr">
        <is>
          <t>ГИНАП, Армения</t>
        </is>
      </c>
      <c r="P1100" s="3" t="inlineStr">
        <is>
          <t>F6</t>
        </is>
      </c>
      <c t="str" r="Q1100" s="6">
        <f>A1100&amp;"|"&amp;C1100&amp;"|"&amp;D1100&amp;"|"&amp;G1100</f>
        <v>Гинап, Армения|План|Оборудование|3</v>
      </c>
      <c t="str" r="R1100" s="6">
        <f>A1100&amp;"|"&amp;C1100&amp;"|"&amp;D1100&amp;"|"&amp;J1100</f>
        <v>Гинап, Армения|План|Оборудование|3</v>
      </c>
      <c t="str" r="S1100" s="6">
        <f>A1100&amp;"|"&amp;C1100&amp;"|"&amp;D1100&amp;"|"&amp;G1100&amp;"|"&amp;J1100</f>
        <v>Гинап, Армения|План|Оборудование|3|3</v>
      </c>
      <c t="str" r="T1100" s="6">
        <f>A1100&amp;"|"&amp;C1100&amp;"|"&amp;G1100</f>
        <v>Гинап, Армения|План|3</v>
      </c>
      <c t="str" r="U1100" s="6">
        <f>IF(H1100="да",A1100&amp;"|"&amp;C1100&amp;"|"&amp;D1100&amp;"|"&amp;J1100,"")</f>
        <v/>
      </c>
      <c t="str" r="V1100" s="6">
        <f>IF(C1100="План",A1100&amp;"|"&amp;J1100,"")</f>
        <v>Гинап, Армения|3</v>
      </c>
    </row>
    <row r="1101">
      <c r="A1101" s="3" t="inlineStr">
        <is>
          <t>Гинап, Армения</t>
        </is>
      </c>
      <c r="B1101" s="3" t="inlineStr">
        <is>
          <t>Заруб</t>
        </is>
      </c>
      <c r="C1101" s="3" t="inlineStr">
        <is>
          <t>План</t>
        </is>
      </c>
      <c r="D1101" s="3" t="inlineStr">
        <is>
          <t>Оборудование</t>
        </is>
      </c>
      <c r="E1101" s="3" t="inlineStr">
        <is>
          <t>План и бонусы</t>
        </is>
      </c>
      <c r="F1101" s="3" t="inlineStr">
        <is>
          <t>Размер бонуса по итогам 2026 г</t>
        </is>
      </c>
      <c r="G1101" s="4" t="n">
        <v>3</v>
      </c>
      <c r="H1101" s="4" t="n"/>
      <c r="I1101" s="3" t="n"/>
      <c r="J1101" s="4" t="n">
        <v>5</v>
      </c>
      <c r="K1101" s="4" t="n"/>
      <c r="L1101" s="4" t="n"/>
      <c r="M1101" s="7" t="n">
        <v>0.015</v>
      </c>
      <c r="N1101" s="4" t="inlineStr">
        <is>
          <t>%</t>
        </is>
      </c>
      <c r="O1101" s="3" t="inlineStr">
        <is>
          <t>ГИНАП, Армения</t>
        </is>
      </c>
      <c r="P1101" s="3" t="inlineStr">
        <is>
          <t>H6</t>
        </is>
      </c>
      <c t="str" r="Q1101" s="6">
        <f>A1101&amp;"|"&amp;C1101&amp;"|"&amp;D1101&amp;"|"&amp;G1101</f>
        <v>Гинап, Армения|План|Оборудование|3</v>
      </c>
      <c t="str" r="R1101" s="6">
        <f>A1101&amp;"|"&amp;C1101&amp;"|"&amp;D1101&amp;"|"&amp;J1101</f>
        <v>Гинап, Армения|План|Оборудование|5</v>
      </c>
      <c t="str" r="S1101" s="6">
        <f>A1101&amp;"|"&amp;C1101&amp;"|"&amp;D1101&amp;"|"&amp;G1101&amp;"|"&amp;J1101</f>
        <v>Гинап, Армения|План|Оборудование|3|5</v>
      </c>
      <c t="str" r="T1101" s="6">
        <f>A1101&amp;"|"&amp;C1101&amp;"|"&amp;G1101</f>
        <v>Гинап, Армения|План|3</v>
      </c>
      <c t="str" r="U1101" s="6">
        <f>IF(H1101="да",A1101&amp;"|"&amp;C1101&amp;"|"&amp;D1101&amp;"|"&amp;J1101,"")</f>
        <v/>
      </c>
      <c t="str" r="V1101" s="6">
        <f>IF(C1101="План",A1101&amp;"|"&amp;J1101,"")</f>
        <v>Гинап, Армения|5</v>
      </c>
    </row>
    <row r="1102">
      <c r="A1102" s="3" t="inlineStr">
        <is>
          <t>Гинап, Армения</t>
        </is>
      </c>
      <c r="B1102" s="3" t="inlineStr">
        <is>
          <t>Заруб</t>
        </is>
      </c>
      <c r="C1102" s="3" t="inlineStr">
        <is>
          <t>План</t>
        </is>
      </c>
      <c r="D1102" s="3" t="inlineStr">
        <is>
          <t>Оборудование</t>
        </is>
      </c>
      <c r="E1102" s="3" t="inlineStr">
        <is>
          <t>План и бонусы</t>
        </is>
      </c>
      <c r="F1102" s="3" t="inlineStr">
        <is>
          <t>Скидка в 1 кв. 2026 ф.г.*</t>
        </is>
      </c>
      <c r="G1102" s="4" t="n">
        <v>3</v>
      </c>
      <c r="H1102" s="4" t="n"/>
      <c r="I1102" s="3" t="n"/>
      <c r="J1102" s="4" t="n">
        <v>6</v>
      </c>
      <c r="K1102" s="4" t="n"/>
      <c r="L1102" s="4" t="n"/>
      <c r="M1102" s="8" t="n">
        <v>0.14</v>
      </c>
      <c r="N1102" s="4" t="inlineStr">
        <is>
          <t>%</t>
        </is>
      </c>
      <c r="O1102" s="3" t="inlineStr">
        <is>
          <t>ГИНАП, Армения</t>
        </is>
      </c>
      <c r="P1102" s="3" t="inlineStr">
        <is>
          <t>I6</t>
        </is>
      </c>
      <c t="str" r="Q1102" s="6">
        <f>A1102&amp;"|"&amp;C1102&amp;"|"&amp;D1102&amp;"|"&amp;G1102</f>
        <v>Гинап, Армения|План|Оборудование|3</v>
      </c>
      <c t="str" r="R1102" s="6">
        <f>A1102&amp;"|"&amp;C1102&amp;"|"&amp;D1102&amp;"|"&amp;J1102</f>
        <v>Гинап, Армения|План|Оборудование|6</v>
      </c>
      <c t="str" r="S1102" s="6">
        <f>A1102&amp;"|"&amp;C1102&amp;"|"&amp;D1102&amp;"|"&amp;G1102&amp;"|"&amp;J1102</f>
        <v>Гинап, Армения|План|Оборудование|3|6</v>
      </c>
      <c t="str" r="T1102" s="6">
        <f>A1102&amp;"|"&amp;C1102&amp;"|"&amp;G1102</f>
        <v>Гинап, Армения|План|3</v>
      </c>
      <c t="str" r="U1102" s="6">
        <f>IF(H1102="да",A1102&amp;"|"&amp;C1102&amp;"|"&amp;D1102&amp;"|"&amp;J1102,"")</f>
        <v/>
      </c>
      <c t="str" r="V1102" s="6">
        <f>IF(C1102="План",A1102&amp;"|"&amp;J1102,"")</f>
        <v>Гинап, Армения|6</v>
      </c>
    </row>
    <row r="1103">
      <c r="A1103" s="3" t="inlineStr">
        <is>
          <t>Гинап, Армения</t>
        </is>
      </c>
      <c r="B1103" s="3" t="inlineStr">
        <is>
          <t>Заруб</t>
        </is>
      </c>
      <c r="C1103" s="3" t="inlineStr">
        <is>
          <t>План</t>
        </is>
      </c>
      <c r="D1103" s="3" t="inlineStr">
        <is>
          <t>Расходные материалы</t>
        </is>
      </c>
      <c r="E1103" s="3" t="inlineStr">
        <is>
          <t>План и бонусы</t>
        </is>
      </c>
      <c r="F1103" s="3" t="inlineStr">
        <is>
          <t>Выручка 2024</t>
        </is>
      </c>
      <c r="G1103" s="4" t="n">
        <v>4</v>
      </c>
      <c r="H1103" s="4" t="n"/>
      <c r="I1103" s="3" t="n"/>
      <c r="J1103" s="4" t="n">
        <v>1</v>
      </c>
      <c r="K1103" s="4" t="n"/>
      <c r="L1103" s="4" t="n"/>
      <c r="M1103" s="5" t="n">
        <v>17296</v>
      </c>
      <c r="N1103" s="4" t="inlineStr">
        <is>
          <t>EUR</t>
        </is>
      </c>
      <c r="O1103" s="3" t="inlineStr">
        <is>
          <t>ГИНАП, Армения</t>
        </is>
      </c>
      <c r="P1103" s="3" t="inlineStr">
        <is>
          <t>D7</t>
        </is>
      </c>
      <c t="str" r="Q1103" s="6">
        <f>A1103&amp;"|"&amp;C1103&amp;"|"&amp;D1103&amp;"|"&amp;G1103</f>
        <v>Гинап, Армения|План|Расходные материалы|4</v>
      </c>
      <c t="str" r="R1103" s="6">
        <f>A1103&amp;"|"&amp;C1103&amp;"|"&amp;D1103&amp;"|"&amp;J1103</f>
        <v>Гинап, Армения|План|Расходные материалы|1</v>
      </c>
      <c t="str" r="S1103" s="6">
        <f>A1103&amp;"|"&amp;C1103&amp;"|"&amp;D1103&amp;"|"&amp;G1103&amp;"|"&amp;J1103</f>
        <v>Гинап, Армения|План|Расходные материалы|4|1</v>
      </c>
      <c t="str" r="T1103" s="6">
        <f>A1103&amp;"|"&amp;C1103&amp;"|"&amp;G1103</f>
        <v>Гинап, Армения|План|4</v>
      </c>
      <c t="str" r="U1103" s="6">
        <f>IF(H1103="да",A1103&amp;"|"&amp;C1103&amp;"|"&amp;D1103&amp;"|"&amp;J1103,"")</f>
        <v/>
      </c>
      <c t="str" r="V1103" s="6">
        <f>IF(C1103="План",A1103&amp;"|"&amp;J1103,"")</f>
        <v>Гинап, Армения|1</v>
      </c>
    </row>
    <row r="1104">
      <c r="A1104" s="3" t="inlineStr">
        <is>
          <t>Гинап, Армения</t>
        </is>
      </c>
      <c r="B1104" s="3" t="inlineStr">
        <is>
          <t>Заруб</t>
        </is>
      </c>
      <c r="C1104" s="3" t="inlineStr">
        <is>
          <t>План</t>
        </is>
      </c>
      <c r="D1104" s="3" t="inlineStr">
        <is>
          <t>Расходные материалы</t>
        </is>
      </c>
      <c r="E1104" s="3" t="inlineStr">
        <is>
          <t>План и бонусы</t>
        </is>
      </c>
      <c r="F1104" s="3" t="inlineStr">
        <is>
          <t>Выручка 2025</t>
        </is>
      </c>
      <c r="G1104" s="4" t="n">
        <v>4</v>
      </c>
      <c r="H1104" s="4" t="n"/>
      <c r="I1104" s="3" t="n"/>
      <c r="J1104" s="4" t="n">
        <v>2</v>
      </c>
      <c r="K1104" s="4" t="n"/>
      <c r="L1104" s="4" t="n"/>
      <c r="M1104" s="5" t="n">
        <v>20325</v>
      </c>
      <c r="N1104" s="4" t="inlineStr">
        <is>
          <t>EUR</t>
        </is>
      </c>
      <c r="O1104" s="3" t="inlineStr">
        <is>
          <t>ГИНАП, Армения</t>
        </is>
      </c>
      <c r="P1104" s="3" t="inlineStr">
        <is>
          <t>E7</t>
        </is>
      </c>
      <c t="str" r="Q1104" s="6">
        <f>A1104&amp;"|"&amp;C1104&amp;"|"&amp;D1104&amp;"|"&amp;G1104</f>
        <v>Гинап, Армения|План|Расходные материалы|4</v>
      </c>
      <c t="str" r="R1104" s="6">
        <f>A1104&amp;"|"&amp;C1104&amp;"|"&amp;D1104&amp;"|"&amp;J1104</f>
        <v>Гинап, Армения|План|Расходные материалы|2</v>
      </c>
      <c t="str" r="S1104" s="6">
        <f>A1104&amp;"|"&amp;C1104&amp;"|"&amp;D1104&amp;"|"&amp;G1104&amp;"|"&amp;J1104</f>
        <v>Гинап, Армения|План|Расходные материалы|4|2</v>
      </c>
      <c t="str" r="T1104" s="6">
        <f>A1104&amp;"|"&amp;C1104&amp;"|"&amp;G1104</f>
        <v>Гинап, Армения|План|4</v>
      </c>
      <c t="str" r="U1104" s="6">
        <f>IF(H1104="да",A1104&amp;"|"&amp;C1104&amp;"|"&amp;D1104&amp;"|"&amp;J1104,"")</f>
        <v/>
      </c>
      <c t="str" r="V1104" s="6">
        <f>IF(C1104="План",A1104&amp;"|"&amp;J1104,"")</f>
        <v>Гинап, Армения|2</v>
      </c>
    </row>
    <row r="1105">
      <c r="A1105" s="3" t="inlineStr">
        <is>
          <t>Гинап, Армения</t>
        </is>
      </c>
      <c r="B1105" s="3" t="inlineStr">
        <is>
          <t>Заруб</t>
        </is>
      </c>
      <c r="C1105" s="3" t="inlineStr">
        <is>
          <t>План</t>
        </is>
      </c>
      <c r="D1105" s="3" t="inlineStr">
        <is>
          <t>Расходные материалы</t>
        </is>
      </c>
      <c r="E1105" s="3" t="inlineStr">
        <is>
          <t>План и бонусы</t>
        </is>
      </c>
      <c r="F1105" s="3" t="inlineStr">
        <is>
          <t>План 2026</t>
        </is>
      </c>
      <c r="G1105" s="4" t="n">
        <v>4</v>
      </c>
      <c r="H1105" s="4" t="n"/>
      <c r="I1105" s="3" t="n"/>
      <c r="J1105" s="4" t="n">
        <v>3</v>
      </c>
      <c r="K1105" s="4" t="n"/>
      <c r="L1105" s="4" t="n"/>
      <c r="M1105" s="5" t="n">
        <v>75000</v>
      </c>
      <c r="N1105" s="4" t="inlineStr">
        <is>
          <t>EUR</t>
        </is>
      </c>
      <c r="O1105" s="3" t="inlineStr">
        <is>
          <t>ГИНАП, Армения</t>
        </is>
      </c>
      <c r="P1105" s="3" t="inlineStr">
        <is>
          <t>F7</t>
        </is>
      </c>
      <c t="str" r="Q1105" s="6">
        <f>A1105&amp;"|"&amp;C1105&amp;"|"&amp;D1105&amp;"|"&amp;G1105</f>
        <v>Гинап, Армения|План|Расходные материалы|4</v>
      </c>
      <c t="str" r="R1105" s="6">
        <f>A1105&amp;"|"&amp;C1105&amp;"|"&amp;D1105&amp;"|"&amp;J1105</f>
        <v>Гинап, Армения|План|Расходные материалы|3</v>
      </c>
      <c t="str" r="S1105" s="6">
        <f>A1105&amp;"|"&amp;C1105&amp;"|"&amp;D1105&amp;"|"&amp;G1105&amp;"|"&amp;J1105</f>
        <v>Гинап, Армения|План|Расходные материалы|4|3</v>
      </c>
      <c t="str" r="T1105" s="6">
        <f>A1105&amp;"|"&amp;C1105&amp;"|"&amp;G1105</f>
        <v>Гинап, Армения|План|4</v>
      </c>
      <c t="str" r="U1105" s="6">
        <f>IF(H1105="да",A1105&amp;"|"&amp;C1105&amp;"|"&amp;D1105&amp;"|"&amp;J1105,"")</f>
        <v/>
      </c>
      <c t="str" r="V1105" s="6">
        <f>IF(C1105="План",A1105&amp;"|"&amp;J1105,"")</f>
        <v>Гинап, Армения|3</v>
      </c>
    </row>
    <row r="1106">
      <c r="A1106" s="3" t="inlineStr">
        <is>
          <t>Гинап, Армения</t>
        </is>
      </c>
      <c r="B1106" s="3" t="inlineStr">
        <is>
          <t>Заруб</t>
        </is>
      </c>
      <c r="C1106" s="3" t="inlineStr">
        <is>
          <t>План</t>
        </is>
      </c>
      <c r="D1106" s="3" t="inlineStr">
        <is>
          <t>Расходные материалы</t>
        </is>
      </c>
      <c r="E1106" s="3" t="inlineStr">
        <is>
          <t>План и бонусы</t>
        </is>
      </c>
      <c r="F1106" s="3" t="inlineStr">
        <is>
          <t>Размер бонуса по итогам 2026 г</t>
        </is>
      </c>
      <c r="G1106" s="4" t="n">
        <v>4</v>
      </c>
      <c r="H1106" s="4" t="n"/>
      <c r="I1106" s="3" t="n"/>
      <c r="J1106" s="4" t="n">
        <v>5</v>
      </c>
      <c r="K1106" s="4" t="n"/>
      <c r="L1106" s="4" t="n"/>
      <c r="M1106" s="7" t="n">
        <v>0.005</v>
      </c>
      <c r="N1106" s="4" t="inlineStr">
        <is>
          <t>%</t>
        </is>
      </c>
      <c r="O1106" s="3" t="inlineStr">
        <is>
          <t>ГИНАП, Армения</t>
        </is>
      </c>
      <c r="P1106" s="3" t="inlineStr">
        <is>
          <t>H7</t>
        </is>
      </c>
      <c t="str" r="Q1106" s="6">
        <f>A1106&amp;"|"&amp;C1106&amp;"|"&amp;D1106&amp;"|"&amp;G1106</f>
        <v>Гинап, Армения|План|Расходные материалы|4</v>
      </c>
      <c t="str" r="R1106" s="6">
        <f>A1106&amp;"|"&amp;C1106&amp;"|"&amp;D1106&amp;"|"&amp;J1106</f>
        <v>Гинап, Армения|План|Расходные материалы|5</v>
      </c>
      <c t="str" r="S1106" s="6">
        <f>A1106&amp;"|"&amp;C1106&amp;"|"&amp;D1106&amp;"|"&amp;G1106&amp;"|"&amp;J1106</f>
        <v>Гинап, Армения|План|Расходные материалы|4|5</v>
      </c>
      <c t="str" r="T1106" s="6">
        <f>A1106&amp;"|"&amp;C1106&amp;"|"&amp;G1106</f>
        <v>Гинап, Армения|План|4</v>
      </c>
      <c t="str" r="U1106" s="6">
        <f>IF(H1106="да",A1106&amp;"|"&amp;C1106&amp;"|"&amp;D1106&amp;"|"&amp;J1106,"")</f>
        <v/>
      </c>
      <c t="str" r="V1106" s="6">
        <f>IF(C1106="План",A1106&amp;"|"&amp;J1106,"")</f>
        <v>Гинап, Армения|5</v>
      </c>
    </row>
    <row r="1107">
      <c r="A1107" s="3" t="inlineStr">
        <is>
          <t>Гинап, Армения</t>
        </is>
      </c>
      <c r="B1107" s="3" t="inlineStr">
        <is>
          <t>Заруб</t>
        </is>
      </c>
      <c r="C1107" s="3" t="inlineStr">
        <is>
          <t>Шкала</t>
        </is>
      </c>
      <c r="D1107" s="3" t="inlineStr">
        <is>
          <t>Оборудование</t>
        </is>
      </c>
      <c r="E1107" s="3" t="inlineStr">
        <is>
          <t>Оборудование — за полугодие</t>
        </is>
      </c>
      <c r="F1107" s="3" t="inlineStr">
        <is>
          <t>Базовое вознаграждение за Дилерский договор</t>
        </is>
      </c>
      <c r="G1107" s="4" t="n">
        <v>1</v>
      </c>
      <c r="H1107" s="4" t="n"/>
      <c r="I1107" s="3" t="inlineStr">
        <is>
          <t>до 75</t>
        </is>
      </c>
      <c r="J1107" s="4" t="n">
        <v>1</v>
      </c>
      <c r="K1107" s="4" t="n"/>
      <c r="L1107" s="4" t="n"/>
      <c r="M1107" s="8" t="n">
        <v>0.06</v>
      </c>
      <c r="N1107" s="4" t="inlineStr">
        <is>
          <t>%</t>
        </is>
      </c>
      <c r="O1107" s="3" t="inlineStr">
        <is>
          <t>ГИНАП, Армения</t>
        </is>
      </c>
      <c r="P1107" s="3" t="inlineStr">
        <is>
          <t>E14</t>
        </is>
      </c>
      <c t="str" r="Q1107" s="6">
        <f>A1107&amp;"|"&amp;C1107&amp;"|"&amp;D1107&amp;"|"&amp;G1107</f>
        <v>Гинап, Армения|Шкала|Оборудование|1</v>
      </c>
      <c t="str" r="R1107" s="6">
        <f>A1107&amp;"|"&amp;C1107&amp;"|"&amp;D1107&amp;"|"&amp;J1107</f>
        <v>Гинап, Армения|Шкала|Оборудование|1</v>
      </c>
      <c t="str" r="S1107" s="6">
        <f>A1107&amp;"|"&amp;C1107&amp;"|"&amp;D1107&amp;"|"&amp;G1107&amp;"|"&amp;J1107</f>
        <v>Гинап, Армения|Шкала|Оборудование|1|1</v>
      </c>
      <c t="str" r="T1107" s="6">
        <f>A1107&amp;"|"&amp;C1107&amp;"|"&amp;G1107</f>
        <v>Гинап, Армения|Шкала|1</v>
      </c>
      <c t="str" r="U1107" s="6">
        <f>IF(H1107="да",A1107&amp;"|"&amp;C1107&amp;"|"&amp;D1107&amp;"|"&amp;J1107,"")</f>
        <v/>
      </c>
      <c t="str" r="V1107" s="6">
        <f>IF(C1107="План",A1107&amp;"|"&amp;J1107,"")</f>
        <v/>
      </c>
    </row>
    <row r="1108">
      <c r="A1108" s="3" t="inlineStr">
        <is>
          <t>Гинап, Армения</t>
        </is>
      </c>
      <c r="B1108" s="3" t="inlineStr">
        <is>
          <t>Заруб</t>
        </is>
      </c>
      <c r="C1108" s="3" t="inlineStr">
        <is>
          <t>Шкала</t>
        </is>
      </c>
      <c r="D1108" s="3" t="inlineStr">
        <is>
          <t>Оборудование</t>
        </is>
      </c>
      <c r="E1108" s="3" t="inlineStr">
        <is>
          <t>Оборудование — за полугодие</t>
        </is>
      </c>
      <c r="F1108" s="3" t="inlineStr">
        <is>
          <t>Базовое вознаграждение за Дилерский договор</t>
        </is>
      </c>
      <c r="G1108" s="4" t="n">
        <v>1</v>
      </c>
      <c r="H1108" s="4" t="n"/>
      <c r="I1108" s="3" t="inlineStr">
        <is>
          <t>75-114</t>
        </is>
      </c>
      <c r="J1108" s="4" t="n">
        <v>2</v>
      </c>
      <c r="K1108" s="4" t="n"/>
      <c r="L1108" s="4" t="n"/>
      <c r="M1108" s="8" t="n">
        <v>0.06</v>
      </c>
      <c r="N1108" s="4" t="inlineStr">
        <is>
          <t>%</t>
        </is>
      </c>
      <c r="O1108" s="3" t="inlineStr">
        <is>
          <t>ГИНАП, Армения</t>
        </is>
      </c>
      <c r="P1108" s="3" t="inlineStr">
        <is>
          <t>F14</t>
        </is>
      </c>
      <c t="str" r="Q1108" s="6">
        <f>A1108&amp;"|"&amp;C1108&amp;"|"&amp;D1108&amp;"|"&amp;G1108</f>
        <v>Гинап, Армения|Шкала|Оборудование|1</v>
      </c>
      <c t="str" r="R1108" s="6">
        <f>A1108&amp;"|"&amp;C1108&amp;"|"&amp;D1108&amp;"|"&amp;J1108</f>
        <v>Гинап, Армения|Шкала|Оборудование|2</v>
      </c>
      <c t="str" r="S1108" s="6">
        <f>A1108&amp;"|"&amp;C1108&amp;"|"&amp;D1108&amp;"|"&amp;G1108&amp;"|"&amp;J1108</f>
        <v>Гинап, Армения|Шкала|Оборудование|1|2</v>
      </c>
      <c t="str" r="T1108" s="6">
        <f>A1108&amp;"|"&amp;C1108&amp;"|"&amp;G1108</f>
        <v>Гинап, Армения|Шкала|1</v>
      </c>
      <c t="str" r="U1108" s="6">
        <f>IF(H1108="да",A1108&amp;"|"&amp;C1108&amp;"|"&amp;D1108&amp;"|"&amp;J1108,"")</f>
        <v/>
      </c>
      <c t="str" r="V1108" s="6">
        <f>IF(C1108="План",A1108&amp;"|"&amp;J1108,"")</f>
        <v/>
      </c>
    </row>
    <row r="1109">
      <c r="A1109" s="3" t="inlineStr">
        <is>
          <t>Гинап, Армения</t>
        </is>
      </c>
      <c r="B1109" s="3" t="inlineStr">
        <is>
          <t>Заруб</t>
        </is>
      </c>
      <c r="C1109" s="3" t="inlineStr">
        <is>
          <t>Шкала</t>
        </is>
      </c>
      <c r="D1109" s="3" t="inlineStr">
        <is>
          <t>Оборудование</t>
        </is>
      </c>
      <c r="E1109" s="3" t="inlineStr">
        <is>
          <t>Оборудование — за полугодие</t>
        </is>
      </c>
      <c r="F1109" s="3" t="inlineStr">
        <is>
          <t>Базовое вознаграждение за Дилерский договор</t>
        </is>
      </c>
      <c r="G1109" s="4" t="n">
        <v>1</v>
      </c>
      <c r="H1109" s="4" t="n"/>
      <c r="I1109" s="3" t="inlineStr">
        <is>
          <t>115-149</t>
        </is>
      </c>
      <c r="J1109" s="4" t="n">
        <v>3</v>
      </c>
      <c r="K1109" s="4" t="n"/>
      <c r="L1109" s="4" t="n"/>
      <c r="M1109" s="8" t="n">
        <v>0.06</v>
      </c>
      <c r="N1109" s="4" t="inlineStr">
        <is>
          <t>%</t>
        </is>
      </c>
      <c r="O1109" s="3" t="inlineStr">
        <is>
          <t>ГИНАП, Армения</t>
        </is>
      </c>
      <c r="P1109" s="3" t="inlineStr">
        <is>
          <t>G14</t>
        </is>
      </c>
      <c t="str" r="Q1109" s="6">
        <f>A1109&amp;"|"&amp;C1109&amp;"|"&amp;D1109&amp;"|"&amp;G1109</f>
        <v>Гинап, Армения|Шкала|Оборудование|1</v>
      </c>
      <c t="str" r="R1109" s="6">
        <f>A1109&amp;"|"&amp;C1109&amp;"|"&amp;D1109&amp;"|"&amp;J1109</f>
        <v>Гинап, Армения|Шкала|Оборудование|3</v>
      </c>
      <c t="str" r="S1109" s="6">
        <f>A1109&amp;"|"&amp;C1109&amp;"|"&amp;D1109&amp;"|"&amp;G1109&amp;"|"&amp;J1109</f>
        <v>Гинап, Армения|Шкала|Оборудование|1|3</v>
      </c>
      <c t="str" r="T1109" s="6">
        <f>A1109&amp;"|"&amp;C1109&amp;"|"&amp;G1109</f>
        <v>Гинап, Армения|Шкала|1</v>
      </c>
      <c t="str" r="U1109" s="6">
        <f>IF(H1109="да",A1109&amp;"|"&amp;C1109&amp;"|"&amp;D1109&amp;"|"&amp;J1109,"")</f>
        <v/>
      </c>
      <c t="str" r="V1109" s="6">
        <f>IF(C1109="План",A1109&amp;"|"&amp;J1109,"")</f>
        <v/>
      </c>
    </row>
    <row r="1110">
      <c r="A1110" s="3" t="inlineStr">
        <is>
          <t>Гинап, Армения</t>
        </is>
      </c>
      <c r="B1110" s="3" t="inlineStr">
        <is>
          <t>Заруб</t>
        </is>
      </c>
      <c r="C1110" s="3" t="inlineStr">
        <is>
          <t>Шкала</t>
        </is>
      </c>
      <c r="D1110" s="3" t="inlineStr">
        <is>
          <t>Оборудование</t>
        </is>
      </c>
      <c r="E1110" s="3" t="inlineStr">
        <is>
          <t>Оборудование — за полугодие</t>
        </is>
      </c>
      <c r="F1110" s="3" t="inlineStr">
        <is>
          <t>Базовое вознаграждение за Дилерский договор</t>
        </is>
      </c>
      <c r="G1110" s="4" t="n">
        <v>1</v>
      </c>
      <c r="H1110" s="4" t="n"/>
      <c r="I1110" s="3" t="inlineStr">
        <is>
          <t>150-189</t>
        </is>
      </c>
      <c r="J1110" s="4" t="n">
        <v>4</v>
      </c>
      <c r="K1110" s="4" t="n"/>
      <c r="L1110" s="4" t="n"/>
      <c r="M1110" s="8" t="n">
        <v>0.06</v>
      </c>
      <c r="N1110" s="4" t="inlineStr">
        <is>
          <t>%</t>
        </is>
      </c>
      <c r="O1110" s="3" t="inlineStr">
        <is>
          <t>ГИНАП, Армения</t>
        </is>
      </c>
      <c r="P1110" s="3" t="inlineStr">
        <is>
          <t>H14</t>
        </is>
      </c>
      <c t="str" r="Q1110" s="6">
        <f>A1110&amp;"|"&amp;C1110&amp;"|"&amp;D1110&amp;"|"&amp;G1110</f>
        <v>Гинап, Армения|Шкала|Оборудование|1</v>
      </c>
      <c t="str" r="R1110" s="6">
        <f>A1110&amp;"|"&amp;C1110&amp;"|"&amp;D1110&amp;"|"&amp;J1110</f>
        <v>Гинап, Армения|Шкала|Оборудование|4</v>
      </c>
      <c t="str" r="S1110" s="6">
        <f>A1110&amp;"|"&amp;C1110&amp;"|"&amp;D1110&amp;"|"&amp;G1110&amp;"|"&amp;J1110</f>
        <v>Гинап, Армения|Шкала|Оборудование|1|4</v>
      </c>
      <c t="str" r="T1110" s="6">
        <f>A1110&amp;"|"&amp;C1110&amp;"|"&amp;G1110</f>
        <v>Гинап, Армения|Шкала|1</v>
      </c>
      <c t="str" r="U1110" s="6">
        <f>IF(H1110="да",A1110&amp;"|"&amp;C1110&amp;"|"&amp;D1110&amp;"|"&amp;J1110,"")</f>
        <v/>
      </c>
      <c t="str" r="V1110" s="6">
        <f>IF(C1110="План",A1110&amp;"|"&amp;J1110,"")</f>
        <v/>
      </c>
    </row>
    <row r="1111">
      <c r="A1111" s="3" t="inlineStr">
        <is>
          <t>Гинап, Армения</t>
        </is>
      </c>
      <c r="B1111" s="3" t="inlineStr">
        <is>
          <t>Заруб</t>
        </is>
      </c>
      <c r="C1111" s="3" t="inlineStr">
        <is>
          <t>Шкала</t>
        </is>
      </c>
      <c r="D1111" s="3" t="inlineStr">
        <is>
          <t>Оборудование</t>
        </is>
      </c>
      <c r="E1111" s="3" t="inlineStr">
        <is>
          <t>Оборудование — за полугодие</t>
        </is>
      </c>
      <c r="F1111" s="3" t="inlineStr">
        <is>
          <t>Базовое вознаграждение за Дилерский договор</t>
        </is>
      </c>
      <c r="G1111" s="4" t="n">
        <v>1</v>
      </c>
      <c r="H1111" s="4" t="n"/>
      <c r="I1111" s="3" t="inlineStr">
        <is>
          <t>190-224</t>
        </is>
      </c>
      <c r="J1111" s="4" t="n">
        <v>5</v>
      </c>
      <c r="K1111" s="4" t="n"/>
      <c r="L1111" s="4" t="n"/>
      <c r="M1111" s="8" t="n">
        <v>0.06</v>
      </c>
      <c r="N1111" s="4" t="inlineStr">
        <is>
          <t>%</t>
        </is>
      </c>
      <c r="O1111" s="3" t="inlineStr">
        <is>
          <t>ГИНАП, Армения</t>
        </is>
      </c>
      <c r="P1111" s="3" t="inlineStr">
        <is>
          <t>I14</t>
        </is>
      </c>
      <c t="str" r="Q1111" s="6">
        <f>A1111&amp;"|"&amp;C1111&amp;"|"&amp;D1111&amp;"|"&amp;G1111</f>
        <v>Гинап, Армения|Шкала|Оборудование|1</v>
      </c>
      <c t="str" r="R1111" s="6">
        <f>A1111&amp;"|"&amp;C1111&amp;"|"&amp;D1111&amp;"|"&amp;J1111</f>
        <v>Гинап, Армения|Шкала|Оборудование|5</v>
      </c>
      <c t="str" r="S1111" s="6">
        <f>A1111&amp;"|"&amp;C1111&amp;"|"&amp;D1111&amp;"|"&amp;G1111&amp;"|"&amp;J1111</f>
        <v>Гинап, Армения|Шкала|Оборудование|1|5</v>
      </c>
      <c t="str" r="T1111" s="6">
        <f>A1111&amp;"|"&amp;C1111&amp;"|"&amp;G1111</f>
        <v>Гинап, Армения|Шкала|1</v>
      </c>
      <c t="str" r="U1111" s="6">
        <f>IF(H1111="да",A1111&amp;"|"&amp;C1111&amp;"|"&amp;D1111&amp;"|"&amp;J1111,"")</f>
        <v/>
      </c>
      <c t="str" r="V1111" s="6">
        <f>IF(C1111="План",A1111&amp;"|"&amp;J1111,"")</f>
        <v/>
      </c>
    </row>
    <row r="1112">
      <c r="A1112" s="3" t="inlineStr">
        <is>
          <t>Гинап, Армения</t>
        </is>
      </c>
      <c r="B1112" s="3" t="inlineStr">
        <is>
          <t>Заруб</t>
        </is>
      </c>
      <c r="C1112" s="3" t="inlineStr">
        <is>
          <t>Шкала</t>
        </is>
      </c>
      <c r="D1112" s="3" t="inlineStr">
        <is>
          <t>Оборудование</t>
        </is>
      </c>
      <c r="E1112" s="3" t="inlineStr">
        <is>
          <t>Оборудование — за полугодие</t>
        </is>
      </c>
      <c r="F1112" s="3" t="inlineStr">
        <is>
          <t>Базовое вознаграждение за Дилерский договор</t>
        </is>
      </c>
      <c r="G1112" s="4" t="n">
        <v>1</v>
      </c>
      <c r="H1112" s="4" t="n"/>
      <c r="I1112" s="3" t="inlineStr">
        <is>
          <t>225 и более</t>
        </is>
      </c>
      <c r="J1112" s="4" t="n">
        <v>6</v>
      </c>
      <c r="K1112" s="4" t="n"/>
      <c r="L1112" s="4" t="n"/>
      <c r="M1112" s="8" t="n">
        <v>0.06</v>
      </c>
      <c r="N1112" s="4" t="inlineStr">
        <is>
          <t>%</t>
        </is>
      </c>
      <c r="O1112" s="3" t="inlineStr">
        <is>
          <t>ГИНАП, Армения</t>
        </is>
      </c>
      <c r="P1112" s="3" t="inlineStr">
        <is>
          <t>J14</t>
        </is>
      </c>
      <c t="str" r="Q1112" s="6">
        <f>A1112&amp;"|"&amp;C1112&amp;"|"&amp;D1112&amp;"|"&amp;G1112</f>
        <v>Гинап, Армения|Шкала|Оборудование|1</v>
      </c>
      <c t="str" r="R1112" s="6">
        <f>A1112&amp;"|"&amp;C1112&amp;"|"&amp;D1112&amp;"|"&amp;J1112</f>
        <v>Гинап, Армения|Шкала|Оборудование|6</v>
      </c>
      <c t="str" r="S1112" s="6">
        <f>A1112&amp;"|"&amp;C1112&amp;"|"&amp;D1112&amp;"|"&amp;G1112&amp;"|"&amp;J1112</f>
        <v>Гинап, Армения|Шкала|Оборудование|1|6</v>
      </c>
      <c t="str" r="T1112" s="6">
        <f>A1112&amp;"|"&amp;C1112&amp;"|"&amp;G1112</f>
        <v>Гинап, Армения|Шкала|1</v>
      </c>
      <c t="str" r="U1112" s="6">
        <f>IF(H1112="да",A1112&amp;"|"&amp;C1112&amp;"|"&amp;D1112&amp;"|"&amp;J1112,"")</f>
        <v/>
      </c>
      <c t="str" r="V1112" s="6">
        <f>IF(C1112="План",A1112&amp;"|"&amp;J1112,"")</f>
        <v/>
      </c>
    </row>
    <row r="1113">
      <c r="A1113" s="3" t="inlineStr">
        <is>
          <t>Гинап, Армения</t>
        </is>
      </c>
      <c r="B1113" s="3" t="inlineStr">
        <is>
          <t>Заруб</t>
        </is>
      </c>
      <c r="C1113" s="3" t="inlineStr">
        <is>
          <t>Шкала</t>
        </is>
      </c>
      <c r="D1113" s="3" t="inlineStr">
        <is>
          <t>Оборудование</t>
        </is>
      </c>
      <c r="E1113" s="3" t="inlineStr">
        <is>
          <t>Оборудование — за полугодие</t>
        </is>
      </c>
      <c r="F1113" s="3" t="inlineStr">
        <is>
          <t>Наличие сервисного центра и гарантийное обслуживание</t>
        </is>
      </c>
      <c r="G1113" s="4" t="n">
        <v>2</v>
      </c>
      <c r="H1113" s="4" t="n"/>
      <c r="I1113" s="3" t="inlineStr">
        <is>
          <t>до 75</t>
        </is>
      </c>
      <c r="J1113" s="4" t="n">
        <v>1</v>
      </c>
      <c r="K1113" s="4" t="n"/>
      <c r="L1113" s="4" t="n"/>
      <c r="M1113" s="8" t="n">
        <v>0.01</v>
      </c>
      <c r="N1113" s="4" t="inlineStr">
        <is>
          <t>%</t>
        </is>
      </c>
      <c r="O1113" s="3" t="inlineStr">
        <is>
          <t>ГИНАП, Армения</t>
        </is>
      </c>
      <c r="P1113" s="3" t="inlineStr">
        <is>
          <t>E15</t>
        </is>
      </c>
      <c t="str" r="Q1113" s="6">
        <f>A1113&amp;"|"&amp;C1113&amp;"|"&amp;D1113&amp;"|"&amp;G1113</f>
        <v>Гинап, Армения|Шкала|Оборудование|2</v>
      </c>
      <c t="str" r="R1113" s="6">
        <f>A1113&amp;"|"&amp;C1113&amp;"|"&amp;D1113&amp;"|"&amp;J1113</f>
        <v>Гинап, Армения|Шкала|Оборудование|1</v>
      </c>
      <c t="str" r="S1113" s="6">
        <f>A1113&amp;"|"&amp;C1113&amp;"|"&amp;D1113&amp;"|"&amp;G1113&amp;"|"&amp;J1113</f>
        <v>Гинап, Армения|Шкала|Оборудование|2|1</v>
      </c>
      <c t="str" r="T1113" s="6">
        <f>A1113&amp;"|"&amp;C1113&amp;"|"&amp;G1113</f>
        <v>Гинап, Армения|Шкала|2</v>
      </c>
      <c t="str" r="U1113" s="6">
        <f>IF(H1113="да",A1113&amp;"|"&amp;C1113&amp;"|"&amp;D1113&amp;"|"&amp;J1113,"")</f>
        <v/>
      </c>
      <c t="str" r="V1113" s="6">
        <f>IF(C1113="План",A1113&amp;"|"&amp;J1113,"")</f>
        <v/>
      </c>
    </row>
    <row r="1114">
      <c r="A1114" s="3" t="inlineStr">
        <is>
          <t>Гинап, Армения</t>
        </is>
      </c>
      <c r="B1114" s="3" t="inlineStr">
        <is>
          <t>Заруб</t>
        </is>
      </c>
      <c r="C1114" s="3" t="inlineStr">
        <is>
          <t>Шкала</t>
        </is>
      </c>
      <c r="D1114" s="3" t="inlineStr">
        <is>
          <t>Оборудование</t>
        </is>
      </c>
      <c r="E1114" s="3" t="inlineStr">
        <is>
          <t>Оборудование — за полугодие</t>
        </is>
      </c>
      <c r="F1114" s="3" t="inlineStr">
        <is>
          <t>Наличие сервисного центра и гарантийное обслуживание</t>
        </is>
      </c>
      <c r="G1114" s="4" t="n">
        <v>2</v>
      </c>
      <c r="H1114" s="4" t="n"/>
      <c r="I1114" s="3" t="inlineStr">
        <is>
          <t>75-114</t>
        </is>
      </c>
      <c r="J1114" s="4" t="n">
        <v>2</v>
      </c>
      <c r="K1114" s="4" t="n"/>
      <c r="L1114" s="4" t="n"/>
      <c r="M1114" s="8" t="n">
        <v>0.01</v>
      </c>
      <c r="N1114" s="4" t="inlineStr">
        <is>
          <t>%</t>
        </is>
      </c>
      <c r="O1114" s="3" t="inlineStr">
        <is>
          <t>ГИНАП, Армения</t>
        </is>
      </c>
      <c r="P1114" s="3" t="inlineStr">
        <is>
          <t>F15</t>
        </is>
      </c>
      <c t="str" r="Q1114" s="6">
        <f>A1114&amp;"|"&amp;C1114&amp;"|"&amp;D1114&amp;"|"&amp;G1114</f>
        <v>Гинап, Армения|Шкала|Оборудование|2</v>
      </c>
      <c t="str" r="R1114" s="6">
        <f>A1114&amp;"|"&amp;C1114&amp;"|"&amp;D1114&amp;"|"&amp;J1114</f>
        <v>Гинап, Армения|Шкала|Оборудование|2</v>
      </c>
      <c t="str" r="S1114" s="6">
        <f>A1114&amp;"|"&amp;C1114&amp;"|"&amp;D1114&amp;"|"&amp;G1114&amp;"|"&amp;J1114</f>
        <v>Гинап, Армения|Шкала|Оборудование|2|2</v>
      </c>
      <c t="str" r="T1114" s="6">
        <f>A1114&amp;"|"&amp;C1114&amp;"|"&amp;G1114</f>
        <v>Гинап, Армения|Шкала|2</v>
      </c>
      <c t="str" r="U1114" s="6">
        <f>IF(H1114="да",A1114&amp;"|"&amp;C1114&amp;"|"&amp;D1114&amp;"|"&amp;J1114,"")</f>
        <v/>
      </c>
      <c t="str" r="V1114" s="6">
        <f>IF(C1114="План",A1114&amp;"|"&amp;J1114,"")</f>
        <v/>
      </c>
    </row>
    <row r="1115">
      <c r="A1115" s="3" t="inlineStr">
        <is>
          <t>Гинап, Армения</t>
        </is>
      </c>
      <c r="B1115" s="3" t="inlineStr">
        <is>
          <t>Заруб</t>
        </is>
      </c>
      <c r="C1115" s="3" t="inlineStr">
        <is>
          <t>Шкала</t>
        </is>
      </c>
      <c r="D1115" s="3" t="inlineStr">
        <is>
          <t>Оборудование</t>
        </is>
      </c>
      <c r="E1115" s="3" t="inlineStr">
        <is>
          <t>Оборудование — за полугодие</t>
        </is>
      </c>
      <c r="F1115" s="3" t="inlineStr">
        <is>
          <t>Наличие сервисного центра и гарантийное обслуживание</t>
        </is>
      </c>
      <c r="G1115" s="4" t="n">
        <v>2</v>
      </c>
      <c r="H1115" s="4" t="n"/>
      <c r="I1115" s="3" t="inlineStr">
        <is>
          <t>115-149</t>
        </is>
      </c>
      <c r="J1115" s="4" t="n">
        <v>3</v>
      </c>
      <c r="K1115" s="4" t="n"/>
      <c r="L1115" s="4" t="n"/>
      <c r="M1115" s="8" t="n">
        <v>0.01</v>
      </c>
      <c r="N1115" s="4" t="inlineStr">
        <is>
          <t>%</t>
        </is>
      </c>
      <c r="O1115" s="3" t="inlineStr">
        <is>
          <t>ГИНАП, Армения</t>
        </is>
      </c>
      <c r="P1115" s="3" t="inlineStr">
        <is>
          <t>G15</t>
        </is>
      </c>
      <c t="str" r="Q1115" s="6">
        <f>A1115&amp;"|"&amp;C1115&amp;"|"&amp;D1115&amp;"|"&amp;G1115</f>
        <v>Гинап, Армения|Шкала|Оборудование|2</v>
      </c>
      <c t="str" r="R1115" s="6">
        <f>A1115&amp;"|"&amp;C1115&amp;"|"&amp;D1115&amp;"|"&amp;J1115</f>
        <v>Гинап, Армения|Шкала|Оборудование|3</v>
      </c>
      <c t="str" r="S1115" s="6">
        <f>A1115&amp;"|"&amp;C1115&amp;"|"&amp;D1115&amp;"|"&amp;G1115&amp;"|"&amp;J1115</f>
        <v>Гинап, Армения|Шкала|Оборудование|2|3</v>
      </c>
      <c t="str" r="T1115" s="6">
        <f>A1115&amp;"|"&amp;C1115&amp;"|"&amp;G1115</f>
        <v>Гинап, Армения|Шкала|2</v>
      </c>
      <c t="str" r="U1115" s="6">
        <f>IF(H1115="да",A1115&amp;"|"&amp;C1115&amp;"|"&amp;D1115&amp;"|"&amp;J1115,"")</f>
        <v/>
      </c>
      <c t="str" r="V1115" s="6">
        <f>IF(C1115="План",A1115&amp;"|"&amp;J1115,"")</f>
        <v/>
      </c>
    </row>
    <row r="1116">
      <c r="A1116" s="3" t="inlineStr">
        <is>
          <t>Гинап, Армения</t>
        </is>
      </c>
      <c r="B1116" s="3" t="inlineStr">
        <is>
          <t>Заруб</t>
        </is>
      </c>
      <c r="C1116" s="3" t="inlineStr">
        <is>
          <t>Шкала</t>
        </is>
      </c>
      <c r="D1116" s="3" t="inlineStr">
        <is>
          <t>Оборудование</t>
        </is>
      </c>
      <c r="E1116" s="3" t="inlineStr">
        <is>
          <t>Оборудование — за полугодие</t>
        </is>
      </c>
      <c r="F1116" s="3" t="inlineStr">
        <is>
          <t>Наличие сервисного центра и гарантийное обслуживание</t>
        </is>
      </c>
      <c r="G1116" s="4" t="n">
        <v>2</v>
      </c>
      <c r="H1116" s="4" t="n"/>
      <c r="I1116" s="3" t="inlineStr">
        <is>
          <t>150-189</t>
        </is>
      </c>
      <c r="J1116" s="4" t="n">
        <v>4</v>
      </c>
      <c r="K1116" s="4" t="n"/>
      <c r="L1116" s="4" t="n"/>
      <c r="M1116" s="8" t="n">
        <v>0.01</v>
      </c>
      <c r="N1116" s="4" t="inlineStr">
        <is>
          <t>%</t>
        </is>
      </c>
      <c r="O1116" s="3" t="inlineStr">
        <is>
          <t>ГИНАП, Армения</t>
        </is>
      </c>
      <c r="P1116" s="3" t="inlineStr">
        <is>
          <t>H15</t>
        </is>
      </c>
      <c t="str" r="Q1116" s="6">
        <f>A1116&amp;"|"&amp;C1116&amp;"|"&amp;D1116&amp;"|"&amp;G1116</f>
        <v>Гинап, Армения|Шкала|Оборудование|2</v>
      </c>
      <c t="str" r="R1116" s="6">
        <f>A1116&amp;"|"&amp;C1116&amp;"|"&amp;D1116&amp;"|"&amp;J1116</f>
        <v>Гинап, Армения|Шкала|Оборудование|4</v>
      </c>
      <c t="str" r="S1116" s="6">
        <f>A1116&amp;"|"&amp;C1116&amp;"|"&amp;D1116&amp;"|"&amp;G1116&amp;"|"&amp;J1116</f>
        <v>Гинап, Армения|Шкала|Оборудование|2|4</v>
      </c>
      <c t="str" r="T1116" s="6">
        <f>A1116&amp;"|"&amp;C1116&amp;"|"&amp;G1116</f>
        <v>Гинап, Армения|Шкала|2</v>
      </c>
      <c t="str" r="U1116" s="6">
        <f>IF(H1116="да",A1116&amp;"|"&amp;C1116&amp;"|"&amp;D1116&amp;"|"&amp;J1116,"")</f>
        <v/>
      </c>
      <c t="str" r="V1116" s="6">
        <f>IF(C1116="План",A1116&amp;"|"&amp;J1116,"")</f>
        <v/>
      </c>
    </row>
    <row r="1117">
      <c r="A1117" s="3" t="inlineStr">
        <is>
          <t>Гинап, Армения</t>
        </is>
      </c>
      <c r="B1117" s="3" t="inlineStr">
        <is>
          <t>Заруб</t>
        </is>
      </c>
      <c r="C1117" s="3" t="inlineStr">
        <is>
          <t>Шкала</t>
        </is>
      </c>
      <c r="D1117" s="3" t="inlineStr">
        <is>
          <t>Оборудование</t>
        </is>
      </c>
      <c r="E1117" s="3" t="inlineStr">
        <is>
          <t>Оборудование — за полугодие</t>
        </is>
      </c>
      <c r="F1117" s="3" t="inlineStr">
        <is>
          <t>Наличие сервисного центра и гарантийное обслуживание</t>
        </is>
      </c>
      <c r="G1117" s="4" t="n">
        <v>2</v>
      </c>
      <c r="H1117" s="4" t="n"/>
      <c r="I1117" s="3" t="inlineStr">
        <is>
          <t>190-224</t>
        </is>
      </c>
      <c r="J1117" s="4" t="n">
        <v>5</v>
      </c>
      <c r="K1117" s="4" t="n"/>
      <c r="L1117" s="4" t="n"/>
      <c r="M1117" s="8" t="n">
        <v>0.01</v>
      </c>
      <c r="N1117" s="4" t="inlineStr">
        <is>
          <t>%</t>
        </is>
      </c>
      <c r="O1117" s="3" t="inlineStr">
        <is>
          <t>ГИНАП, Армения</t>
        </is>
      </c>
      <c r="P1117" s="3" t="inlineStr">
        <is>
          <t>I15</t>
        </is>
      </c>
      <c t="str" r="Q1117" s="6">
        <f>A1117&amp;"|"&amp;C1117&amp;"|"&amp;D1117&amp;"|"&amp;G1117</f>
        <v>Гинап, Армения|Шкала|Оборудование|2</v>
      </c>
      <c t="str" r="R1117" s="6">
        <f>A1117&amp;"|"&amp;C1117&amp;"|"&amp;D1117&amp;"|"&amp;J1117</f>
        <v>Гинап, Армения|Шкала|Оборудование|5</v>
      </c>
      <c t="str" r="S1117" s="6">
        <f>A1117&amp;"|"&amp;C1117&amp;"|"&amp;D1117&amp;"|"&amp;G1117&amp;"|"&amp;J1117</f>
        <v>Гинап, Армения|Шкала|Оборудование|2|5</v>
      </c>
      <c t="str" r="T1117" s="6">
        <f>A1117&amp;"|"&amp;C1117&amp;"|"&amp;G1117</f>
        <v>Гинап, Армения|Шкала|2</v>
      </c>
      <c t="str" r="U1117" s="6">
        <f>IF(H1117="да",A1117&amp;"|"&amp;C1117&amp;"|"&amp;D1117&amp;"|"&amp;J1117,"")</f>
        <v/>
      </c>
      <c t="str" r="V1117" s="6">
        <f>IF(C1117="План",A1117&amp;"|"&amp;J1117,"")</f>
        <v/>
      </c>
    </row>
    <row r="1118">
      <c r="A1118" s="3" t="inlineStr">
        <is>
          <t>Гинап, Армения</t>
        </is>
      </c>
      <c r="B1118" s="3" t="inlineStr">
        <is>
          <t>Заруб</t>
        </is>
      </c>
      <c r="C1118" s="3" t="inlineStr">
        <is>
          <t>Шкала</t>
        </is>
      </c>
      <c r="D1118" s="3" t="inlineStr">
        <is>
          <t>Оборудование</t>
        </is>
      </c>
      <c r="E1118" s="3" t="inlineStr">
        <is>
          <t>Оборудование — за полугодие</t>
        </is>
      </c>
      <c r="F1118" s="3" t="inlineStr">
        <is>
          <t>Наличие сервисного центра и гарантийное обслуживание</t>
        </is>
      </c>
      <c r="G1118" s="4" t="n">
        <v>2</v>
      </c>
      <c r="H1118" s="4" t="n"/>
      <c r="I1118" s="3" t="inlineStr">
        <is>
          <t>225 и более</t>
        </is>
      </c>
      <c r="J1118" s="4" t="n">
        <v>6</v>
      </c>
      <c r="K1118" s="4" t="n"/>
      <c r="L1118" s="4" t="n"/>
      <c r="M1118" s="8" t="n">
        <v>0.01</v>
      </c>
      <c r="N1118" s="4" t="inlineStr">
        <is>
          <t>%</t>
        </is>
      </c>
      <c r="O1118" s="3" t="inlineStr">
        <is>
          <t>ГИНАП, Армения</t>
        </is>
      </c>
      <c r="P1118" s="3" t="inlineStr">
        <is>
          <t>J15</t>
        </is>
      </c>
      <c t="str" r="Q1118" s="6">
        <f>A1118&amp;"|"&amp;C1118&amp;"|"&amp;D1118&amp;"|"&amp;G1118</f>
        <v>Гинап, Армения|Шкала|Оборудование|2</v>
      </c>
      <c t="str" r="R1118" s="6">
        <f>A1118&amp;"|"&amp;C1118&amp;"|"&amp;D1118&amp;"|"&amp;J1118</f>
        <v>Гинап, Армения|Шкала|Оборудование|6</v>
      </c>
      <c t="str" r="S1118" s="6">
        <f>A1118&amp;"|"&amp;C1118&amp;"|"&amp;D1118&amp;"|"&amp;G1118&amp;"|"&amp;J1118</f>
        <v>Гинап, Армения|Шкала|Оборудование|2|6</v>
      </c>
      <c t="str" r="T1118" s="6">
        <f>A1118&amp;"|"&amp;C1118&amp;"|"&amp;G1118</f>
        <v>Гинап, Армения|Шкала|2</v>
      </c>
      <c t="str" r="U1118" s="6">
        <f>IF(H1118="да",A1118&amp;"|"&amp;C1118&amp;"|"&amp;D1118&amp;"|"&amp;J1118,"")</f>
        <v/>
      </c>
      <c t="str" r="V1118" s="6">
        <f>IF(C1118="План",A1118&amp;"|"&amp;J1118,"")</f>
        <v/>
      </c>
    </row>
    <row r="1119">
      <c r="A1119" s="3" t="inlineStr">
        <is>
          <t>Гинап, Армения</t>
        </is>
      </c>
      <c r="B1119" s="3" t="inlineStr">
        <is>
          <t>Заруб</t>
        </is>
      </c>
      <c r="C1119" s="3" t="inlineStr">
        <is>
          <t>Шкала</t>
        </is>
      </c>
      <c r="D1119" s="3" t="inlineStr">
        <is>
          <t>Оборудование</t>
        </is>
      </c>
      <c r="E1119" s="3" t="inlineStr">
        <is>
          <t>Оборудование — за полугодие</t>
        </is>
      </c>
      <c r="F1119" s="3" t="inlineStr">
        <is>
          <t>Объем закупок МП</t>
        </is>
      </c>
      <c r="G1119" s="4" t="n">
        <v>3</v>
      </c>
      <c r="H1119" s="4" t="n"/>
      <c r="I1119" s="3" t="inlineStr">
        <is>
          <t>до 75</t>
        </is>
      </c>
      <c r="J1119" s="4" t="n">
        <v>1</v>
      </c>
      <c r="K1119" s="4" t="n"/>
      <c r="L1119" s="4" t="n"/>
      <c r="M1119" s="8" t="n">
        <v>0.07000000000000001</v>
      </c>
      <c r="N1119" s="4" t="inlineStr">
        <is>
          <t>%</t>
        </is>
      </c>
      <c r="O1119" s="3" t="inlineStr">
        <is>
          <t>ГИНАП, Армения</t>
        </is>
      </c>
      <c r="P1119" s="3" t="inlineStr">
        <is>
          <t>E16</t>
        </is>
      </c>
      <c t="str" r="Q1119" s="6">
        <f>A1119&amp;"|"&amp;C1119&amp;"|"&amp;D1119&amp;"|"&amp;G1119</f>
        <v>Гинап, Армения|Шкала|Оборудование|3</v>
      </c>
      <c t="str" r="R1119" s="6">
        <f>A1119&amp;"|"&amp;C1119&amp;"|"&amp;D1119&amp;"|"&amp;J1119</f>
        <v>Гинап, Армения|Шкала|Оборудование|1</v>
      </c>
      <c t="str" r="S1119" s="6">
        <f>A1119&amp;"|"&amp;C1119&amp;"|"&amp;D1119&amp;"|"&amp;G1119&amp;"|"&amp;J1119</f>
        <v>Гинап, Армения|Шкала|Оборудование|3|1</v>
      </c>
      <c t="str" r="T1119" s="6">
        <f>A1119&amp;"|"&amp;C1119&amp;"|"&amp;G1119</f>
        <v>Гинап, Армения|Шкала|3</v>
      </c>
      <c t="str" r="U1119" s="6">
        <f>IF(H1119="да",A1119&amp;"|"&amp;C1119&amp;"|"&amp;D1119&amp;"|"&amp;J1119,"")</f>
        <v/>
      </c>
      <c t="str" r="V1119" s="6">
        <f>IF(C1119="План",A1119&amp;"|"&amp;J1119,"")</f>
        <v/>
      </c>
    </row>
    <row r="1120">
      <c r="A1120" s="3" t="inlineStr">
        <is>
          <t>Гинап, Армения</t>
        </is>
      </c>
      <c r="B1120" s="3" t="inlineStr">
        <is>
          <t>Заруб</t>
        </is>
      </c>
      <c r="C1120" s="3" t="inlineStr">
        <is>
          <t>Шкала</t>
        </is>
      </c>
      <c r="D1120" s="3" t="inlineStr">
        <is>
          <t>Оборудование</t>
        </is>
      </c>
      <c r="E1120" s="3" t="inlineStr">
        <is>
          <t>Оборудование — за полугодие</t>
        </is>
      </c>
      <c r="F1120" s="3" t="inlineStr">
        <is>
          <t>Объем закупок МП</t>
        </is>
      </c>
      <c r="G1120" s="4" t="n">
        <v>3</v>
      </c>
      <c r="H1120" s="4" t="n"/>
      <c r="I1120" s="3" t="inlineStr">
        <is>
          <t>75-114</t>
        </is>
      </c>
      <c r="J1120" s="4" t="n">
        <v>2</v>
      </c>
      <c r="K1120" s="4" t="n"/>
      <c r="L1120" s="4" t="n"/>
      <c r="M1120" s="8" t="n">
        <v>0.09</v>
      </c>
      <c r="N1120" s="4" t="inlineStr">
        <is>
          <t>%</t>
        </is>
      </c>
      <c r="O1120" s="3" t="inlineStr">
        <is>
          <t>ГИНАП, Армения</t>
        </is>
      </c>
      <c r="P1120" s="3" t="inlineStr">
        <is>
          <t>F16</t>
        </is>
      </c>
      <c t="str" r="Q1120" s="6">
        <f>A1120&amp;"|"&amp;C1120&amp;"|"&amp;D1120&amp;"|"&amp;G1120</f>
        <v>Гинап, Армения|Шкала|Оборудование|3</v>
      </c>
      <c t="str" r="R1120" s="6">
        <f>A1120&amp;"|"&amp;C1120&amp;"|"&amp;D1120&amp;"|"&amp;J1120</f>
        <v>Гинап, Армения|Шкала|Оборудование|2</v>
      </c>
      <c t="str" r="S1120" s="6">
        <f>A1120&amp;"|"&amp;C1120&amp;"|"&amp;D1120&amp;"|"&amp;G1120&amp;"|"&amp;J1120</f>
        <v>Гинап, Армения|Шкала|Оборудование|3|2</v>
      </c>
      <c t="str" r="T1120" s="6">
        <f>A1120&amp;"|"&amp;C1120&amp;"|"&amp;G1120</f>
        <v>Гинап, Армения|Шкала|3</v>
      </c>
      <c t="str" r="U1120" s="6">
        <f>IF(H1120="да",A1120&amp;"|"&amp;C1120&amp;"|"&amp;D1120&amp;"|"&amp;J1120,"")</f>
        <v/>
      </c>
      <c t="str" r="V1120" s="6">
        <f>IF(C1120="План",A1120&amp;"|"&amp;J1120,"")</f>
        <v/>
      </c>
    </row>
    <row r="1121">
      <c r="A1121" s="3" t="inlineStr">
        <is>
          <t>Гинап, Армения</t>
        </is>
      </c>
      <c r="B1121" s="3" t="inlineStr">
        <is>
          <t>Заруб</t>
        </is>
      </c>
      <c r="C1121" s="3" t="inlineStr">
        <is>
          <t>Шкала</t>
        </is>
      </c>
      <c r="D1121" s="3" t="inlineStr">
        <is>
          <t>Оборудование</t>
        </is>
      </c>
      <c r="E1121" s="3" t="inlineStr">
        <is>
          <t>Оборудование — за полугодие</t>
        </is>
      </c>
      <c r="F1121" s="3" t="inlineStr">
        <is>
          <t>Объем закупок МП</t>
        </is>
      </c>
      <c r="G1121" s="4" t="n">
        <v>3</v>
      </c>
      <c r="H1121" s="4" t="n"/>
      <c r="I1121" s="3" t="inlineStr">
        <is>
          <t>115-149</t>
        </is>
      </c>
      <c r="J1121" s="4" t="n">
        <v>3</v>
      </c>
      <c r="K1121" s="4" t="n"/>
      <c r="L1121" s="4" t="n"/>
      <c r="M1121" s="8" t="n">
        <v>0.1</v>
      </c>
      <c r="N1121" s="4" t="inlineStr">
        <is>
          <t>%</t>
        </is>
      </c>
      <c r="O1121" s="3" t="inlineStr">
        <is>
          <t>ГИНАП, Армения</t>
        </is>
      </c>
      <c r="P1121" s="3" t="inlineStr">
        <is>
          <t>G16</t>
        </is>
      </c>
      <c t="str" r="Q1121" s="6">
        <f>A1121&amp;"|"&amp;C1121&amp;"|"&amp;D1121&amp;"|"&amp;G1121</f>
        <v>Гинап, Армения|Шкала|Оборудование|3</v>
      </c>
      <c t="str" r="R1121" s="6">
        <f>A1121&amp;"|"&amp;C1121&amp;"|"&amp;D1121&amp;"|"&amp;J1121</f>
        <v>Гинап, Армения|Шкала|Оборудование|3</v>
      </c>
      <c t="str" r="S1121" s="6">
        <f>A1121&amp;"|"&amp;C1121&amp;"|"&amp;D1121&amp;"|"&amp;G1121&amp;"|"&amp;J1121</f>
        <v>Гинап, Армения|Шкала|Оборудование|3|3</v>
      </c>
      <c t="str" r="T1121" s="6">
        <f>A1121&amp;"|"&amp;C1121&amp;"|"&amp;G1121</f>
        <v>Гинап, Армения|Шкала|3</v>
      </c>
      <c t="str" r="U1121" s="6">
        <f>IF(H1121="да",A1121&amp;"|"&amp;C1121&amp;"|"&amp;D1121&amp;"|"&amp;J1121,"")</f>
        <v/>
      </c>
      <c t="str" r="V1121" s="6">
        <f>IF(C1121="План",A1121&amp;"|"&amp;J1121,"")</f>
        <v/>
      </c>
    </row>
    <row r="1122">
      <c r="A1122" s="3" t="inlineStr">
        <is>
          <t>Гинап, Армения</t>
        </is>
      </c>
      <c r="B1122" s="3" t="inlineStr">
        <is>
          <t>Заруб</t>
        </is>
      </c>
      <c r="C1122" s="3" t="inlineStr">
        <is>
          <t>Шкала</t>
        </is>
      </c>
      <c r="D1122" s="3" t="inlineStr">
        <is>
          <t>Оборудование</t>
        </is>
      </c>
      <c r="E1122" s="3" t="inlineStr">
        <is>
          <t>Оборудование — за полугодие</t>
        </is>
      </c>
      <c r="F1122" s="3" t="inlineStr">
        <is>
          <t>Объем закупок МП</t>
        </is>
      </c>
      <c r="G1122" s="4" t="n">
        <v>3</v>
      </c>
      <c r="H1122" s="4" t="n"/>
      <c r="I1122" s="3" t="inlineStr">
        <is>
          <t>150-189</t>
        </is>
      </c>
      <c r="J1122" s="4" t="n">
        <v>4</v>
      </c>
      <c r="K1122" s="4" t="n"/>
      <c r="L1122" s="4" t="n"/>
      <c r="M1122" s="8" t="n">
        <v>0.11</v>
      </c>
      <c r="N1122" s="4" t="inlineStr">
        <is>
          <t>%</t>
        </is>
      </c>
      <c r="O1122" s="3" t="inlineStr">
        <is>
          <t>ГИНАП, Армения</t>
        </is>
      </c>
      <c r="P1122" s="3" t="inlineStr">
        <is>
          <t>H16</t>
        </is>
      </c>
      <c t="str" r="Q1122" s="6">
        <f>A1122&amp;"|"&amp;C1122&amp;"|"&amp;D1122&amp;"|"&amp;G1122</f>
        <v>Гинап, Армения|Шкала|Оборудование|3</v>
      </c>
      <c t="str" r="R1122" s="6">
        <f>A1122&amp;"|"&amp;C1122&amp;"|"&amp;D1122&amp;"|"&amp;J1122</f>
        <v>Гинап, Армения|Шкала|Оборудование|4</v>
      </c>
      <c t="str" r="S1122" s="6">
        <f>A1122&amp;"|"&amp;C1122&amp;"|"&amp;D1122&amp;"|"&amp;G1122&amp;"|"&amp;J1122</f>
        <v>Гинап, Армения|Шкала|Оборудование|3|4</v>
      </c>
      <c t="str" r="T1122" s="6">
        <f>A1122&amp;"|"&amp;C1122&amp;"|"&amp;G1122</f>
        <v>Гинап, Армения|Шкала|3</v>
      </c>
      <c t="str" r="U1122" s="6">
        <f>IF(H1122="да",A1122&amp;"|"&amp;C1122&amp;"|"&amp;D1122&amp;"|"&amp;J1122,"")</f>
        <v/>
      </c>
      <c t="str" r="V1122" s="6">
        <f>IF(C1122="План",A1122&amp;"|"&amp;J1122,"")</f>
        <v/>
      </c>
    </row>
    <row r="1123">
      <c r="A1123" s="3" t="inlineStr">
        <is>
          <t>Гинап, Армения</t>
        </is>
      </c>
      <c r="B1123" s="3" t="inlineStr">
        <is>
          <t>Заруб</t>
        </is>
      </c>
      <c r="C1123" s="3" t="inlineStr">
        <is>
          <t>Шкала</t>
        </is>
      </c>
      <c r="D1123" s="3" t="inlineStr">
        <is>
          <t>Оборудование</t>
        </is>
      </c>
      <c r="E1123" s="3" t="inlineStr">
        <is>
          <t>Оборудование — за полугодие</t>
        </is>
      </c>
      <c r="F1123" s="3" t="inlineStr">
        <is>
          <t>Объем закупок МП</t>
        </is>
      </c>
      <c r="G1123" s="4" t="n">
        <v>3</v>
      </c>
      <c r="H1123" s="4" t="n"/>
      <c r="I1123" s="3" t="inlineStr">
        <is>
          <t>190-224</t>
        </is>
      </c>
      <c r="J1123" s="4" t="n">
        <v>5</v>
      </c>
      <c r="K1123" s="4" t="n"/>
      <c r="L1123" s="4" t="n"/>
      <c r="M1123" s="8" t="n">
        <v>0.12</v>
      </c>
      <c r="N1123" s="4" t="inlineStr">
        <is>
          <t>%</t>
        </is>
      </c>
      <c r="O1123" s="3" t="inlineStr">
        <is>
          <t>ГИНАП, Армения</t>
        </is>
      </c>
      <c r="P1123" s="3" t="inlineStr">
        <is>
          <t>I16</t>
        </is>
      </c>
      <c t="str" r="Q1123" s="6">
        <f>A1123&amp;"|"&amp;C1123&amp;"|"&amp;D1123&amp;"|"&amp;G1123</f>
        <v>Гинап, Армения|Шкала|Оборудование|3</v>
      </c>
      <c t="str" r="R1123" s="6">
        <f>A1123&amp;"|"&amp;C1123&amp;"|"&amp;D1123&amp;"|"&amp;J1123</f>
        <v>Гинап, Армения|Шкала|Оборудование|5</v>
      </c>
      <c t="str" r="S1123" s="6">
        <f>A1123&amp;"|"&amp;C1123&amp;"|"&amp;D1123&amp;"|"&amp;G1123&amp;"|"&amp;J1123</f>
        <v>Гинап, Армения|Шкала|Оборудование|3|5</v>
      </c>
      <c t="str" r="T1123" s="6">
        <f>A1123&amp;"|"&amp;C1123&amp;"|"&amp;G1123</f>
        <v>Гинап, Армения|Шкала|3</v>
      </c>
      <c t="str" r="U1123" s="6">
        <f>IF(H1123="да",A1123&amp;"|"&amp;C1123&amp;"|"&amp;D1123&amp;"|"&amp;J1123,"")</f>
        <v/>
      </c>
      <c t="str" r="V1123" s="6">
        <f>IF(C1123="План",A1123&amp;"|"&amp;J1123,"")</f>
        <v/>
      </c>
    </row>
    <row r="1124">
      <c r="A1124" s="3" t="inlineStr">
        <is>
          <t>Гинап, Армения</t>
        </is>
      </c>
      <c r="B1124" s="3" t="inlineStr">
        <is>
          <t>Заруб</t>
        </is>
      </c>
      <c r="C1124" s="3" t="inlineStr">
        <is>
          <t>Шкала</t>
        </is>
      </c>
      <c r="D1124" s="3" t="inlineStr">
        <is>
          <t>Оборудование</t>
        </is>
      </c>
      <c r="E1124" s="3" t="inlineStr">
        <is>
          <t>Оборудование — за полугодие</t>
        </is>
      </c>
      <c r="F1124" s="3" t="inlineStr">
        <is>
          <t>Объем закупок МП</t>
        </is>
      </c>
      <c r="G1124" s="4" t="n">
        <v>3</v>
      </c>
      <c r="H1124" s="4" t="n"/>
      <c r="I1124" s="3" t="inlineStr">
        <is>
          <t>225 и более</t>
        </is>
      </c>
      <c r="J1124" s="4" t="n">
        <v>6</v>
      </c>
      <c r="K1124" s="4" t="n"/>
      <c r="L1124" s="4" t="n"/>
      <c r="M1124" s="8" t="n">
        <v>0.13</v>
      </c>
      <c r="N1124" s="4" t="inlineStr">
        <is>
          <t>%</t>
        </is>
      </c>
      <c r="O1124" s="3" t="inlineStr">
        <is>
          <t>ГИНАП, Армения</t>
        </is>
      </c>
      <c r="P1124" s="3" t="inlineStr">
        <is>
          <t>J16</t>
        </is>
      </c>
      <c t="str" r="Q1124" s="6">
        <f>A1124&amp;"|"&amp;C1124&amp;"|"&amp;D1124&amp;"|"&amp;G1124</f>
        <v>Гинап, Армения|Шкала|Оборудование|3</v>
      </c>
      <c t="str" r="R1124" s="6">
        <f>A1124&amp;"|"&amp;C1124&amp;"|"&amp;D1124&amp;"|"&amp;J1124</f>
        <v>Гинап, Армения|Шкала|Оборудование|6</v>
      </c>
      <c t="str" r="S1124" s="6">
        <f>A1124&amp;"|"&amp;C1124&amp;"|"&amp;D1124&amp;"|"&amp;G1124&amp;"|"&amp;J1124</f>
        <v>Гинап, Армения|Шкала|Оборудование|3|6</v>
      </c>
      <c t="str" r="T1124" s="6">
        <f>A1124&amp;"|"&amp;C1124&amp;"|"&amp;G1124</f>
        <v>Гинап, Армения|Шкала|3</v>
      </c>
      <c t="str" r="U1124" s="6">
        <f>IF(H1124="да",A1124&amp;"|"&amp;C1124&amp;"|"&amp;D1124&amp;"|"&amp;J1124,"")</f>
        <v/>
      </c>
      <c t="str" r="V1124" s="6">
        <f>IF(C1124="План",A1124&amp;"|"&amp;J1124,"")</f>
        <v/>
      </c>
    </row>
    <row r="1125">
      <c r="A1125" s="3" t="inlineStr">
        <is>
          <t>Гинап, Армения</t>
        </is>
      </c>
      <c r="B1125" s="3" t="inlineStr">
        <is>
          <t>Заруб</t>
        </is>
      </c>
      <c r="C1125" s="3" t="inlineStr">
        <is>
          <t>Шкала</t>
        </is>
      </c>
      <c r="D1125" s="3" t="inlineStr">
        <is>
          <t>Оборудование</t>
        </is>
      </c>
      <c r="E1125" s="3" t="inlineStr">
        <is>
          <t>Оборудование — за полугодие</t>
        </is>
      </c>
      <c r="F1125" s="3" t="inlineStr">
        <is>
          <t>ИТОГО</t>
        </is>
      </c>
      <c r="G1125" s="4" t="n">
        <v>4</v>
      </c>
      <c r="H1125" s="4" t="inlineStr">
        <is>
          <t>да</t>
        </is>
      </c>
      <c r="I1125" s="3" t="inlineStr">
        <is>
          <t>до 75</t>
        </is>
      </c>
      <c r="J1125" s="4" t="n">
        <v>1</v>
      </c>
      <c r="K1125" s="4" t="n"/>
      <c r="L1125" s="4" t="n"/>
      <c r="M1125" s="8" t="n">
        <v>0.14</v>
      </c>
      <c r="N1125" s="4" t="inlineStr">
        <is>
          <t>%</t>
        </is>
      </c>
      <c r="O1125" s="3" t="inlineStr">
        <is>
          <t>ГИНАП, Армения</t>
        </is>
      </c>
      <c r="P1125" s="3" t="inlineStr">
        <is>
          <t>E17</t>
        </is>
      </c>
      <c t="str" r="Q1125" s="6">
        <f>A1125&amp;"|"&amp;C1125&amp;"|"&amp;D1125&amp;"|"&amp;G1125</f>
        <v>Гинап, Армения|Шкала|Оборудование|4</v>
      </c>
      <c t="str" r="R1125" s="6">
        <f>A1125&amp;"|"&amp;C1125&amp;"|"&amp;D1125&amp;"|"&amp;J1125</f>
        <v>Гинап, Армения|Шкала|Оборудование|1</v>
      </c>
      <c t="str" r="S1125" s="6">
        <f>A1125&amp;"|"&amp;C1125&amp;"|"&amp;D1125&amp;"|"&amp;G1125&amp;"|"&amp;J1125</f>
        <v>Гинап, Армения|Шкала|Оборудование|4|1</v>
      </c>
      <c t="str" r="T1125" s="6">
        <f>A1125&amp;"|"&amp;C1125&amp;"|"&amp;G1125</f>
        <v>Гинап, Армения|Шкала|4</v>
      </c>
      <c t="str" r="U1125" s="6">
        <f>IF(H1125="да",A1125&amp;"|"&amp;C1125&amp;"|"&amp;D1125&amp;"|"&amp;J1125,"")</f>
        <v>Гинап, Армения|Шкала|Оборудование|1</v>
      </c>
      <c t="str" r="V1125" s="6">
        <f>IF(C1125="План",A1125&amp;"|"&amp;J1125,"")</f>
        <v/>
      </c>
    </row>
    <row r="1126">
      <c r="A1126" s="3" t="inlineStr">
        <is>
          <t>Гинап, Армения</t>
        </is>
      </c>
      <c r="B1126" s="3" t="inlineStr">
        <is>
          <t>Заруб</t>
        </is>
      </c>
      <c r="C1126" s="3" t="inlineStr">
        <is>
          <t>Шкала</t>
        </is>
      </c>
      <c r="D1126" s="3" t="inlineStr">
        <is>
          <t>Оборудование</t>
        </is>
      </c>
      <c r="E1126" s="3" t="inlineStr">
        <is>
          <t>Оборудование — за полугодие</t>
        </is>
      </c>
      <c r="F1126" s="3" t="inlineStr">
        <is>
          <t>ИТОГО</t>
        </is>
      </c>
      <c r="G1126" s="4" t="n">
        <v>4</v>
      </c>
      <c r="H1126" s="4" t="inlineStr">
        <is>
          <t>да</t>
        </is>
      </c>
      <c r="I1126" s="3" t="inlineStr">
        <is>
          <t>75-114</t>
        </is>
      </c>
      <c r="J1126" s="4" t="n">
        <v>2</v>
      </c>
      <c r="K1126" s="4" t="n"/>
      <c r="L1126" s="4" t="n"/>
      <c r="M1126" s="8" t="n">
        <v>0.16</v>
      </c>
      <c r="N1126" s="4" t="inlineStr">
        <is>
          <t>%</t>
        </is>
      </c>
      <c r="O1126" s="3" t="inlineStr">
        <is>
          <t>ГИНАП, Армения</t>
        </is>
      </c>
      <c r="P1126" s="3" t="inlineStr">
        <is>
          <t>F17</t>
        </is>
      </c>
      <c t="str" r="Q1126" s="6">
        <f>A1126&amp;"|"&amp;C1126&amp;"|"&amp;D1126&amp;"|"&amp;G1126</f>
        <v>Гинап, Армения|Шкала|Оборудование|4</v>
      </c>
      <c t="str" r="R1126" s="6">
        <f>A1126&amp;"|"&amp;C1126&amp;"|"&amp;D1126&amp;"|"&amp;J1126</f>
        <v>Гинап, Армения|Шкала|Оборудование|2</v>
      </c>
      <c t="str" r="S1126" s="6">
        <f>A1126&amp;"|"&amp;C1126&amp;"|"&amp;D1126&amp;"|"&amp;G1126&amp;"|"&amp;J1126</f>
        <v>Гинап, Армения|Шкала|Оборудование|4|2</v>
      </c>
      <c t="str" r="T1126" s="6">
        <f>A1126&amp;"|"&amp;C1126&amp;"|"&amp;G1126</f>
        <v>Гинап, Армения|Шкала|4</v>
      </c>
      <c t="str" r="U1126" s="6">
        <f>IF(H1126="да",A1126&amp;"|"&amp;C1126&amp;"|"&amp;D1126&amp;"|"&amp;J1126,"")</f>
        <v>Гинап, Армения|Шкала|Оборудование|2</v>
      </c>
      <c t="str" r="V1126" s="6">
        <f>IF(C1126="План",A1126&amp;"|"&amp;J1126,"")</f>
        <v/>
      </c>
    </row>
    <row r="1127">
      <c r="A1127" s="3" t="inlineStr">
        <is>
          <t>Гинап, Армения</t>
        </is>
      </c>
      <c r="B1127" s="3" t="inlineStr">
        <is>
          <t>Заруб</t>
        </is>
      </c>
      <c r="C1127" s="3" t="inlineStr">
        <is>
          <t>Шкала</t>
        </is>
      </c>
      <c r="D1127" s="3" t="inlineStr">
        <is>
          <t>Оборудование</t>
        </is>
      </c>
      <c r="E1127" s="3" t="inlineStr">
        <is>
          <t>Оборудование — за полугодие</t>
        </is>
      </c>
      <c r="F1127" s="3" t="inlineStr">
        <is>
          <t>ИТОГО</t>
        </is>
      </c>
      <c r="G1127" s="4" t="n">
        <v>4</v>
      </c>
      <c r="H1127" s="4" t="inlineStr">
        <is>
          <t>да</t>
        </is>
      </c>
      <c r="I1127" s="3" t="inlineStr">
        <is>
          <t>115-149</t>
        </is>
      </c>
      <c r="J1127" s="4" t="n">
        <v>3</v>
      </c>
      <c r="K1127" s="4" t="n"/>
      <c r="L1127" s="4" t="n"/>
      <c r="M1127" s="8" t="n">
        <v>0.17</v>
      </c>
      <c r="N1127" s="4" t="inlineStr">
        <is>
          <t>%</t>
        </is>
      </c>
      <c r="O1127" s="3" t="inlineStr">
        <is>
          <t>ГИНАП, Армения</t>
        </is>
      </c>
      <c r="P1127" s="3" t="inlineStr">
        <is>
          <t>G17</t>
        </is>
      </c>
      <c t="str" r="Q1127" s="6">
        <f>A1127&amp;"|"&amp;C1127&amp;"|"&amp;D1127&amp;"|"&amp;G1127</f>
        <v>Гинап, Армения|Шкала|Оборудование|4</v>
      </c>
      <c t="str" r="R1127" s="6">
        <f>A1127&amp;"|"&amp;C1127&amp;"|"&amp;D1127&amp;"|"&amp;J1127</f>
        <v>Гинап, Армения|Шкала|Оборудование|3</v>
      </c>
      <c t="str" r="S1127" s="6">
        <f>A1127&amp;"|"&amp;C1127&amp;"|"&amp;D1127&amp;"|"&amp;G1127&amp;"|"&amp;J1127</f>
        <v>Гинап, Армения|Шкала|Оборудование|4|3</v>
      </c>
      <c t="str" r="T1127" s="6">
        <f>A1127&amp;"|"&amp;C1127&amp;"|"&amp;G1127</f>
        <v>Гинап, Армения|Шкала|4</v>
      </c>
      <c t="str" r="U1127" s="6">
        <f>IF(H1127="да",A1127&amp;"|"&amp;C1127&amp;"|"&amp;D1127&amp;"|"&amp;J1127,"")</f>
        <v>Гинап, Армения|Шкала|Оборудование|3</v>
      </c>
      <c t="str" r="V1127" s="6">
        <f>IF(C1127="План",A1127&amp;"|"&amp;J1127,"")</f>
        <v/>
      </c>
    </row>
    <row r="1128">
      <c r="A1128" s="3" t="inlineStr">
        <is>
          <t>Гинап, Армения</t>
        </is>
      </c>
      <c r="B1128" s="3" t="inlineStr">
        <is>
          <t>Заруб</t>
        </is>
      </c>
      <c r="C1128" s="3" t="inlineStr">
        <is>
          <t>Шкала</t>
        </is>
      </c>
      <c r="D1128" s="3" t="inlineStr">
        <is>
          <t>Оборудование</t>
        </is>
      </c>
      <c r="E1128" s="3" t="inlineStr">
        <is>
          <t>Оборудование — за полугодие</t>
        </is>
      </c>
      <c r="F1128" s="3" t="inlineStr">
        <is>
          <t>ИТОГО</t>
        </is>
      </c>
      <c r="G1128" s="4" t="n">
        <v>4</v>
      </c>
      <c r="H1128" s="4" t="inlineStr">
        <is>
          <t>да</t>
        </is>
      </c>
      <c r="I1128" s="3" t="inlineStr">
        <is>
          <t>150-189</t>
        </is>
      </c>
      <c r="J1128" s="4" t="n">
        <v>4</v>
      </c>
      <c r="K1128" s="4" t="n"/>
      <c r="L1128" s="4" t="n"/>
      <c r="M1128" s="8" t="n">
        <v>0.18</v>
      </c>
      <c r="N1128" s="4" t="inlineStr">
        <is>
          <t>%</t>
        </is>
      </c>
      <c r="O1128" s="3" t="inlineStr">
        <is>
          <t>ГИНАП, Армения</t>
        </is>
      </c>
      <c r="P1128" s="3" t="inlineStr">
        <is>
          <t>H17</t>
        </is>
      </c>
      <c t="str" r="Q1128" s="6">
        <f>A1128&amp;"|"&amp;C1128&amp;"|"&amp;D1128&amp;"|"&amp;G1128</f>
        <v>Гинап, Армения|Шкала|Оборудование|4</v>
      </c>
      <c t="str" r="R1128" s="6">
        <f>A1128&amp;"|"&amp;C1128&amp;"|"&amp;D1128&amp;"|"&amp;J1128</f>
        <v>Гинап, Армения|Шкала|Оборудование|4</v>
      </c>
      <c t="str" r="S1128" s="6">
        <f>A1128&amp;"|"&amp;C1128&amp;"|"&amp;D1128&amp;"|"&amp;G1128&amp;"|"&amp;J1128</f>
        <v>Гинап, Армения|Шкала|Оборудование|4|4</v>
      </c>
      <c t="str" r="T1128" s="6">
        <f>A1128&amp;"|"&amp;C1128&amp;"|"&amp;G1128</f>
        <v>Гинап, Армения|Шкала|4</v>
      </c>
      <c t="str" r="U1128" s="6">
        <f>IF(H1128="да",A1128&amp;"|"&amp;C1128&amp;"|"&amp;D1128&amp;"|"&amp;J1128,"")</f>
        <v>Гинап, Армения|Шкала|Оборудование|4</v>
      </c>
      <c t="str" r="V1128" s="6">
        <f>IF(C1128="План",A1128&amp;"|"&amp;J1128,"")</f>
        <v/>
      </c>
    </row>
    <row r="1129">
      <c r="A1129" s="3" t="inlineStr">
        <is>
          <t>Гинап, Армения</t>
        </is>
      </c>
      <c r="B1129" s="3" t="inlineStr">
        <is>
          <t>Заруб</t>
        </is>
      </c>
      <c r="C1129" s="3" t="inlineStr">
        <is>
          <t>Шкала</t>
        </is>
      </c>
      <c r="D1129" s="3" t="inlineStr">
        <is>
          <t>Оборудование</t>
        </is>
      </c>
      <c r="E1129" s="3" t="inlineStr">
        <is>
          <t>Оборудование — за полугодие</t>
        </is>
      </c>
      <c r="F1129" s="3" t="inlineStr">
        <is>
          <t>ИТОГО</t>
        </is>
      </c>
      <c r="G1129" s="4" t="n">
        <v>4</v>
      </c>
      <c r="H1129" s="4" t="inlineStr">
        <is>
          <t>да</t>
        </is>
      </c>
      <c r="I1129" s="3" t="inlineStr">
        <is>
          <t>190-224</t>
        </is>
      </c>
      <c r="J1129" s="4" t="n">
        <v>5</v>
      </c>
      <c r="K1129" s="4" t="n"/>
      <c r="L1129" s="4" t="n"/>
      <c r="M1129" s="8" t="n">
        <v>0.19</v>
      </c>
      <c r="N1129" s="4" t="inlineStr">
        <is>
          <t>%</t>
        </is>
      </c>
      <c r="O1129" s="3" t="inlineStr">
        <is>
          <t>ГИНАП, Армения</t>
        </is>
      </c>
      <c r="P1129" s="3" t="inlineStr">
        <is>
          <t>I17</t>
        </is>
      </c>
      <c t="str" r="Q1129" s="6">
        <f>A1129&amp;"|"&amp;C1129&amp;"|"&amp;D1129&amp;"|"&amp;G1129</f>
        <v>Гинап, Армения|Шкала|Оборудование|4</v>
      </c>
      <c t="str" r="R1129" s="6">
        <f>A1129&amp;"|"&amp;C1129&amp;"|"&amp;D1129&amp;"|"&amp;J1129</f>
        <v>Гинап, Армения|Шкала|Оборудование|5</v>
      </c>
      <c t="str" r="S1129" s="6">
        <f>A1129&amp;"|"&amp;C1129&amp;"|"&amp;D1129&amp;"|"&amp;G1129&amp;"|"&amp;J1129</f>
        <v>Гинап, Армения|Шкала|Оборудование|4|5</v>
      </c>
      <c t="str" r="T1129" s="6">
        <f>A1129&amp;"|"&amp;C1129&amp;"|"&amp;G1129</f>
        <v>Гинап, Армения|Шкала|4</v>
      </c>
      <c t="str" r="U1129" s="6">
        <f>IF(H1129="да",A1129&amp;"|"&amp;C1129&amp;"|"&amp;D1129&amp;"|"&amp;J1129,"")</f>
        <v>Гинап, Армения|Шкала|Оборудование|5</v>
      </c>
      <c t="str" r="V1129" s="6">
        <f>IF(C1129="План",A1129&amp;"|"&amp;J1129,"")</f>
        <v/>
      </c>
    </row>
    <row r="1130">
      <c r="A1130" s="3" t="inlineStr">
        <is>
          <t>Гинап, Армения</t>
        </is>
      </c>
      <c r="B1130" s="3" t="inlineStr">
        <is>
          <t>Заруб</t>
        </is>
      </c>
      <c r="C1130" s="3" t="inlineStr">
        <is>
          <t>Шкала</t>
        </is>
      </c>
      <c r="D1130" s="3" t="inlineStr">
        <is>
          <t>Оборудование</t>
        </is>
      </c>
      <c r="E1130" s="3" t="inlineStr">
        <is>
          <t>Оборудование — за полугодие</t>
        </is>
      </c>
      <c r="F1130" s="3" t="inlineStr">
        <is>
          <t>ИТОГО</t>
        </is>
      </c>
      <c r="G1130" s="4" t="n">
        <v>4</v>
      </c>
      <c r="H1130" s="4" t="inlineStr">
        <is>
          <t>да</t>
        </is>
      </c>
      <c r="I1130" s="3" t="inlineStr">
        <is>
          <t>225 и более</t>
        </is>
      </c>
      <c r="J1130" s="4" t="n">
        <v>6</v>
      </c>
      <c r="K1130" s="4" t="n"/>
      <c r="L1130" s="4" t="n"/>
      <c r="M1130" s="8" t="n">
        <v>0.2</v>
      </c>
      <c r="N1130" s="4" t="inlineStr">
        <is>
          <t>%</t>
        </is>
      </c>
      <c r="O1130" s="3" t="inlineStr">
        <is>
          <t>ГИНАП, Армения</t>
        </is>
      </c>
      <c r="P1130" s="3" t="inlineStr">
        <is>
          <t>J17</t>
        </is>
      </c>
      <c t="str" r="Q1130" s="6">
        <f>A1130&amp;"|"&amp;C1130&amp;"|"&amp;D1130&amp;"|"&amp;G1130</f>
        <v>Гинап, Армения|Шкала|Оборудование|4</v>
      </c>
      <c t="str" r="R1130" s="6">
        <f>A1130&amp;"|"&amp;C1130&amp;"|"&amp;D1130&amp;"|"&amp;J1130</f>
        <v>Гинап, Армения|Шкала|Оборудование|6</v>
      </c>
      <c t="str" r="S1130" s="6">
        <f>A1130&amp;"|"&amp;C1130&amp;"|"&amp;D1130&amp;"|"&amp;G1130&amp;"|"&amp;J1130</f>
        <v>Гинап, Армения|Шкала|Оборудование|4|6</v>
      </c>
      <c t="str" r="T1130" s="6">
        <f>A1130&amp;"|"&amp;C1130&amp;"|"&amp;G1130</f>
        <v>Гинап, Армения|Шкала|4</v>
      </c>
      <c t="str" r="U1130" s="6">
        <f>IF(H1130="да",A1130&amp;"|"&amp;C1130&amp;"|"&amp;D1130&amp;"|"&amp;J1130,"")</f>
        <v>Гинап, Армения|Шкала|Оборудование|6</v>
      </c>
      <c t="str" r="V1130" s="6">
        <f>IF(C1130="План",A1130&amp;"|"&amp;J1130,"")</f>
        <v/>
      </c>
    </row>
    <row r="1131">
      <c r="A1131" s="3" t="inlineStr">
        <is>
          <t>Гинап, Армения</t>
        </is>
      </c>
      <c r="B1131" s="3" t="inlineStr">
        <is>
          <t>Заруб</t>
        </is>
      </c>
      <c r="C1131" s="3" t="inlineStr">
        <is>
          <t>Шкала</t>
        </is>
      </c>
      <c r="D1131" s="3" t="inlineStr">
        <is>
          <t>Расходные материалы</t>
        </is>
      </c>
      <c r="E1131" s="3" t="inlineStr">
        <is>
          <t>Расходные материалы — за полугодие</t>
        </is>
      </c>
      <c r="F1131" s="3" t="inlineStr">
        <is>
          <t>Объем закупок РМ</t>
        </is>
      </c>
      <c r="G1131" s="4" t="n">
        <v>1</v>
      </c>
      <c r="H1131" s="4" t="n"/>
      <c r="I1131" s="3" t="inlineStr">
        <is>
          <t>до 24</t>
        </is>
      </c>
      <c r="J1131" s="4" t="n">
        <v>1</v>
      </c>
      <c r="K1131" s="4" t="n"/>
      <c r="L1131" s="4" t="n"/>
      <c r="M1131" s="8" t="n">
        <v>0</v>
      </c>
      <c r="N1131" s="4" t="inlineStr">
        <is>
          <t>%</t>
        </is>
      </c>
      <c r="O1131" s="3" t="inlineStr">
        <is>
          <t>ГИНАП, Армения</t>
        </is>
      </c>
      <c r="P1131" s="3" t="inlineStr">
        <is>
          <t>E20</t>
        </is>
      </c>
      <c t="str" r="Q1131" s="6">
        <f>A1131&amp;"|"&amp;C1131&amp;"|"&amp;D1131&amp;"|"&amp;G1131</f>
        <v>Гинап, Армения|Шкала|Расходные материалы|1</v>
      </c>
      <c t="str" r="R1131" s="6">
        <f>A1131&amp;"|"&amp;C1131&amp;"|"&amp;D1131&amp;"|"&amp;J1131</f>
        <v>Гинап, Армения|Шкала|Расходные материалы|1</v>
      </c>
      <c t="str" r="S1131" s="6">
        <f>A1131&amp;"|"&amp;C1131&amp;"|"&amp;D1131&amp;"|"&amp;G1131&amp;"|"&amp;J1131</f>
        <v>Гинап, Армения|Шкала|Расходные материалы|1|1</v>
      </c>
      <c t="str" r="T1131" s="6">
        <f>A1131&amp;"|"&amp;C1131&amp;"|"&amp;G1131</f>
        <v>Гинап, Армения|Шкала|1</v>
      </c>
      <c t="str" r="U1131" s="6">
        <f>IF(H1131="да",A1131&amp;"|"&amp;C1131&amp;"|"&amp;D1131&amp;"|"&amp;J1131,"")</f>
        <v/>
      </c>
      <c t="str" r="V1131" s="6">
        <f>IF(C1131="План",A1131&amp;"|"&amp;J1131,"")</f>
        <v/>
      </c>
    </row>
    <row r="1132">
      <c r="A1132" s="3" t="inlineStr">
        <is>
          <t>Гинап, Армения</t>
        </is>
      </c>
      <c r="B1132" s="3" t="inlineStr">
        <is>
          <t>Заруб</t>
        </is>
      </c>
      <c r="C1132" s="3" t="inlineStr">
        <is>
          <t>Шкала</t>
        </is>
      </c>
      <c r="D1132" s="3" t="inlineStr">
        <is>
          <t>Расходные материалы</t>
        </is>
      </c>
      <c r="E1132" s="3" t="inlineStr">
        <is>
          <t>Расходные материалы — за полугодие</t>
        </is>
      </c>
      <c r="F1132" s="3" t="inlineStr">
        <is>
          <t>Объем закупок РМ</t>
        </is>
      </c>
      <c r="G1132" s="4" t="n">
        <v>1</v>
      </c>
      <c r="H1132" s="4" t="n"/>
      <c r="I1132" s="3" t="inlineStr">
        <is>
          <t>25-34</t>
        </is>
      </c>
      <c r="J1132" s="4" t="n">
        <v>2</v>
      </c>
      <c r="K1132" s="4" t="n"/>
      <c r="L1132" s="4" t="n"/>
      <c r="M1132" s="8" t="n">
        <v>0.01</v>
      </c>
      <c r="N1132" s="4" t="inlineStr">
        <is>
          <t>%</t>
        </is>
      </c>
      <c r="O1132" s="3" t="inlineStr">
        <is>
          <t>ГИНАП, Армения</t>
        </is>
      </c>
      <c r="P1132" s="3" t="inlineStr">
        <is>
          <t>F20</t>
        </is>
      </c>
      <c t="str" r="Q1132" s="6">
        <f>A1132&amp;"|"&amp;C1132&amp;"|"&amp;D1132&amp;"|"&amp;G1132</f>
        <v>Гинап, Армения|Шкала|Расходные материалы|1</v>
      </c>
      <c t="str" r="R1132" s="6">
        <f>A1132&amp;"|"&amp;C1132&amp;"|"&amp;D1132&amp;"|"&amp;J1132</f>
        <v>Гинап, Армения|Шкала|Расходные материалы|2</v>
      </c>
      <c t="str" r="S1132" s="6">
        <f>A1132&amp;"|"&amp;C1132&amp;"|"&amp;D1132&amp;"|"&amp;G1132&amp;"|"&amp;J1132</f>
        <v>Гинап, Армения|Шкала|Расходные материалы|1|2</v>
      </c>
      <c t="str" r="T1132" s="6">
        <f>A1132&amp;"|"&amp;C1132&amp;"|"&amp;G1132</f>
        <v>Гинап, Армения|Шкала|1</v>
      </c>
      <c t="str" r="U1132" s="6">
        <f>IF(H1132="да",A1132&amp;"|"&amp;C1132&amp;"|"&amp;D1132&amp;"|"&amp;J1132,"")</f>
        <v/>
      </c>
      <c t="str" r="V1132" s="6">
        <f>IF(C1132="План",A1132&amp;"|"&amp;J1132,"")</f>
        <v/>
      </c>
    </row>
    <row r="1133">
      <c r="A1133" s="3" t="inlineStr">
        <is>
          <t>Гинап, Армения</t>
        </is>
      </c>
      <c r="B1133" s="3" t="inlineStr">
        <is>
          <t>Заруб</t>
        </is>
      </c>
      <c r="C1133" s="3" t="inlineStr">
        <is>
          <t>Шкала</t>
        </is>
      </c>
      <c r="D1133" s="3" t="inlineStr">
        <is>
          <t>Расходные материалы</t>
        </is>
      </c>
      <c r="E1133" s="3" t="inlineStr">
        <is>
          <t>Расходные материалы — за полугодие</t>
        </is>
      </c>
      <c r="F1133" s="3" t="inlineStr">
        <is>
          <t>Объем закупок РМ</t>
        </is>
      </c>
      <c r="G1133" s="4" t="n">
        <v>1</v>
      </c>
      <c r="H1133" s="4" t="n"/>
      <c r="I1133" s="3" t="inlineStr">
        <is>
          <t>35-44</t>
        </is>
      </c>
      <c r="J1133" s="4" t="n">
        <v>3</v>
      </c>
      <c r="K1133" s="4" t="n"/>
      <c r="L1133" s="4" t="n"/>
      <c r="M1133" s="8" t="n">
        <v>0.02</v>
      </c>
      <c r="N1133" s="4" t="inlineStr">
        <is>
          <t>%</t>
        </is>
      </c>
      <c r="O1133" s="3" t="inlineStr">
        <is>
          <t>ГИНАП, Армения</t>
        </is>
      </c>
      <c r="P1133" s="3" t="inlineStr">
        <is>
          <t>G20</t>
        </is>
      </c>
      <c t="str" r="Q1133" s="6">
        <f>A1133&amp;"|"&amp;C1133&amp;"|"&amp;D1133&amp;"|"&amp;G1133</f>
        <v>Гинап, Армения|Шкала|Расходные материалы|1</v>
      </c>
      <c t="str" r="R1133" s="6">
        <f>A1133&amp;"|"&amp;C1133&amp;"|"&amp;D1133&amp;"|"&amp;J1133</f>
        <v>Гинап, Армения|Шкала|Расходные материалы|3</v>
      </c>
      <c t="str" r="S1133" s="6">
        <f>A1133&amp;"|"&amp;C1133&amp;"|"&amp;D1133&amp;"|"&amp;G1133&amp;"|"&amp;J1133</f>
        <v>Гинап, Армения|Шкала|Расходные материалы|1|3</v>
      </c>
      <c t="str" r="T1133" s="6">
        <f>A1133&amp;"|"&amp;C1133&amp;"|"&amp;G1133</f>
        <v>Гинап, Армения|Шкала|1</v>
      </c>
      <c t="str" r="U1133" s="6">
        <f>IF(H1133="да",A1133&amp;"|"&amp;C1133&amp;"|"&amp;D1133&amp;"|"&amp;J1133,"")</f>
        <v/>
      </c>
      <c t="str" r="V1133" s="6">
        <f>IF(C1133="План",A1133&amp;"|"&amp;J1133,"")</f>
        <v/>
      </c>
    </row>
    <row r="1134">
      <c r="A1134" s="3" t="inlineStr">
        <is>
          <t>Гинап, Армения</t>
        </is>
      </c>
      <c r="B1134" s="3" t="inlineStr">
        <is>
          <t>Заруб</t>
        </is>
      </c>
      <c r="C1134" s="3" t="inlineStr">
        <is>
          <t>Шкала</t>
        </is>
      </c>
      <c r="D1134" s="3" t="inlineStr">
        <is>
          <t>Расходные материалы</t>
        </is>
      </c>
      <c r="E1134" s="3" t="inlineStr">
        <is>
          <t>Расходные материалы — за полугодие</t>
        </is>
      </c>
      <c r="F1134" s="3" t="inlineStr">
        <is>
          <t>Объем закупок РМ</t>
        </is>
      </c>
      <c r="G1134" s="4" t="n">
        <v>1</v>
      </c>
      <c r="H1134" s="4" t="n"/>
      <c r="I1134" s="3" t="inlineStr">
        <is>
          <t>45-54</t>
        </is>
      </c>
      <c r="J1134" s="4" t="n">
        <v>4</v>
      </c>
      <c r="K1134" s="4" t="n"/>
      <c r="L1134" s="4" t="n"/>
      <c r="M1134" s="8" t="n">
        <v>0.03</v>
      </c>
      <c r="N1134" s="4" t="inlineStr">
        <is>
          <t>%</t>
        </is>
      </c>
      <c r="O1134" s="3" t="inlineStr">
        <is>
          <t>ГИНАП, Армения</t>
        </is>
      </c>
      <c r="P1134" s="3" t="inlineStr">
        <is>
          <t>H20</t>
        </is>
      </c>
      <c t="str" r="Q1134" s="6">
        <f>A1134&amp;"|"&amp;C1134&amp;"|"&amp;D1134&amp;"|"&amp;G1134</f>
        <v>Гинап, Армения|Шкала|Расходные материалы|1</v>
      </c>
      <c t="str" r="R1134" s="6">
        <f>A1134&amp;"|"&amp;C1134&amp;"|"&amp;D1134&amp;"|"&amp;J1134</f>
        <v>Гинап, Армения|Шкала|Расходные материалы|4</v>
      </c>
      <c t="str" r="S1134" s="6">
        <f>A1134&amp;"|"&amp;C1134&amp;"|"&amp;D1134&amp;"|"&amp;G1134&amp;"|"&amp;J1134</f>
        <v>Гинап, Армения|Шкала|Расходные материалы|1|4</v>
      </c>
      <c t="str" r="T1134" s="6">
        <f>A1134&amp;"|"&amp;C1134&amp;"|"&amp;G1134</f>
        <v>Гинап, Армения|Шкала|1</v>
      </c>
      <c t="str" r="U1134" s="6">
        <f>IF(H1134="да",A1134&amp;"|"&amp;C1134&amp;"|"&amp;D1134&amp;"|"&amp;J1134,"")</f>
        <v/>
      </c>
      <c t="str" r="V1134" s="6">
        <f>IF(C1134="План",A1134&amp;"|"&amp;J1134,"")</f>
        <v/>
      </c>
    </row>
    <row r="1135">
      <c r="A1135" s="3" t="inlineStr">
        <is>
          <t>Гинап, Армения</t>
        </is>
      </c>
      <c r="B1135" s="3" t="inlineStr">
        <is>
          <t>Заруб</t>
        </is>
      </c>
      <c r="C1135" s="3" t="inlineStr">
        <is>
          <t>Шкала</t>
        </is>
      </c>
      <c r="D1135" s="3" t="inlineStr">
        <is>
          <t>Расходные материалы</t>
        </is>
      </c>
      <c r="E1135" s="3" t="inlineStr">
        <is>
          <t>Расходные материалы — за полугодие</t>
        </is>
      </c>
      <c r="F1135" s="3" t="inlineStr">
        <is>
          <t>Объем закупок РМ</t>
        </is>
      </c>
      <c r="G1135" s="4" t="n">
        <v>1</v>
      </c>
      <c r="H1135" s="4" t="n"/>
      <c r="I1135" s="3" t="inlineStr">
        <is>
          <t>55-64</t>
        </is>
      </c>
      <c r="J1135" s="4" t="n">
        <v>5</v>
      </c>
      <c r="K1135" s="4" t="n"/>
      <c r="L1135" s="4" t="n"/>
      <c r="M1135" s="8" t="n">
        <v>0.04</v>
      </c>
      <c r="N1135" s="4" t="inlineStr">
        <is>
          <t>%</t>
        </is>
      </c>
      <c r="O1135" s="3" t="inlineStr">
        <is>
          <t>ГИНАП, Армения</t>
        </is>
      </c>
      <c r="P1135" s="3" t="inlineStr">
        <is>
          <t>I20</t>
        </is>
      </c>
      <c t="str" r="Q1135" s="6">
        <f>A1135&amp;"|"&amp;C1135&amp;"|"&amp;D1135&amp;"|"&amp;G1135</f>
        <v>Гинап, Армения|Шкала|Расходные материалы|1</v>
      </c>
      <c t="str" r="R1135" s="6">
        <f>A1135&amp;"|"&amp;C1135&amp;"|"&amp;D1135&amp;"|"&amp;J1135</f>
        <v>Гинап, Армения|Шкала|Расходные материалы|5</v>
      </c>
      <c t="str" r="S1135" s="6">
        <f>A1135&amp;"|"&amp;C1135&amp;"|"&amp;D1135&amp;"|"&amp;G1135&amp;"|"&amp;J1135</f>
        <v>Гинап, Армения|Шкала|Расходные материалы|1|5</v>
      </c>
      <c t="str" r="T1135" s="6">
        <f>A1135&amp;"|"&amp;C1135&amp;"|"&amp;G1135</f>
        <v>Гинап, Армения|Шкала|1</v>
      </c>
      <c t="str" r="U1135" s="6">
        <f>IF(H1135="да",A1135&amp;"|"&amp;C1135&amp;"|"&amp;D1135&amp;"|"&amp;J1135,"")</f>
        <v/>
      </c>
      <c t="str" r="V1135" s="6">
        <f>IF(C1135="План",A1135&amp;"|"&amp;J1135,"")</f>
        <v/>
      </c>
    </row>
    <row r="1136">
      <c r="A1136" s="3" t="inlineStr">
        <is>
          <t>Гинап, Армения</t>
        </is>
      </c>
      <c r="B1136" s="3" t="inlineStr">
        <is>
          <t>Заруб</t>
        </is>
      </c>
      <c r="C1136" s="3" t="inlineStr">
        <is>
          <t>Шкала</t>
        </is>
      </c>
      <c r="D1136" s="3" t="inlineStr">
        <is>
          <t>Расходные материалы</t>
        </is>
      </c>
      <c r="E1136" s="3" t="inlineStr">
        <is>
          <t>Расходные материалы — за полугодие</t>
        </is>
      </c>
      <c r="F1136" s="3" t="inlineStr">
        <is>
          <t>Объем закупок РМ</t>
        </is>
      </c>
      <c r="G1136" s="4" t="n">
        <v>1</v>
      </c>
      <c r="H1136" s="4" t="n"/>
      <c r="I1136" s="3" t="inlineStr">
        <is>
          <t>65 и более</t>
        </is>
      </c>
      <c r="J1136" s="4" t="n">
        <v>6</v>
      </c>
      <c r="K1136" s="4" t="n"/>
      <c r="L1136" s="4" t="n"/>
      <c r="M1136" s="8" t="n">
        <v>0.05</v>
      </c>
      <c r="N1136" s="4" t="inlineStr">
        <is>
          <t>%</t>
        </is>
      </c>
      <c r="O1136" s="3" t="inlineStr">
        <is>
          <t>ГИНАП, Армения</t>
        </is>
      </c>
      <c r="P1136" s="3" t="inlineStr">
        <is>
          <t>J20</t>
        </is>
      </c>
      <c t="str" r="Q1136" s="6">
        <f>A1136&amp;"|"&amp;C1136&amp;"|"&amp;D1136&amp;"|"&amp;G1136</f>
        <v>Гинап, Армения|Шкала|Расходные материалы|1</v>
      </c>
      <c t="str" r="R1136" s="6">
        <f>A1136&amp;"|"&amp;C1136&amp;"|"&amp;D1136&amp;"|"&amp;J1136</f>
        <v>Гинап, Армения|Шкала|Расходные материалы|6</v>
      </c>
      <c t="str" r="S1136" s="6">
        <f>A1136&amp;"|"&amp;C1136&amp;"|"&amp;D1136&amp;"|"&amp;G1136&amp;"|"&amp;J1136</f>
        <v>Гинап, Армения|Шкала|Расходные материалы|1|6</v>
      </c>
      <c t="str" r="T1136" s="6">
        <f>A1136&amp;"|"&amp;C1136&amp;"|"&amp;G1136</f>
        <v>Гинап, Армения|Шкала|1</v>
      </c>
      <c t="str" r="U1136" s="6">
        <f>IF(H1136="да",A1136&amp;"|"&amp;C1136&amp;"|"&amp;D1136&amp;"|"&amp;J1136,"")</f>
        <v/>
      </c>
      <c t="str" r="V1136" s="6">
        <f>IF(C1136="План",A1136&amp;"|"&amp;J1136,"")</f>
        <v/>
      </c>
    </row>
    <row r="1137">
      <c r="A1137" s="3" t="inlineStr">
        <is>
          <t>Гинап, Армения</t>
        </is>
      </c>
      <c r="B1137" s="3" t="inlineStr">
        <is>
          <t>Заруб</t>
        </is>
      </c>
      <c r="C1137" s="3" t="inlineStr">
        <is>
          <t>Шкала</t>
        </is>
      </c>
      <c r="D1137" s="3" t="inlineStr">
        <is>
          <t>Сервис (ЗЧ)</t>
        </is>
      </c>
      <c r="E1137" s="3" t="inlineStr">
        <is>
          <t>Сервис (ЗЧ) — абсолютные отгрузки за 12 месяцев</t>
        </is>
      </c>
      <c r="F1137" s="3" t="inlineStr">
        <is>
          <t>Скидка по сервису</t>
        </is>
      </c>
      <c r="G1137" s="4" t="n">
        <v>1</v>
      </c>
      <c r="H1137" s="4" t="inlineStr">
        <is>
          <t>да</t>
        </is>
      </c>
      <c r="I1137" s="3" t="inlineStr">
        <is>
          <t>0–7000</t>
        </is>
      </c>
      <c r="J1137" s="4" t="n">
        <v>1</v>
      </c>
      <c r="K1137" s="4" t="n">
        <v>0</v>
      </c>
      <c r="L1137" s="4" t="n">
        <v>7000</v>
      </c>
      <c r="M1137" s="8" t="n">
        <v>0.1</v>
      </c>
      <c r="N1137" s="4" t="inlineStr">
        <is>
          <t>%</t>
        </is>
      </c>
      <c r="O1137" s="3" t="inlineStr">
        <is>
          <t>ГИНАП, Армения</t>
        </is>
      </c>
      <c r="P1137" s="3" t="inlineStr">
        <is>
          <t>F23</t>
        </is>
      </c>
      <c t="str" r="Q1137" s="6">
        <f>A1137&amp;"|"&amp;C1137&amp;"|"&amp;D1137&amp;"|"&amp;G1137</f>
        <v>Гинап, Армения|Шкала|Сервис (ЗЧ)|1</v>
      </c>
      <c t="str" r="R1137" s="6">
        <f>A1137&amp;"|"&amp;C1137&amp;"|"&amp;D1137&amp;"|"&amp;J1137</f>
        <v>Гинап, Армения|Шкала|Сервис (ЗЧ)|1</v>
      </c>
      <c t="str" r="S1137" s="6">
        <f>A1137&amp;"|"&amp;C1137&amp;"|"&amp;D1137&amp;"|"&amp;G1137&amp;"|"&amp;J1137</f>
        <v>Гинап, Армения|Шкала|Сервис (ЗЧ)|1|1</v>
      </c>
      <c t="str" r="T1137" s="6">
        <f>A1137&amp;"|"&amp;C1137&amp;"|"&amp;G1137</f>
        <v>Гинап, Армения|Шкала|1</v>
      </c>
      <c t="str" r="U1137" s="6">
        <f>IF(H1137="да",A1137&amp;"|"&amp;C1137&amp;"|"&amp;D1137&amp;"|"&amp;J1137,"")</f>
        <v>Гинап, Армения|Шкала|Сервис (ЗЧ)|1</v>
      </c>
      <c t="str" r="V1137" s="6">
        <f>IF(C1137="План",A1137&amp;"|"&amp;J1137,"")</f>
        <v/>
      </c>
    </row>
    <row r="1138">
      <c r="A1138" s="3" t="inlineStr">
        <is>
          <t>Гинап, Армения</t>
        </is>
      </c>
      <c r="B1138" s="3" t="inlineStr">
        <is>
          <t>Заруб</t>
        </is>
      </c>
      <c r="C1138" s="3" t="inlineStr">
        <is>
          <t>Шкала</t>
        </is>
      </c>
      <c r="D1138" s="3" t="inlineStr">
        <is>
          <t>Сервис (ЗЧ)</t>
        </is>
      </c>
      <c r="E1138" s="3" t="inlineStr">
        <is>
          <t>Сервис (ЗЧ) — абсолютные отгрузки за 12 месяцев</t>
        </is>
      </c>
      <c r="F1138" s="3" t="inlineStr">
        <is>
          <t>Скидка по сервису</t>
        </is>
      </c>
      <c r="G1138" s="4" t="n">
        <v>1</v>
      </c>
      <c r="H1138" s="4" t="inlineStr">
        <is>
          <t>да</t>
        </is>
      </c>
      <c r="I1138" s="3" t="inlineStr">
        <is>
          <t>7001–19000</t>
        </is>
      </c>
      <c r="J1138" s="4" t="n">
        <v>2</v>
      </c>
      <c r="K1138" s="4" t="n">
        <v>7001</v>
      </c>
      <c r="L1138" s="4" t="n">
        <v>19000</v>
      </c>
      <c r="M1138" s="8" t="n">
        <v>0.11</v>
      </c>
      <c r="N1138" s="4" t="inlineStr">
        <is>
          <t>%</t>
        </is>
      </c>
      <c r="O1138" s="3" t="inlineStr">
        <is>
          <t>ГИНАП, Армения</t>
        </is>
      </c>
      <c r="P1138" s="3" t="inlineStr">
        <is>
          <t>F24</t>
        </is>
      </c>
      <c t="str" r="Q1138" s="6">
        <f>A1138&amp;"|"&amp;C1138&amp;"|"&amp;D1138&amp;"|"&amp;G1138</f>
        <v>Гинап, Армения|Шкала|Сервис (ЗЧ)|1</v>
      </c>
      <c t="str" r="R1138" s="6">
        <f>A1138&amp;"|"&amp;C1138&amp;"|"&amp;D1138&amp;"|"&amp;J1138</f>
        <v>Гинап, Армения|Шкала|Сервис (ЗЧ)|2</v>
      </c>
      <c t="str" r="S1138" s="6">
        <f>A1138&amp;"|"&amp;C1138&amp;"|"&amp;D1138&amp;"|"&amp;G1138&amp;"|"&amp;J1138</f>
        <v>Гинап, Армения|Шкала|Сервис (ЗЧ)|1|2</v>
      </c>
      <c t="str" r="T1138" s="6">
        <f>A1138&amp;"|"&amp;C1138&amp;"|"&amp;G1138</f>
        <v>Гинап, Армения|Шкала|1</v>
      </c>
      <c t="str" r="U1138" s="6">
        <f>IF(H1138="да",A1138&amp;"|"&amp;C1138&amp;"|"&amp;D1138&amp;"|"&amp;J1138,"")</f>
        <v>Гинап, Армения|Шкала|Сервис (ЗЧ)|2</v>
      </c>
      <c t="str" r="V1138" s="6">
        <f>IF(C1138="План",A1138&amp;"|"&amp;J1138,"")</f>
        <v/>
      </c>
    </row>
    <row r="1139">
      <c r="A1139" s="3" t="inlineStr">
        <is>
          <t>Гинап, Армения</t>
        </is>
      </c>
      <c r="B1139" s="3" t="inlineStr">
        <is>
          <t>Заруб</t>
        </is>
      </c>
      <c r="C1139" s="3" t="inlineStr">
        <is>
          <t>Шкала</t>
        </is>
      </c>
      <c r="D1139" s="3" t="inlineStr">
        <is>
          <t>Сервис (ЗЧ)</t>
        </is>
      </c>
      <c r="E1139" s="3" t="inlineStr">
        <is>
          <t>Сервис (ЗЧ) — абсолютные отгрузки за 12 месяцев</t>
        </is>
      </c>
      <c r="F1139" s="3" t="inlineStr">
        <is>
          <t>Скидка по сервису</t>
        </is>
      </c>
      <c r="G1139" s="4" t="n">
        <v>1</v>
      </c>
      <c r="H1139" s="4" t="inlineStr">
        <is>
          <t>да</t>
        </is>
      </c>
      <c r="I1139" s="3" t="inlineStr">
        <is>
          <t>19001–24000</t>
        </is>
      </c>
      <c r="J1139" s="4" t="n">
        <v>3</v>
      </c>
      <c r="K1139" s="4" t="n">
        <v>19001</v>
      </c>
      <c r="L1139" s="4" t="n">
        <v>24000</v>
      </c>
      <c r="M1139" s="8" t="n">
        <v>0.13</v>
      </c>
      <c r="N1139" s="4" t="inlineStr">
        <is>
          <t>%</t>
        </is>
      </c>
      <c r="O1139" s="3" t="inlineStr">
        <is>
          <t>ГИНАП, Армения</t>
        </is>
      </c>
      <c r="P1139" s="3" t="inlineStr">
        <is>
          <t>F25</t>
        </is>
      </c>
      <c t="str" r="Q1139" s="6">
        <f>A1139&amp;"|"&amp;C1139&amp;"|"&amp;D1139&amp;"|"&amp;G1139</f>
        <v>Гинап, Армения|Шкала|Сервис (ЗЧ)|1</v>
      </c>
      <c t="str" r="R1139" s="6">
        <f>A1139&amp;"|"&amp;C1139&amp;"|"&amp;D1139&amp;"|"&amp;J1139</f>
        <v>Гинап, Армения|Шкала|Сервис (ЗЧ)|3</v>
      </c>
      <c t="str" r="S1139" s="6">
        <f>A1139&amp;"|"&amp;C1139&amp;"|"&amp;D1139&amp;"|"&amp;G1139&amp;"|"&amp;J1139</f>
        <v>Гинап, Армения|Шкала|Сервис (ЗЧ)|1|3</v>
      </c>
      <c t="str" r="T1139" s="6">
        <f>A1139&amp;"|"&amp;C1139&amp;"|"&amp;G1139</f>
        <v>Гинап, Армения|Шкала|1</v>
      </c>
      <c t="str" r="U1139" s="6">
        <f>IF(H1139="да",A1139&amp;"|"&amp;C1139&amp;"|"&amp;D1139&amp;"|"&amp;J1139,"")</f>
        <v>Гинап, Армения|Шкала|Сервис (ЗЧ)|3</v>
      </c>
      <c t="str" r="V1139" s="6">
        <f>IF(C1139="План",A1139&amp;"|"&amp;J1139,"")</f>
        <v/>
      </c>
    </row>
    <row r="1140">
      <c r="A1140" s="3" t="inlineStr">
        <is>
          <t>Гинап, Армения</t>
        </is>
      </c>
      <c r="B1140" s="3" t="inlineStr">
        <is>
          <t>Заруб</t>
        </is>
      </c>
      <c r="C1140" s="3" t="inlineStr">
        <is>
          <t>Шкала</t>
        </is>
      </c>
      <c r="D1140" s="3" t="inlineStr">
        <is>
          <t>Сервис (ЗЧ)</t>
        </is>
      </c>
      <c r="E1140" s="3" t="inlineStr">
        <is>
          <t>Сервис (ЗЧ) — абсолютные отгрузки за 12 месяцев</t>
        </is>
      </c>
      <c r="F1140" s="3" t="inlineStr">
        <is>
          <t>Скидка по сервису</t>
        </is>
      </c>
      <c r="G1140" s="4" t="n">
        <v>1</v>
      </c>
      <c r="H1140" s="4" t="inlineStr">
        <is>
          <t>да</t>
        </is>
      </c>
      <c r="I1140" s="3" t="inlineStr">
        <is>
          <t>24001–28000</t>
        </is>
      </c>
      <c r="J1140" s="4" t="n">
        <v>4</v>
      </c>
      <c r="K1140" s="4" t="n">
        <v>24001</v>
      </c>
      <c r="L1140" s="4" t="n">
        <v>28000</v>
      </c>
      <c r="M1140" s="8" t="n">
        <v>0.14</v>
      </c>
      <c r="N1140" s="4" t="inlineStr">
        <is>
          <t>%</t>
        </is>
      </c>
      <c r="O1140" s="3" t="inlineStr">
        <is>
          <t>ГИНАП, Армения</t>
        </is>
      </c>
      <c r="P1140" s="3" t="inlineStr">
        <is>
          <t>F26</t>
        </is>
      </c>
      <c t="str" r="Q1140" s="6">
        <f>A1140&amp;"|"&amp;C1140&amp;"|"&amp;D1140&amp;"|"&amp;G1140</f>
        <v>Гинап, Армения|Шкала|Сервис (ЗЧ)|1</v>
      </c>
      <c t="str" r="R1140" s="6">
        <f>A1140&amp;"|"&amp;C1140&amp;"|"&amp;D1140&amp;"|"&amp;J1140</f>
        <v>Гинап, Армения|Шкала|Сервис (ЗЧ)|4</v>
      </c>
      <c t="str" r="S1140" s="6">
        <f>A1140&amp;"|"&amp;C1140&amp;"|"&amp;D1140&amp;"|"&amp;G1140&amp;"|"&amp;J1140</f>
        <v>Гинап, Армения|Шкала|Сервис (ЗЧ)|1|4</v>
      </c>
      <c t="str" r="T1140" s="6">
        <f>A1140&amp;"|"&amp;C1140&amp;"|"&amp;G1140</f>
        <v>Гинап, Армения|Шкала|1</v>
      </c>
      <c t="str" r="U1140" s="6">
        <f>IF(H1140="да",A1140&amp;"|"&amp;C1140&amp;"|"&amp;D1140&amp;"|"&amp;J1140,"")</f>
        <v>Гинап, Армения|Шкала|Сервис (ЗЧ)|4</v>
      </c>
      <c t="str" r="V1140" s="6">
        <f>IF(C1140="План",A1140&amp;"|"&amp;J1140,"")</f>
        <v/>
      </c>
    </row>
    <row r="1141">
      <c r="A1141" s="3" t="inlineStr">
        <is>
          <t>Гинап, Армения</t>
        </is>
      </c>
      <c r="B1141" s="3" t="inlineStr">
        <is>
          <t>Заруб</t>
        </is>
      </c>
      <c r="C1141" s="3" t="inlineStr">
        <is>
          <t>Шкала</t>
        </is>
      </c>
      <c r="D1141" s="3" t="inlineStr">
        <is>
          <t>Сервис (ЗЧ)</t>
        </is>
      </c>
      <c r="E1141" s="3" t="inlineStr">
        <is>
          <t>Сервис (ЗЧ) — абсолютные отгрузки за 12 месяцев</t>
        </is>
      </c>
      <c r="F1141" s="3" t="inlineStr">
        <is>
          <t>Скидка по сервису</t>
        </is>
      </c>
      <c r="G1141" s="4" t="n">
        <v>1</v>
      </c>
      <c r="H1141" s="4" t="inlineStr">
        <is>
          <t>да</t>
        </is>
      </c>
      <c r="I1141" s="3" t="inlineStr">
        <is>
          <t>28001–40000</t>
        </is>
      </c>
      <c r="J1141" s="4" t="n">
        <v>5</v>
      </c>
      <c r="K1141" s="4" t="n">
        <v>28001</v>
      </c>
      <c r="L1141" s="4" t="n">
        <v>40000</v>
      </c>
      <c r="M1141" s="8" t="n">
        <v>0.15</v>
      </c>
      <c r="N1141" s="4" t="inlineStr">
        <is>
          <t>%</t>
        </is>
      </c>
      <c r="O1141" s="3" t="inlineStr">
        <is>
          <t>ГИНАП, Армения</t>
        </is>
      </c>
      <c r="P1141" s="3" t="inlineStr">
        <is>
          <t>F27</t>
        </is>
      </c>
      <c t="str" r="Q1141" s="6">
        <f>A1141&amp;"|"&amp;C1141&amp;"|"&amp;D1141&amp;"|"&amp;G1141</f>
        <v>Гинап, Армения|Шкала|Сервис (ЗЧ)|1</v>
      </c>
      <c t="str" r="R1141" s="6">
        <f>A1141&amp;"|"&amp;C1141&amp;"|"&amp;D1141&amp;"|"&amp;J1141</f>
        <v>Гинап, Армения|Шкала|Сервис (ЗЧ)|5</v>
      </c>
      <c t="str" r="S1141" s="6">
        <f>A1141&amp;"|"&amp;C1141&amp;"|"&amp;D1141&amp;"|"&amp;G1141&amp;"|"&amp;J1141</f>
        <v>Гинап, Армения|Шкала|Сервис (ЗЧ)|1|5</v>
      </c>
      <c t="str" r="T1141" s="6">
        <f>A1141&amp;"|"&amp;C1141&amp;"|"&amp;G1141</f>
        <v>Гинап, Армения|Шкала|1</v>
      </c>
      <c t="str" r="U1141" s="6">
        <f>IF(H1141="да",A1141&amp;"|"&amp;C1141&amp;"|"&amp;D1141&amp;"|"&amp;J1141,"")</f>
        <v>Гинап, Армения|Шкала|Сервис (ЗЧ)|5</v>
      </c>
      <c t="str" r="V1141" s="6">
        <f>IF(C1141="План",A1141&amp;"|"&amp;J1141,"")</f>
        <v/>
      </c>
    </row>
    <row r="1142">
      <c r="A1142" s="3" t="inlineStr">
        <is>
          <t>Гинап, Армения</t>
        </is>
      </c>
      <c r="B1142" s="3" t="inlineStr">
        <is>
          <t>Заруб</t>
        </is>
      </c>
      <c r="C1142" s="3" t="inlineStr">
        <is>
          <t>Шкала</t>
        </is>
      </c>
      <c r="D1142" s="3" t="inlineStr">
        <is>
          <t>Сервис (ЗЧ)</t>
        </is>
      </c>
      <c r="E1142" s="3" t="inlineStr">
        <is>
          <t>Сервис (ЗЧ) — абсолютные отгрузки за 12 месяцев</t>
        </is>
      </c>
      <c r="F1142" s="3" t="inlineStr">
        <is>
          <t>Скидка по сервису</t>
        </is>
      </c>
      <c r="G1142" s="4" t="n">
        <v>1</v>
      </c>
      <c r="H1142" s="4" t="inlineStr">
        <is>
          <t>да</t>
        </is>
      </c>
      <c r="I1142" s="3" t="inlineStr">
        <is>
          <t>40001–48000</t>
        </is>
      </c>
      <c r="J1142" s="4" t="n">
        <v>6</v>
      </c>
      <c r="K1142" s="4" t="n">
        <v>40001</v>
      </c>
      <c r="L1142" s="4" t="n">
        <v>48000</v>
      </c>
      <c r="M1142" s="8" t="n">
        <v>0.16</v>
      </c>
      <c r="N1142" s="4" t="inlineStr">
        <is>
          <t>%</t>
        </is>
      </c>
      <c r="O1142" s="3" t="inlineStr">
        <is>
          <t>ГИНАП, Армения</t>
        </is>
      </c>
      <c r="P1142" s="3" t="inlineStr">
        <is>
          <t>F28</t>
        </is>
      </c>
      <c t="str" r="Q1142" s="6">
        <f>A1142&amp;"|"&amp;C1142&amp;"|"&amp;D1142&amp;"|"&amp;G1142</f>
        <v>Гинап, Армения|Шкала|Сервис (ЗЧ)|1</v>
      </c>
      <c t="str" r="R1142" s="6">
        <f>A1142&amp;"|"&amp;C1142&amp;"|"&amp;D1142&amp;"|"&amp;J1142</f>
        <v>Гинап, Армения|Шкала|Сервис (ЗЧ)|6</v>
      </c>
      <c t="str" r="S1142" s="6">
        <f>A1142&amp;"|"&amp;C1142&amp;"|"&amp;D1142&amp;"|"&amp;G1142&amp;"|"&amp;J1142</f>
        <v>Гинап, Армения|Шкала|Сервис (ЗЧ)|1|6</v>
      </c>
      <c t="str" r="T1142" s="6">
        <f>A1142&amp;"|"&amp;C1142&amp;"|"&amp;G1142</f>
        <v>Гинап, Армения|Шкала|1</v>
      </c>
      <c t="str" r="U1142" s="6">
        <f>IF(H1142="да",A1142&amp;"|"&amp;C1142&amp;"|"&amp;D1142&amp;"|"&amp;J1142,"")</f>
        <v>Гинап, Армения|Шкала|Сервис (ЗЧ)|6</v>
      </c>
      <c t="str" r="V1142" s="6">
        <f>IF(C1142="План",A1142&amp;"|"&amp;J1142,"")</f>
        <v/>
      </c>
    </row>
    <row r="1143">
      <c r="A1143" s="3" t="inlineStr">
        <is>
          <t>Гинап, Армения</t>
        </is>
      </c>
      <c r="B1143" s="3" t="inlineStr">
        <is>
          <t>Заруб</t>
        </is>
      </c>
      <c r="C1143" s="3" t="inlineStr">
        <is>
          <t>Шкала</t>
        </is>
      </c>
      <c r="D1143" s="3" t="inlineStr">
        <is>
          <t>Сервис (ЗЧ)</t>
        </is>
      </c>
      <c r="E1143" s="3" t="inlineStr">
        <is>
          <t>Сервис (ЗЧ) — абсолютные отгрузки за 12 месяцев</t>
        </is>
      </c>
      <c r="F1143" s="3" t="inlineStr">
        <is>
          <t>Скидка по сервису</t>
        </is>
      </c>
      <c r="G1143" s="4" t="n">
        <v>1</v>
      </c>
      <c r="H1143" s="4" t="inlineStr">
        <is>
          <t>да</t>
        </is>
      </c>
      <c r="I1143" s="3" t="inlineStr">
        <is>
          <t>48001–60000</t>
        </is>
      </c>
      <c r="J1143" s="4" t="n">
        <v>7</v>
      </c>
      <c r="K1143" s="4" t="n">
        <v>48001</v>
      </c>
      <c r="L1143" s="4" t="n">
        <v>60000</v>
      </c>
      <c r="M1143" s="8" t="n">
        <v>0.17</v>
      </c>
      <c r="N1143" s="4" t="inlineStr">
        <is>
          <t>%</t>
        </is>
      </c>
      <c r="O1143" s="3" t="inlineStr">
        <is>
          <t>ГИНАП, Армения</t>
        </is>
      </c>
      <c r="P1143" s="3" t="inlineStr">
        <is>
          <t>F29</t>
        </is>
      </c>
      <c t="str" r="Q1143" s="6">
        <f>A1143&amp;"|"&amp;C1143&amp;"|"&amp;D1143&amp;"|"&amp;G1143</f>
        <v>Гинап, Армения|Шкала|Сервис (ЗЧ)|1</v>
      </c>
      <c t="str" r="R1143" s="6">
        <f>A1143&amp;"|"&amp;C1143&amp;"|"&amp;D1143&amp;"|"&amp;J1143</f>
        <v>Гинап, Армения|Шкала|Сервис (ЗЧ)|7</v>
      </c>
      <c t="str" r="S1143" s="6">
        <f>A1143&amp;"|"&amp;C1143&amp;"|"&amp;D1143&amp;"|"&amp;G1143&amp;"|"&amp;J1143</f>
        <v>Гинап, Армения|Шкала|Сервис (ЗЧ)|1|7</v>
      </c>
      <c t="str" r="T1143" s="6">
        <f>A1143&amp;"|"&amp;C1143&amp;"|"&amp;G1143</f>
        <v>Гинап, Армения|Шкала|1</v>
      </c>
      <c t="str" r="U1143" s="6">
        <f>IF(H1143="да",A1143&amp;"|"&amp;C1143&amp;"|"&amp;D1143&amp;"|"&amp;J1143,"")</f>
        <v>Гинап, Армения|Шкала|Сервис (ЗЧ)|7</v>
      </c>
      <c t="str" r="V1143" s="6">
        <f>IF(C1143="План",A1143&amp;"|"&amp;J1143,"")</f>
        <v/>
      </c>
    </row>
    <row r="1144">
      <c r="A1144" s="3" t="inlineStr">
        <is>
          <t>Гинап, Армения</t>
        </is>
      </c>
      <c r="B1144" s="3" t="inlineStr">
        <is>
          <t>Заруб</t>
        </is>
      </c>
      <c r="C1144" s="3" t="inlineStr">
        <is>
          <t>Шкала</t>
        </is>
      </c>
      <c r="D1144" s="3" t="inlineStr">
        <is>
          <t>Сервис (ЗЧ)</t>
        </is>
      </c>
      <c r="E1144" s="3" t="inlineStr">
        <is>
          <t>Сервис (ЗЧ) — абсолютные отгрузки за 12 месяцев</t>
        </is>
      </c>
      <c r="F1144" s="3" t="inlineStr">
        <is>
          <t>Скидка по сервису</t>
        </is>
      </c>
      <c r="G1144" s="4" t="n">
        <v>1</v>
      </c>
      <c r="H1144" s="4" t="inlineStr">
        <is>
          <t>да</t>
        </is>
      </c>
      <c r="I1144" s="3" t="inlineStr">
        <is>
          <t>60001–75000</t>
        </is>
      </c>
      <c r="J1144" s="4" t="n">
        <v>8</v>
      </c>
      <c r="K1144" s="4" t="n">
        <v>60001</v>
      </c>
      <c r="L1144" s="4" t="n">
        <v>75000</v>
      </c>
      <c r="M1144" s="8" t="n">
        <v>0.18</v>
      </c>
      <c r="N1144" s="4" t="inlineStr">
        <is>
          <t>%</t>
        </is>
      </c>
      <c r="O1144" s="3" t="inlineStr">
        <is>
          <t>ГИНАП, Армения</t>
        </is>
      </c>
      <c r="P1144" s="3" t="inlineStr">
        <is>
          <t>F30</t>
        </is>
      </c>
      <c t="str" r="Q1144" s="6">
        <f>A1144&amp;"|"&amp;C1144&amp;"|"&amp;D1144&amp;"|"&amp;G1144</f>
        <v>Гинап, Армения|Шкала|Сервис (ЗЧ)|1</v>
      </c>
      <c t="str" r="R1144" s="6">
        <f>A1144&amp;"|"&amp;C1144&amp;"|"&amp;D1144&amp;"|"&amp;J1144</f>
        <v>Гинап, Армения|Шкала|Сервис (ЗЧ)|8</v>
      </c>
      <c t="str" r="S1144" s="6">
        <f>A1144&amp;"|"&amp;C1144&amp;"|"&amp;D1144&amp;"|"&amp;G1144&amp;"|"&amp;J1144</f>
        <v>Гинап, Армения|Шкала|Сервис (ЗЧ)|1|8</v>
      </c>
      <c t="str" r="T1144" s="6">
        <f>A1144&amp;"|"&amp;C1144&amp;"|"&amp;G1144</f>
        <v>Гинап, Армения|Шкала|1</v>
      </c>
      <c t="str" r="U1144" s="6">
        <f>IF(H1144="да",A1144&amp;"|"&amp;C1144&amp;"|"&amp;D1144&amp;"|"&amp;J1144,"")</f>
        <v>Гинап, Армения|Шкала|Сервис (ЗЧ)|8</v>
      </c>
      <c t="str" r="V1144" s="6">
        <f>IF(C1144="План",A1144&amp;"|"&amp;J1144,"")</f>
        <v/>
      </c>
    </row>
    <row r="1145">
      <c r="A1145" s="3" t="inlineStr">
        <is>
          <t>Гинап, Армения</t>
        </is>
      </c>
      <c r="B1145" s="3" t="inlineStr">
        <is>
          <t>Заруб</t>
        </is>
      </c>
      <c r="C1145" s="3" t="inlineStr">
        <is>
          <t>Шкала</t>
        </is>
      </c>
      <c r="D1145" s="3" t="inlineStr">
        <is>
          <t>Сервис (ЗЧ)</t>
        </is>
      </c>
      <c r="E1145" s="3" t="inlineStr">
        <is>
          <t>Сервис (ЗЧ) — абсолютные отгрузки за 12 месяцев</t>
        </is>
      </c>
      <c r="F1145" s="3" t="inlineStr">
        <is>
          <t>Скидка по сервису</t>
        </is>
      </c>
      <c r="G1145" s="4" t="n">
        <v>1</v>
      </c>
      <c r="H1145" s="4" t="inlineStr">
        <is>
          <t>да</t>
        </is>
      </c>
      <c r="I1145" s="3" t="inlineStr">
        <is>
          <t>75001–90000</t>
        </is>
      </c>
      <c r="J1145" s="4" t="n">
        <v>9</v>
      </c>
      <c r="K1145" s="4" t="n">
        <v>75001</v>
      </c>
      <c r="L1145" s="4" t="n">
        <v>90000</v>
      </c>
      <c r="M1145" s="8" t="n">
        <v>0.19</v>
      </c>
      <c r="N1145" s="4" t="inlineStr">
        <is>
          <t>%</t>
        </is>
      </c>
      <c r="O1145" s="3" t="inlineStr">
        <is>
          <t>ГИНАП, Армения</t>
        </is>
      </c>
      <c r="P1145" s="3" t="inlineStr">
        <is>
          <t>F31</t>
        </is>
      </c>
      <c t="str" r="Q1145" s="6">
        <f>A1145&amp;"|"&amp;C1145&amp;"|"&amp;D1145&amp;"|"&amp;G1145</f>
        <v>Гинап, Армения|Шкала|Сервис (ЗЧ)|1</v>
      </c>
      <c t="str" r="R1145" s="6">
        <f>A1145&amp;"|"&amp;C1145&amp;"|"&amp;D1145&amp;"|"&amp;J1145</f>
        <v>Гинап, Армения|Шкала|Сервис (ЗЧ)|9</v>
      </c>
      <c t="str" r="S1145" s="6">
        <f>A1145&amp;"|"&amp;C1145&amp;"|"&amp;D1145&amp;"|"&amp;G1145&amp;"|"&amp;J1145</f>
        <v>Гинап, Армения|Шкала|Сервис (ЗЧ)|1|9</v>
      </c>
      <c t="str" r="T1145" s="6">
        <f>A1145&amp;"|"&amp;C1145&amp;"|"&amp;G1145</f>
        <v>Гинап, Армения|Шкала|1</v>
      </c>
      <c t="str" r="U1145" s="6">
        <f>IF(H1145="да",A1145&amp;"|"&amp;C1145&amp;"|"&amp;D1145&amp;"|"&amp;J1145,"")</f>
        <v>Гинап, Армения|Шкала|Сервис (ЗЧ)|9</v>
      </c>
      <c t="str" r="V1145" s="6">
        <f>IF(C1145="План",A1145&amp;"|"&amp;J1145,"")</f>
        <v/>
      </c>
    </row>
    <row r="1146">
      <c r="A1146" s="3" t="inlineStr">
        <is>
          <t>Гинап, Армения</t>
        </is>
      </c>
      <c r="B1146" s="3" t="inlineStr">
        <is>
          <t>Заруб</t>
        </is>
      </c>
      <c r="C1146" s="3" t="inlineStr">
        <is>
          <t>Шкала</t>
        </is>
      </c>
      <c r="D1146" s="3" t="inlineStr">
        <is>
          <t>Сервис (ЗЧ)</t>
        </is>
      </c>
      <c r="E1146" s="3" t="inlineStr">
        <is>
          <t>Сервис (ЗЧ) — абсолютные отгрузки за 12 месяцев</t>
        </is>
      </c>
      <c r="F1146" s="3" t="inlineStr">
        <is>
          <t>Скидка по сервису</t>
        </is>
      </c>
      <c r="G1146" s="4" t="n">
        <v>1</v>
      </c>
      <c r="H1146" s="4" t="inlineStr">
        <is>
          <t>да</t>
        </is>
      </c>
      <c r="I1146" s="3" t="inlineStr">
        <is>
          <t>90001–105000</t>
        </is>
      </c>
      <c r="J1146" s="4" t="n">
        <v>10</v>
      </c>
      <c r="K1146" s="4" t="n">
        <v>90001</v>
      </c>
      <c r="L1146" s="4" t="n">
        <v>105000</v>
      </c>
      <c r="M1146" s="8" t="n">
        <v>0.2</v>
      </c>
      <c r="N1146" s="4" t="inlineStr">
        <is>
          <t>%</t>
        </is>
      </c>
      <c r="O1146" s="3" t="inlineStr">
        <is>
          <t>ГИНАП, Армения</t>
        </is>
      </c>
      <c r="P1146" s="3" t="inlineStr">
        <is>
          <t>F32</t>
        </is>
      </c>
      <c t="str" r="Q1146" s="6">
        <f>A1146&amp;"|"&amp;C1146&amp;"|"&amp;D1146&amp;"|"&amp;G1146</f>
        <v>Гинап, Армения|Шкала|Сервис (ЗЧ)|1</v>
      </c>
      <c t="str" r="R1146" s="6">
        <f>A1146&amp;"|"&amp;C1146&amp;"|"&amp;D1146&amp;"|"&amp;J1146</f>
        <v>Гинап, Армения|Шкала|Сервис (ЗЧ)|10</v>
      </c>
      <c t="str" r="S1146" s="6">
        <f>A1146&amp;"|"&amp;C1146&amp;"|"&amp;D1146&amp;"|"&amp;G1146&amp;"|"&amp;J1146</f>
        <v>Гинап, Армения|Шкала|Сервис (ЗЧ)|1|10</v>
      </c>
      <c t="str" r="T1146" s="6">
        <f>A1146&amp;"|"&amp;C1146&amp;"|"&amp;G1146</f>
        <v>Гинап, Армения|Шкала|1</v>
      </c>
      <c t="str" r="U1146" s="6">
        <f>IF(H1146="да",A1146&amp;"|"&amp;C1146&amp;"|"&amp;D1146&amp;"|"&amp;J1146,"")</f>
        <v>Гинап, Армения|Шкала|Сервис (ЗЧ)|10</v>
      </c>
      <c t="str" r="V1146" s="6">
        <f>IF(C1146="План",A1146&amp;"|"&amp;J1146,"")</f>
        <v/>
      </c>
    </row>
    <row r="1147">
      <c r="A1147" s="3" t="inlineStr">
        <is>
          <t>Гинап, Армения</t>
        </is>
      </c>
      <c r="B1147" s="3" t="inlineStr">
        <is>
          <t>Заруб</t>
        </is>
      </c>
      <c r="C1147" s="3" t="inlineStr">
        <is>
          <t>Шкала</t>
        </is>
      </c>
      <c r="D1147" s="3" t="inlineStr">
        <is>
          <t>Сервис (ЗЧ)</t>
        </is>
      </c>
      <c r="E1147" s="3" t="inlineStr">
        <is>
          <t>Сервис (ЗЧ) — абсолютные отгрузки за 12 месяцев</t>
        </is>
      </c>
      <c r="F1147" s="3" t="inlineStr">
        <is>
          <t>Скидка по сервису</t>
        </is>
      </c>
      <c r="G1147" s="4" t="n">
        <v>1</v>
      </c>
      <c r="H1147" s="4" t="inlineStr">
        <is>
          <t>да</t>
        </is>
      </c>
      <c r="I1147" s="3" t="inlineStr">
        <is>
          <t>105001–115000</t>
        </is>
      </c>
      <c r="J1147" s="4" t="n">
        <v>11</v>
      </c>
      <c r="K1147" s="4" t="n">
        <v>105001</v>
      </c>
      <c r="L1147" s="4" t="n">
        <v>115000</v>
      </c>
      <c r="M1147" s="8" t="n">
        <v>0.21</v>
      </c>
      <c r="N1147" s="4" t="inlineStr">
        <is>
          <t>%</t>
        </is>
      </c>
      <c r="O1147" s="3" t="inlineStr">
        <is>
          <t>ГИНАП, Армения</t>
        </is>
      </c>
      <c r="P1147" s="3" t="inlineStr">
        <is>
          <t>F33</t>
        </is>
      </c>
      <c t="str" r="Q1147" s="6">
        <f>A1147&amp;"|"&amp;C1147&amp;"|"&amp;D1147&amp;"|"&amp;G1147</f>
        <v>Гинап, Армения|Шкала|Сервис (ЗЧ)|1</v>
      </c>
      <c t="str" r="R1147" s="6">
        <f>A1147&amp;"|"&amp;C1147&amp;"|"&amp;D1147&amp;"|"&amp;J1147</f>
        <v>Гинап, Армения|Шкала|Сервис (ЗЧ)|11</v>
      </c>
      <c t="str" r="S1147" s="6">
        <f>A1147&amp;"|"&amp;C1147&amp;"|"&amp;D1147&amp;"|"&amp;G1147&amp;"|"&amp;J1147</f>
        <v>Гинап, Армения|Шкала|Сервис (ЗЧ)|1|11</v>
      </c>
      <c t="str" r="T1147" s="6">
        <f>A1147&amp;"|"&amp;C1147&amp;"|"&amp;G1147</f>
        <v>Гинап, Армения|Шкала|1</v>
      </c>
      <c t="str" r="U1147" s="6">
        <f>IF(H1147="да",A1147&amp;"|"&amp;C1147&amp;"|"&amp;D1147&amp;"|"&amp;J1147,"")</f>
        <v>Гинап, Армения|Шкала|Сервис (ЗЧ)|11</v>
      </c>
      <c t="str" r="V1147" s="6">
        <f>IF(C1147="План",A1147&amp;"|"&amp;J1147,"")</f>
        <v/>
      </c>
    </row>
    <row r="1148">
      <c r="A1148" s="3" t="inlineStr">
        <is>
          <t>Гинап, Армения</t>
        </is>
      </c>
      <c r="B1148" s="3" t="inlineStr">
        <is>
          <t>Заруб</t>
        </is>
      </c>
      <c r="C1148" s="3" t="inlineStr">
        <is>
          <t>Шкала</t>
        </is>
      </c>
      <c r="D1148" s="3" t="inlineStr">
        <is>
          <t>Сервис (ЗЧ)</t>
        </is>
      </c>
      <c r="E1148" s="3" t="inlineStr">
        <is>
          <t>Сервис (ЗЧ) — абсолютные отгрузки за 12 месяцев</t>
        </is>
      </c>
      <c r="F1148" s="3" t="inlineStr">
        <is>
          <t>Скидка по сервису</t>
        </is>
      </c>
      <c r="G1148" s="4" t="n">
        <v>1</v>
      </c>
      <c r="H1148" s="4" t="inlineStr">
        <is>
          <t>да</t>
        </is>
      </c>
      <c r="I1148" s="3" t="inlineStr">
        <is>
          <t>115001+</t>
        </is>
      </c>
      <c r="J1148" s="4" t="n">
        <v>12</v>
      </c>
      <c r="K1148" s="4" t="n">
        <v>115001</v>
      </c>
      <c r="L1148" s="4" t="n">
        <v>0</v>
      </c>
      <c r="M1148" s="8" t="n">
        <v>0.22</v>
      </c>
      <c r="N1148" s="4" t="inlineStr">
        <is>
          <t>%</t>
        </is>
      </c>
      <c r="O1148" s="3" t="inlineStr">
        <is>
          <t>ГИНАП, Армения</t>
        </is>
      </c>
      <c r="P1148" s="3" t="inlineStr">
        <is>
          <t>F34</t>
        </is>
      </c>
      <c t="str" r="Q1148" s="6">
        <f>A1148&amp;"|"&amp;C1148&amp;"|"&amp;D1148&amp;"|"&amp;G1148</f>
        <v>Гинап, Армения|Шкала|Сервис (ЗЧ)|1</v>
      </c>
      <c t="str" r="R1148" s="6">
        <f>A1148&amp;"|"&amp;C1148&amp;"|"&amp;D1148&amp;"|"&amp;J1148</f>
        <v>Гинап, Армения|Шкала|Сервис (ЗЧ)|12</v>
      </c>
      <c t="str" r="S1148" s="6">
        <f>A1148&amp;"|"&amp;C1148&amp;"|"&amp;D1148&amp;"|"&amp;G1148&amp;"|"&amp;J1148</f>
        <v>Гинап, Армения|Шкала|Сервис (ЗЧ)|1|12</v>
      </c>
      <c t="str" r="T1148" s="6">
        <f>A1148&amp;"|"&amp;C1148&amp;"|"&amp;G1148</f>
        <v>Гинап, Армения|Шкала|1</v>
      </c>
      <c t="str" r="U1148" s="6">
        <f>IF(H1148="да",A1148&amp;"|"&amp;C1148&amp;"|"&amp;D1148&amp;"|"&amp;J1148,"")</f>
        <v>Гинап, Армения|Шкала|Сервис (ЗЧ)|12</v>
      </c>
      <c t="str" r="V1148" s="6">
        <f>IF(C1148="План",A1148&amp;"|"&amp;J1148,"")</f>
        <v/>
      </c>
    </row>
  </sheetData>
  <autoFilter ref="A1:P114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5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hidden="1" outlineLevel="1" width="13" customWidth="1" min="22" max="24"/>
  </cols>
  <sheetData>
    <row r="1" ht="20" customHeight="1">
      <c r="A1" s="9" t="inlineStr">
        <is>
          <t>### ВИТРИНА • здесь всё считается формулами из листа «Шкалы». Править нужно там — витрина обновится сама. Лист справочный: калькулятор его не читает.</t>
        </is>
      </c>
    </row>
    <row r="2">
      <c r="A2" s="10" t="inlineStr">
        <is>
          <t>Выберите дилера в ячейке B4 — ниже появятся его план и бонусы, шкала оборудования, расходных материалов и сервиса. В конце листа — сравнение всех дилеров по строке ИТОГО.</t>
        </is>
      </c>
    </row>
    <row r="3">
      <c r="W3" s="11" t="inlineStr">
        <is>
          <t>Список дилеров — служебный: источник выпадающего списка в B4, пересобирается скриптом</t>
        </is>
      </c>
    </row>
    <row r="4" ht="20" customHeight="1">
      <c r="A4" s="12" t="inlineStr">
        <is>
          <t>Дилер:</t>
        </is>
      </c>
      <c r="B4" s="13" t="inlineStr">
        <is>
          <t>КОМПО Технолоджис</t>
        </is>
      </c>
      <c r="E4" s="12" t="inlineStr">
        <is>
          <t>Тип:</t>
        </is>
      </c>
      <c t="str" r="F4" s="13">
        <f>IFERROR(INDEX('Шкалы'!$B:$B,MATCH($B$4,'Шкалы'!$A:$A,0)),"")</f>
        <v>РФ</v>
      </c>
      <c r="G4" s="12" t="inlineStr">
        <is>
          <t>Отчётность:</t>
        </is>
      </c>
      <c t="str" r="H4" s="13">
        <f>IF($F$4="РФ","за квартал","за полугодие")</f>
        <v>за квартал</v>
      </c>
      <c r="I4" s="12" t="inlineStr">
        <is>
          <t>Сервис (ЗЧ):</t>
        </is>
      </c>
      <c t="str" r="J4" s="13">
        <f>IFERROR(INDEX('Шкалы'!$E:$E,MATCH($B$4&amp;"|"&amp;"Шкала"&amp;"|"&amp;"Сервис (ЗЧ)"&amp;"|"&amp;1&amp;"|"&amp;1,'Шкалы'!$S:$S,0)),"")</f>
        <v>Сервис (ЗЧ) — расчёт по парку оборудования</v>
      </c>
      <c r="W4" s="14" t="inlineStr">
        <is>
          <t>КОМПО Технолоджис</t>
        </is>
      </c>
    </row>
    <row r="5">
      <c r="W5" s="14" t="inlineStr">
        <is>
          <t>НоваПак</t>
        </is>
      </c>
    </row>
    <row r="6" ht="18" customHeight="1">
      <c r="A6" s="15" t="inlineStr">
        <is>
          <t>ПЛАН И БОНУСЫ</t>
        </is>
      </c>
      <c r="W6" s="14" t="inlineStr">
        <is>
          <t>КСП (КОМПО-СП)</t>
        </is>
      </c>
    </row>
    <row r="7">
      <c r="A7" s="16" t="inlineStr">
        <is>
          <t>Категория</t>
        </is>
      </c>
      <c t="str" r="B7" s="17">
        <f>IFERROR(INDEX('Шкалы'!$F:$F,MATCH($B$4&amp;"|"&amp;1,'Шкалы'!$V:$V,0)),"")</f>
        <v>Выручка 2024</v>
      </c>
      <c t="str" r="C7" s="17">
        <f>IFERROR(INDEX('Шкалы'!$F:$F,MATCH($B$4&amp;"|"&amp;2,'Шкалы'!$V:$V,0)),"")</f>
        <v>Выручка 2025</v>
      </c>
      <c t="str" r="D7" s="17">
        <f>IFERROR(INDEX('Шкалы'!$F:$F,MATCH($B$4&amp;"|"&amp;3,'Шкалы'!$V:$V,0)),"")</f>
        <v>План 2026</v>
      </c>
      <c t="str" r="E7" s="17">
        <f>IFERROR(INDEX('Шкалы'!$F:$F,MATCH($B$4&amp;"|"&amp;4,'Шкалы'!$V:$V,0)),"")</f>
        <v>Прирост П/Ф</v>
      </c>
      <c t="str" r="F7" s="17">
        <f>IFERROR(INDEX('Шкалы'!$F:$F,MATCH($B$4&amp;"|"&amp;5,'Шкалы'!$V:$V,0)),"")</f>
        <v>Размер бонуса по итогам 2026 г</v>
      </c>
      <c t="str" r="G7" s="17">
        <f>IFERROR(INDEX('Шкалы'!$F:$F,MATCH($B$4&amp;"|"&amp;6,'Шкалы'!$V:$V,0)),"")</f>
        <v>Скидка в 1 кв. 2026 ф.г.*</v>
      </c>
      <c r="W7" s="14" t="inlineStr">
        <is>
          <t>Богатовъ Торговый Дом, Челябинск</t>
        </is>
      </c>
    </row>
    <row r="8">
      <c t="str" r="A8" s="18">
        <f>IFERROR(INDEX('Шкалы'!$D:$D,MATCH($B$4&amp;"|"&amp;"План"&amp;"|"&amp;1,'Шкалы'!$T:$T,0)),"")</f>
        <v>Итого по дилеру</v>
      </c>
      <c r="B8" s="19">
        <f>IFERROR(INDEX('Шкалы'!$M:$M,MATCH($B$4&amp;"|"&amp;"План"&amp;"|"&amp;$A8&amp;"|"&amp;1&amp;"|"&amp;1,'Шкалы'!$S:$S,0)),"")</f>
        <v>4164812.0</v>
      </c>
      <c r="C8" s="19">
        <f>IFERROR(INDEX('Шкалы'!$M:$M,MATCH($B$4&amp;"|"&amp;"План"&amp;"|"&amp;$A8&amp;"|"&amp;1&amp;"|"&amp;2,'Шкалы'!$S:$S,0)),"")</f>
        <v>4121760.0</v>
      </c>
      <c r="D8" s="19">
        <f>IFERROR(INDEX('Шкалы'!$M:$M,MATCH($B$4&amp;"|"&amp;"План"&amp;"|"&amp;$A8&amp;"|"&amp;1&amp;"|"&amp;3,'Шкалы'!$S:$S,0)),"")</f>
        <v>4142911.99</v>
      </c>
      <c r="E8" s="20">
        <f>IFERROR(INDEX('Шкалы'!$M:$M,MATCH($B$4&amp;"|"&amp;"План"&amp;"|"&amp;$A8&amp;"|"&amp;1&amp;"|"&amp;4,'Шкалы'!$S:$S,0)),"")</f>
        <v>0.005131785936105082</v>
      </c>
      <c t="str" r="F8" s="21">
        <f>IFERROR(INDEX('Шкалы'!$M:$M,MATCH($B$4&amp;"|"&amp;"План"&amp;"|"&amp;$A8&amp;"|"&amp;1&amp;"|"&amp;5,'Шкалы'!$S:$S,0)),"")</f>
        <v/>
      </c>
      <c t="str" r="G8" s="21">
        <f>IFERROR(INDEX('Шкалы'!$M:$M,MATCH($B$4&amp;"|"&amp;"План"&amp;"|"&amp;$A8&amp;"|"&amp;1&amp;"|"&amp;6,'Шкалы'!$S:$S,0)),"")</f>
        <v/>
      </c>
      <c r="W8" s="14" t="inlineStr">
        <is>
          <t>ASIAN BUSINESS SOLUTIONS, Узбекистан</t>
        </is>
      </c>
    </row>
    <row r="9">
      <c t="str" r="A9" s="18">
        <f>IFERROR(INDEX('Шкалы'!$D:$D,MATCH($B$4&amp;"|"&amp;"План"&amp;"|"&amp;2,'Шкалы'!$T:$T,0)),"")</f>
        <v>Сервис</v>
      </c>
      <c r="B9" s="19">
        <f>IFERROR(INDEX('Шкалы'!$M:$M,MATCH($B$4&amp;"|"&amp;"План"&amp;"|"&amp;$A9&amp;"|"&amp;2&amp;"|"&amp;1,'Шкалы'!$S:$S,0)),"")</f>
        <v>346883.0</v>
      </c>
      <c r="C9" s="19">
        <f>IFERROR(INDEX('Шкалы'!$M:$M,MATCH($B$4&amp;"|"&amp;"План"&amp;"|"&amp;$A9&amp;"|"&amp;2&amp;"|"&amp;2,'Шкалы'!$S:$S,0)),"")</f>
        <v>448343.0</v>
      </c>
      <c r="D9" s="19">
        <f>IFERROR(INDEX('Шкалы'!$M:$M,MATCH($B$4&amp;"|"&amp;"План"&amp;"|"&amp;$A9&amp;"|"&amp;2&amp;"|"&amp;3,'Шкалы'!$S:$S,0)),"")</f>
        <v>480437.99999999994</v>
      </c>
      <c t="str" r="E9" s="21">
        <f>IFERROR(INDEX('Шкалы'!$M:$M,MATCH($B$4&amp;"|"&amp;"План"&amp;"|"&amp;$A9&amp;"|"&amp;2&amp;"|"&amp;4,'Шкалы'!$S:$S,0)),"")</f>
        <v/>
      </c>
      <c r="F9" s="20">
        <f>IFERROR(INDEX('Шкалы'!$M:$M,MATCH($B$4&amp;"|"&amp;"План"&amp;"|"&amp;$A9&amp;"|"&amp;2&amp;"|"&amp;5,'Шкалы'!$S:$S,0)),"")</f>
        <v>0.01</v>
      </c>
      <c r="G9" s="21">
        <f>IFERROR(INDEX('Шкалы'!$M:$M,MATCH($B$4&amp;"|"&amp;"План"&amp;"|"&amp;$A9&amp;"|"&amp;2&amp;"|"&amp;6,'Шкалы'!$S:$S,0)),"")</f>
        <v>0.3</v>
      </c>
      <c r="W9" s="14" t="inlineStr">
        <is>
          <t>Deling food</t>
        </is>
      </c>
    </row>
    <row r="10">
      <c t="str" r="A10" s="18">
        <f>IFERROR(INDEX('Шкалы'!$D:$D,MATCH($B$4&amp;"|"&amp;"План"&amp;"|"&amp;3,'Шкалы'!$T:$T,0)),"")</f>
        <v>Оборудование</v>
      </c>
      <c r="B10" s="19">
        <f>IFERROR(INDEX('Шкалы'!$M:$M,MATCH($B$4&amp;"|"&amp;"План"&amp;"|"&amp;$A10&amp;"|"&amp;3&amp;"|"&amp;1,'Шкалы'!$S:$S,0)),"")</f>
        <v>2205660.0</v>
      </c>
      <c r="C10" s="19">
        <f>IFERROR(INDEX('Шкалы'!$M:$M,MATCH($B$4&amp;"|"&amp;"План"&amp;"|"&amp;$A10&amp;"|"&amp;3&amp;"|"&amp;2,'Шкалы'!$S:$S,0)),"")</f>
        <v>1710368.0</v>
      </c>
      <c r="D10" s="19">
        <f>IFERROR(INDEX('Шкалы'!$M:$M,MATCH($B$4&amp;"|"&amp;"План"&amp;"|"&amp;$A10&amp;"|"&amp;3&amp;"|"&amp;3,'Шкалы'!$S:$S,0)),"")</f>
        <v>2020593.75</v>
      </c>
      <c t="str" r="E10" s="21">
        <f>IFERROR(INDEX('Шкалы'!$M:$M,MATCH($B$4&amp;"|"&amp;"План"&amp;"|"&amp;$A10&amp;"|"&amp;3&amp;"|"&amp;4,'Шкалы'!$S:$S,0)),"")</f>
        <v/>
      </c>
      <c r="F10" s="20">
        <f>IFERROR(INDEX('Шкалы'!$M:$M,MATCH($B$4&amp;"|"&amp;"План"&amp;"|"&amp;$A10&amp;"|"&amp;3&amp;"|"&amp;5,'Шкалы'!$S:$S,0)),"")</f>
        <v>0.015</v>
      </c>
      <c r="G10" s="21">
        <f>IFERROR(INDEX('Шкалы'!$M:$M,MATCH($B$4&amp;"|"&amp;"План"&amp;"|"&amp;$A10&amp;"|"&amp;3&amp;"|"&amp;6,'Шкалы'!$S:$S,0)),"")</f>
        <v>0.19</v>
      </c>
      <c r="W10" s="14" t="inlineStr">
        <is>
          <t>VitLine, Казахстан</t>
        </is>
      </c>
    </row>
    <row r="11">
      <c t="str" r="A11" s="18">
        <f>IFERROR(INDEX('Шкалы'!$D:$D,MATCH($B$4&amp;"|"&amp;"План"&amp;"|"&amp;4,'Шкалы'!$T:$T,0)),"")</f>
        <v>Расходные материалы</v>
      </c>
      <c r="B11" s="19">
        <f>IFERROR(INDEX('Шкалы'!$M:$M,MATCH($B$4&amp;"|"&amp;"План"&amp;"|"&amp;$A11&amp;"|"&amp;4&amp;"|"&amp;1,'Шкалы'!$S:$S,0)),"")</f>
        <v>1612269.0</v>
      </c>
      <c r="C11" s="19">
        <f>IFERROR(INDEX('Шкалы'!$M:$M,MATCH($B$4&amp;"|"&amp;"План"&amp;"|"&amp;$A11&amp;"|"&amp;4&amp;"|"&amp;2,'Шкалы'!$S:$S,0)),"")</f>
        <v>1963049.0</v>
      </c>
      <c r="D11" s="19">
        <f>IFERROR(INDEX('Шкалы'!$M:$M,MATCH($B$4&amp;"|"&amp;"План"&amp;"|"&amp;$A11&amp;"|"&amp;4&amp;"|"&amp;3,'Шкалы'!$S:$S,0)),"")</f>
        <v>1641880.24</v>
      </c>
      <c t="str" r="E11" s="21">
        <f>IFERROR(INDEX('Шкалы'!$M:$M,MATCH($B$4&amp;"|"&amp;"План"&amp;"|"&amp;$A11&amp;"|"&amp;4&amp;"|"&amp;4,'Шкалы'!$S:$S,0)),"")</f>
        <v/>
      </c>
      <c r="F11" s="20">
        <f>IFERROR(INDEX('Шкалы'!$M:$M,MATCH($B$4&amp;"|"&amp;"План"&amp;"|"&amp;$A11&amp;"|"&amp;4&amp;"|"&amp;5,'Шкалы'!$S:$S,0)),"")</f>
        <v>0.005</v>
      </c>
      <c r="G11" s="21">
        <f>IFERROR(INDEX('Шкалы'!$M:$M,MATCH($B$4&amp;"|"&amp;"План"&amp;"|"&amp;$A11&amp;"|"&amp;4&amp;"|"&amp;6,'Шкалы'!$S:$S,0)),"")</f>
        <v>0.06</v>
      </c>
      <c r="W11" s="14" t="inlineStr">
        <is>
          <t>UNIVERSAL MEAT</t>
        </is>
      </c>
    </row>
    <row r="12">
      <c t="str" r="A12" s="18">
        <f>IFERROR(INDEX('Шкалы'!$D:$D,MATCH($B$4&amp;"|"&amp;"План"&amp;"|"&amp;5,'Шкалы'!$T:$T,0)),"")</f>
        <v/>
      </c>
      <c t="str" r="B12" s="21">
        <f>IFERROR(INDEX('Шкалы'!$M:$M,MATCH($B$4&amp;"|"&amp;"План"&amp;"|"&amp;$A12&amp;"|"&amp;5&amp;"|"&amp;1,'Шкалы'!$S:$S,0)),"")</f>
        <v/>
      </c>
      <c t="str" r="C12" s="21">
        <f>IFERROR(INDEX('Шкалы'!$M:$M,MATCH($B$4&amp;"|"&amp;"План"&amp;"|"&amp;$A12&amp;"|"&amp;5&amp;"|"&amp;2,'Шкалы'!$S:$S,0)),"")</f>
        <v/>
      </c>
      <c t="str" r="D12" s="21">
        <f>IFERROR(INDEX('Шкалы'!$M:$M,MATCH($B$4&amp;"|"&amp;"План"&amp;"|"&amp;$A12&amp;"|"&amp;5&amp;"|"&amp;3,'Шкалы'!$S:$S,0)),"")</f>
        <v/>
      </c>
      <c t="str" r="E12" s="21">
        <f>IFERROR(INDEX('Шкалы'!$M:$M,MATCH($B$4&amp;"|"&amp;"План"&amp;"|"&amp;$A12&amp;"|"&amp;5&amp;"|"&amp;4,'Шкалы'!$S:$S,0)),"")</f>
        <v/>
      </c>
      <c t="str" r="F12" s="21">
        <f>IFERROR(INDEX('Шкалы'!$M:$M,MATCH($B$4&amp;"|"&amp;"План"&amp;"|"&amp;$A12&amp;"|"&amp;5&amp;"|"&amp;5,'Шкалы'!$S:$S,0)),"")</f>
        <v/>
      </c>
      <c t="str" r="G12" s="21">
        <f>IFERROR(INDEX('Шкалы'!$M:$M,MATCH($B$4&amp;"|"&amp;"План"&amp;"|"&amp;$A12&amp;"|"&amp;5&amp;"|"&amp;6,'Шкалы'!$S:$S,0)),"")</f>
        <v/>
      </c>
      <c r="W12" s="14" t="inlineStr">
        <is>
          <t>КОМПО North America Inc</t>
        </is>
      </c>
    </row>
    <row r="13">
      <c r="W13" s="14" t="inlineStr">
        <is>
          <t>LUCKY &amp; S CO, Сербия</t>
        </is>
      </c>
    </row>
    <row r="14" ht="18" customHeight="1">
      <c r="A14" s="15" t="inlineStr">
        <is>
          <t>ОБОРУДОВАНИЕ — шкала скидок</t>
        </is>
      </c>
      <c r="W14" s="14" t="inlineStr">
        <is>
          <t>Сейитлиев Мердан Иламанович, Туркменистан</t>
        </is>
      </c>
    </row>
    <row r="15">
      <c r="A15" s="16" t="inlineStr">
        <is>
          <t>Показатель</t>
        </is>
      </c>
      <c t="str" r="B15" s="17">
        <f>IFERROR(INDEX('Шкалы'!$I:$I,MATCH($B$4&amp;"|"&amp;"Шкала"&amp;"|"&amp;"Оборудование"&amp;"|"&amp;1,'Шкалы'!$R:$R,0)),"")</f>
        <v>до 75</v>
      </c>
      <c t="str" r="C15" s="17">
        <f>IFERROR(INDEX('Шкалы'!$I:$I,MATCH($B$4&amp;"|"&amp;"Шкала"&amp;"|"&amp;"Оборудование"&amp;"|"&amp;2,'Шкалы'!$R:$R,0)),"")</f>
        <v>75-114</v>
      </c>
      <c t="str" r="D15" s="17">
        <f>IFERROR(INDEX('Шкалы'!$I:$I,MATCH($B$4&amp;"|"&amp;"Шкала"&amp;"|"&amp;"Оборудование"&amp;"|"&amp;3,'Шкалы'!$R:$R,0)),"")</f>
        <v>115-149</v>
      </c>
      <c t="str" r="E15" s="17">
        <f>IFERROR(INDEX('Шкалы'!$I:$I,MATCH($B$4&amp;"|"&amp;"Шкала"&amp;"|"&amp;"Оборудование"&amp;"|"&amp;4,'Шкалы'!$R:$R,0)),"")</f>
        <v>150-189</v>
      </c>
      <c t="str" r="F15" s="17">
        <f>IFERROR(INDEX('Шкалы'!$I:$I,MATCH($B$4&amp;"|"&amp;"Шкала"&amp;"|"&amp;"Оборудование"&amp;"|"&amp;5,'Шкалы'!$R:$R,0)),"")</f>
        <v>190-224</v>
      </c>
      <c t="str" r="G15" s="17">
        <f>IFERROR(INDEX('Шкалы'!$I:$I,MATCH($B$4&amp;"|"&amp;"Шкала"&amp;"|"&amp;"Оборудование"&amp;"|"&amp;6,'Шкалы'!$R:$R,0)),"")</f>
        <v>225 и более</v>
      </c>
      <c r="W15" s="14" t="inlineStr">
        <is>
          <t>Ingreda, Молдова</t>
        </is>
      </c>
    </row>
    <row r="16">
      <c t="str" r="A16" s="18">
        <f>IFERROR(INDEX('Шкалы'!$F:$F,MATCH($B$4&amp;"|"&amp;"Шкала"&amp;"|"&amp;"Оборудование"&amp;"|"&amp;1,'Шкалы'!$Q:$Q,0)),"")</f>
        <v>1 Базовое вознаграждение за Дилерский договор</v>
      </c>
      <c r="B16" s="21">
        <f>IFERROR(INDEX('Шкалы'!$M:$M,MATCH($B$4&amp;"|"&amp;"Шкала"&amp;"|"&amp;"Оборудование"&amp;"|"&amp;1&amp;"|"&amp;1,'Шкалы'!$S:$S,0)),"")</f>
        <v>0.06</v>
      </c>
      <c r="C16" s="21">
        <f>IFERROR(INDEX('Шкалы'!$M:$M,MATCH($B$4&amp;"|"&amp;"Шкала"&amp;"|"&amp;"Оборудование"&amp;"|"&amp;1&amp;"|"&amp;2,'Шкалы'!$S:$S,0)),"")</f>
        <v>0.06</v>
      </c>
      <c r="D16" s="21">
        <f>IFERROR(INDEX('Шкалы'!$M:$M,MATCH($B$4&amp;"|"&amp;"Шкала"&amp;"|"&amp;"Оборудование"&amp;"|"&amp;1&amp;"|"&amp;3,'Шкалы'!$S:$S,0)),"")</f>
        <v>0.06</v>
      </c>
      <c r="E16" s="21">
        <f>IFERROR(INDEX('Шкалы'!$M:$M,MATCH($B$4&amp;"|"&amp;"Шкала"&amp;"|"&amp;"Оборудование"&amp;"|"&amp;1&amp;"|"&amp;4,'Шкалы'!$S:$S,0)),"")</f>
        <v>0.06</v>
      </c>
      <c r="F16" s="21">
        <f>IFERROR(INDEX('Шкалы'!$M:$M,MATCH($B$4&amp;"|"&amp;"Шкала"&amp;"|"&amp;"Оборудование"&amp;"|"&amp;1&amp;"|"&amp;5,'Шкалы'!$S:$S,0)),"")</f>
        <v>0.06</v>
      </c>
      <c r="G16" s="21">
        <f>IFERROR(INDEX('Шкалы'!$M:$M,MATCH($B$4&amp;"|"&amp;"Шкала"&amp;"|"&amp;"Оборудование"&amp;"|"&amp;1&amp;"|"&amp;6,'Шкалы'!$S:$S,0)),"")</f>
        <v>0.06</v>
      </c>
      <c r="W16" s="14" t="inlineStr">
        <is>
          <t>CLIPSOMAC, Алжир</t>
        </is>
      </c>
    </row>
    <row r="17">
      <c t="str" r="A17" s="18">
        <f>IFERROR(INDEX('Шкалы'!$F:$F,MATCH($B$4&amp;"|"&amp;"Шкала"&amp;"|"&amp;"Оборудование"&amp;"|"&amp;2,'Шкалы'!$Q:$Q,0)),"")</f>
        <v>2.1.1. Сервисный центр</v>
      </c>
      <c r="B17" s="21">
        <f>IFERROR(INDEX('Шкалы'!$M:$M,MATCH($B$4&amp;"|"&amp;"Шкала"&amp;"|"&amp;"Оборудование"&amp;"|"&amp;2&amp;"|"&amp;1,'Шкалы'!$S:$S,0)),"")</f>
        <v>0.06</v>
      </c>
      <c r="C17" s="21">
        <f>IFERROR(INDEX('Шкалы'!$M:$M,MATCH($B$4&amp;"|"&amp;"Шкала"&amp;"|"&amp;"Оборудование"&amp;"|"&amp;2&amp;"|"&amp;2,'Шкалы'!$S:$S,0)),"")</f>
        <v>0.06</v>
      </c>
      <c r="D17" s="21">
        <f>IFERROR(INDEX('Шкалы'!$M:$M,MATCH($B$4&amp;"|"&amp;"Шкала"&amp;"|"&amp;"Оборудование"&amp;"|"&amp;2&amp;"|"&amp;3,'Шкалы'!$S:$S,0)),"")</f>
        <v>0.06</v>
      </c>
      <c r="E17" s="21">
        <f>IFERROR(INDEX('Шкалы'!$M:$M,MATCH($B$4&amp;"|"&amp;"Шкала"&amp;"|"&amp;"Оборудование"&amp;"|"&amp;2&amp;"|"&amp;4,'Шкалы'!$S:$S,0)),"")</f>
        <v>0.06</v>
      </c>
      <c r="F17" s="21">
        <f>IFERROR(INDEX('Шкалы'!$M:$M,MATCH($B$4&amp;"|"&amp;"Шкала"&amp;"|"&amp;"Оборудование"&amp;"|"&amp;2&amp;"|"&amp;5,'Шкалы'!$S:$S,0)),"")</f>
        <v>0.06</v>
      </c>
      <c r="G17" s="21">
        <f>IFERROR(INDEX('Шкалы'!$M:$M,MATCH($B$4&amp;"|"&amp;"Шкала"&amp;"|"&amp;"Оборудование"&amp;"|"&amp;2&amp;"|"&amp;6,'Шкалы'!$S:$S,0)),"")</f>
        <v>0.06</v>
      </c>
      <c r="W17" s="14" t="inlineStr">
        <is>
          <t>Tida Tech, Таиланд</t>
        </is>
      </c>
    </row>
    <row r="18">
      <c t="str" r="A18" s="18">
        <f>IFERROR(INDEX('Шкалы'!$F:$F,MATCH($B$4&amp;"|"&amp;"Шкала"&amp;"|"&amp;"Оборудование"&amp;"|"&amp;3,'Шкалы'!$Q:$Q,0)),"")</f>
        <v>2.1.2. Сервисный центр - гарантийное обслуживание</v>
      </c>
      <c r="B18" s="21">
        <f>IFERROR(INDEX('Шкалы'!$M:$M,MATCH($B$4&amp;"|"&amp;"Шкала"&amp;"|"&amp;"Оборудование"&amp;"|"&amp;3&amp;"|"&amp;1,'Шкалы'!$S:$S,0)),"")</f>
        <v>0.01</v>
      </c>
      <c r="C18" s="21">
        <f>IFERROR(INDEX('Шкалы'!$M:$M,MATCH($B$4&amp;"|"&amp;"Шкала"&amp;"|"&amp;"Оборудование"&amp;"|"&amp;3&amp;"|"&amp;2,'Шкалы'!$S:$S,0)),"")</f>
        <v>0.01</v>
      </c>
      <c r="D18" s="21">
        <f>IFERROR(INDEX('Шкалы'!$M:$M,MATCH($B$4&amp;"|"&amp;"Шкала"&amp;"|"&amp;"Оборудование"&amp;"|"&amp;3&amp;"|"&amp;3,'Шкалы'!$S:$S,0)),"")</f>
        <v>0.01</v>
      </c>
      <c r="E18" s="21">
        <f>IFERROR(INDEX('Шкалы'!$M:$M,MATCH($B$4&amp;"|"&amp;"Шкала"&amp;"|"&amp;"Оборудование"&amp;"|"&amp;3&amp;"|"&amp;4,'Шкалы'!$S:$S,0)),"")</f>
        <v>0.01</v>
      </c>
      <c r="F18" s="21">
        <f>IFERROR(INDEX('Шкалы'!$M:$M,MATCH($B$4&amp;"|"&amp;"Шкала"&amp;"|"&amp;"Оборудование"&amp;"|"&amp;3&amp;"|"&amp;5,'Шкалы'!$S:$S,0)),"")</f>
        <v>0.01</v>
      </c>
      <c r="G18" s="21">
        <f>IFERROR(INDEX('Шкалы'!$M:$M,MATCH($B$4&amp;"|"&amp;"Шкала"&amp;"|"&amp;"Оборудование"&amp;"|"&amp;3&amp;"|"&amp;6,'Шкалы'!$S:$S,0)),"")</f>
        <v>0.01</v>
      </c>
      <c r="W18" s="14" t="inlineStr">
        <is>
          <t>Ari Makina, Турция</t>
        </is>
      </c>
    </row>
    <row r="19">
      <c t="str" r="A19" s="18">
        <f>IFERROR(INDEX('Шкалы'!$F:$F,MATCH($B$4&amp;"|"&amp;"Шкала"&amp;"|"&amp;"Оборудование"&amp;"|"&amp;4,'Шкалы'!$Q:$Q,0)),"")</f>
        <v>2.3 Наличие минимальных складских остатков по оборудованию</v>
      </c>
      <c r="B19" s="21">
        <f>IFERROR(INDEX('Шкалы'!$M:$M,MATCH($B$4&amp;"|"&amp;"Шкала"&amp;"|"&amp;"Оборудование"&amp;"|"&amp;4&amp;"|"&amp;1,'Шкалы'!$S:$S,0)),"")</f>
        <v>0.01</v>
      </c>
      <c r="C19" s="21">
        <f>IFERROR(INDEX('Шкалы'!$M:$M,MATCH($B$4&amp;"|"&amp;"Шкала"&amp;"|"&amp;"Оборудование"&amp;"|"&amp;4&amp;"|"&amp;2,'Шкалы'!$S:$S,0)),"")</f>
        <v>0.01</v>
      </c>
      <c r="D19" s="21">
        <f>IFERROR(INDEX('Шкалы'!$M:$M,MATCH($B$4&amp;"|"&amp;"Шкала"&amp;"|"&amp;"Оборудование"&amp;"|"&amp;4&amp;"|"&amp;3,'Шкалы'!$S:$S,0)),"")</f>
        <v>0.01</v>
      </c>
      <c r="E19" s="21">
        <f>IFERROR(INDEX('Шкалы'!$M:$M,MATCH($B$4&amp;"|"&amp;"Шкала"&amp;"|"&amp;"Оборудование"&amp;"|"&amp;4&amp;"|"&amp;4,'Шкалы'!$S:$S,0)),"")</f>
        <v>0.01</v>
      </c>
      <c r="F19" s="21">
        <f>IFERROR(INDEX('Шкалы'!$M:$M,MATCH($B$4&amp;"|"&amp;"Шкала"&amp;"|"&amp;"Оборудование"&amp;"|"&amp;4&amp;"|"&amp;5,'Шкалы'!$S:$S,0)),"")</f>
        <v>0.01</v>
      </c>
      <c r="G19" s="21">
        <f>IFERROR(INDEX('Шкалы'!$M:$M,MATCH($B$4&amp;"|"&amp;"Шкала"&amp;"|"&amp;"Оборудование"&amp;"|"&amp;4&amp;"|"&amp;6,'Шкалы'!$S:$S,0)),"")</f>
        <v>0.01</v>
      </c>
      <c r="W19" s="14" t="inlineStr">
        <is>
          <t>Кабири Хучанд ООО, Таджикистан</t>
        </is>
      </c>
    </row>
    <row r="20">
      <c t="str" r="A20" s="18">
        <f>IFERROR(INDEX('Шкалы'!$F:$F,MATCH($B$4&amp;"|"&amp;"Шкала"&amp;"|"&amp;"Оборудование"&amp;"|"&amp;5,'Шкалы'!$Q:$Q,0)),"")</f>
        <v>3 Объем закупок МП</v>
      </c>
      <c r="B20" s="21">
        <f>IFERROR(INDEX('Шкалы'!$M:$M,MATCH($B$4&amp;"|"&amp;"Шкала"&amp;"|"&amp;"Оборудование"&amp;"|"&amp;5&amp;"|"&amp;1,'Шкалы'!$S:$S,0)),"")</f>
        <v>0.0</v>
      </c>
      <c r="C20" s="21">
        <f>IFERROR(INDEX('Шкалы'!$M:$M,MATCH($B$4&amp;"|"&amp;"Шкала"&amp;"|"&amp;"Оборудование"&amp;"|"&amp;5&amp;"|"&amp;2,'Шкалы'!$S:$S,0)),"")</f>
        <v>0.01</v>
      </c>
      <c r="D20" s="21">
        <f>IFERROR(INDEX('Шкалы'!$M:$M,MATCH($B$4&amp;"|"&amp;"Шкала"&amp;"|"&amp;"Оборудование"&amp;"|"&amp;5&amp;"|"&amp;3,'Шкалы'!$S:$S,0)),"")</f>
        <v>0.02</v>
      </c>
      <c r="E20" s="21">
        <f>IFERROR(INDEX('Шкалы'!$M:$M,MATCH($B$4&amp;"|"&amp;"Шкала"&amp;"|"&amp;"Оборудование"&amp;"|"&amp;5&amp;"|"&amp;4,'Шкалы'!$S:$S,0)),"")</f>
        <v>0.03</v>
      </c>
      <c r="F20" s="21">
        <f>IFERROR(INDEX('Шкалы'!$M:$M,MATCH($B$4&amp;"|"&amp;"Шкала"&amp;"|"&amp;"Оборудование"&amp;"|"&amp;5&amp;"|"&amp;5,'Шкалы'!$S:$S,0)),"")</f>
        <v>0.04</v>
      </c>
      <c r="G20" s="21">
        <f>IFERROR(INDEX('Шкалы'!$M:$M,MATCH($B$4&amp;"|"&amp;"Шкала"&amp;"|"&amp;"Оборудование"&amp;"|"&amp;5&amp;"|"&amp;6,'Шкалы'!$S:$S,0)),"")</f>
        <v>0.05</v>
      </c>
      <c r="W20" s="14" t="inlineStr">
        <is>
          <t>Flexo Food , Грузия</t>
        </is>
      </c>
    </row>
    <row r="21">
      <c t="str" r="A21" s="18">
        <f>IFERROR(INDEX('Шкалы'!$F:$F,MATCH($B$4&amp;"|"&amp;"Шкала"&amp;"|"&amp;"Оборудование"&amp;"|"&amp;6,'Шкалы'!$Q:$Q,0)),"")</f>
        <v>ИТОГО по МП:</v>
      </c>
      <c r="B21" s="22">
        <f>IFERROR(INDEX('Шкалы'!$M:$M,MATCH($B$4&amp;"|"&amp;"Шкала"&amp;"|"&amp;"Оборудование"&amp;"|"&amp;6&amp;"|"&amp;1,'Шкалы'!$S:$S,0)),"")</f>
        <v>0.14</v>
      </c>
      <c r="C21" s="22">
        <f>IFERROR(INDEX('Шкалы'!$M:$M,MATCH($B$4&amp;"|"&amp;"Шкала"&amp;"|"&amp;"Оборудование"&amp;"|"&amp;6&amp;"|"&amp;2,'Шкалы'!$S:$S,0)),"")</f>
        <v>0.15</v>
      </c>
      <c r="D21" s="22">
        <f>IFERROR(INDEX('Шкалы'!$M:$M,MATCH($B$4&amp;"|"&amp;"Шкала"&amp;"|"&amp;"Оборудование"&amp;"|"&amp;6&amp;"|"&amp;3,'Шкалы'!$S:$S,0)),"")</f>
        <v>0.16</v>
      </c>
      <c r="E21" s="22">
        <f>IFERROR(INDEX('Шкалы'!$M:$M,MATCH($B$4&amp;"|"&amp;"Шкала"&amp;"|"&amp;"Оборудование"&amp;"|"&amp;6&amp;"|"&amp;4,'Шкалы'!$S:$S,0)),"")</f>
        <v>0.17</v>
      </c>
      <c r="F21" s="22">
        <f>IFERROR(INDEX('Шкалы'!$M:$M,MATCH($B$4&amp;"|"&amp;"Шкала"&amp;"|"&amp;"Оборудование"&amp;"|"&amp;6&amp;"|"&amp;5,'Шкалы'!$S:$S,0)),"")</f>
        <v>0.18</v>
      </c>
      <c r="G21" s="22">
        <f>IFERROR(INDEX('Шкалы'!$M:$M,MATCH($B$4&amp;"|"&amp;"Шкала"&amp;"|"&amp;"Оборудование"&amp;"|"&amp;6&amp;"|"&amp;6,'Шкалы'!$S:$S,0)),"")</f>
        <v>0.19</v>
      </c>
      <c r="W21" s="14" t="inlineStr">
        <is>
          <t>Гинап, Армения</t>
        </is>
      </c>
    </row>
    <row r="22">
      <c t="str" r="A22" s="18">
        <f>IFERROR(INDEX('Шкалы'!$F:$F,MATCH($B$4&amp;"|"&amp;"Шкала"&amp;"|"&amp;"Оборудование"&amp;"|"&amp;7,'Шкалы'!$Q:$Q,0)),"")</f>
        <v>Наличие минимальных складских остатков по РМ (синхронизация отчета по остаткам с 1С КОМПО)</v>
      </c>
      <c r="B22" s="21">
        <f>IFERROR(INDEX('Шкалы'!$M:$M,MATCH($B$4&amp;"|"&amp;"Шкала"&amp;"|"&amp;"Оборудование"&amp;"|"&amp;7&amp;"|"&amp;1,'Шкалы'!$S:$S,0)),"")</f>
        <v>0.01</v>
      </c>
      <c r="C22" s="21">
        <f>IFERROR(INDEX('Шкалы'!$M:$M,MATCH($B$4&amp;"|"&amp;"Шкала"&amp;"|"&amp;"Оборудование"&amp;"|"&amp;7&amp;"|"&amp;2,'Шкалы'!$S:$S,0)),"")</f>
        <v>0.01</v>
      </c>
      <c r="D22" s="21">
        <f>IFERROR(INDEX('Шкалы'!$M:$M,MATCH($B$4&amp;"|"&amp;"Шкала"&amp;"|"&amp;"Оборудование"&amp;"|"&amp;7&amp;"|"&amp;3,'Шкалы'!$S:$S,0)),"")</f>
        <v>0.01</v>
      </c>
      <c r="E22" s="21">
        <f>IFERROR(INDEX('Шкалы'!$M:$M,MATCH($B$4&amp;"|"&amp;"Шкала"&amp;"|"&amp;"Оборудование"&amp;"|"&amp;7&amp;"|"&amp;4,'Шкалы'!$S:$S,0)),"")</f>
        <v>0.01</v>
      </c>
      <c r="F22" s="21">
        <f>IFERROR(INDEX('Шкалы'!$M:$M,MATCH($B$4&amp;"|"&amp;"Шкала"&amp;"|"&amp;"Оборудование"&amp;"|"&amp;7&amp;"|"&amp;5,'Шкалы'!$S:$S,0)),"")</f>
        <v>0.01</v>
      </c>
      <c r="G22" s="21">
        <f>IFERROR(INDEX('Шкалы'!$M:$M,MATCH($B$4&amp;"|"&amp;"Шкала"&amp;"|"&amp;"Оборудование"&amp;"|"&amp;7&amp;"|"&amp;6,'Шкалы'!$S:$S,0)),"")</f>
        <v>0.01</v>
      </c>
    </row>
    <row r="23">
      <c t="str" r="A23" s="18">
        <f>IFERROR(INDEX('Шкалы'!$F:$F,MATCH($B$4&amp;"|"&amp;"Шкала"&amp;"|"&amp;"Оборудование"&amp;"|"&amp;8,'Шкалы'!$Q:$Q,0)),"")</f>
        <v>Объем закупок РМ</v>
      </c>
      <c r="B23" s="21">
        <f>IFERROR(INDEX('Шкалы'!$M:$M,MATCH($B$4&amp;"|"&amp;"Шкала"&amp;"|"&amp;"Оборудование"&amp;"|"&amp;8&amp;"|"&amp;1,'Шкалы'!$S:$S,0)),"")</f>
        <v>0.0</v>
      </c>
      <c r="C23" s="21">
        <f>IFERROR(INDEX('Шкалы'!$M:$M,MATCH($B$4&amp;"|"&amp;"Шкала"&amp;"|"&amp;"Оборудование"&amp;"|"&amp;8&amp;"|"&amp;2,'Шкалы'!$S:$S,0)),"")</f>
        <v>0.01</v>
      </c>
      <c r="D23" s="21">
        <f>IFERROR(INDEX('Шкалы'!$M:$M,MATCH($B$4&amp;"|"&amp;"Шкала"&amp;"|"&amp;"Оборудование"&amp;"|"&amp;8&amp;"|"&amp;3,'Шкалы'!$S:$S,0)),"")</f>
        <v>0.02</v>
      </c>
      <c r="E23" s="21">
        <f>IFERROR(INDEX('Шкалы'!$M:$M,MATCH($B$4&amp;"|"&amp;"Шкала"&amp;"|"&amp;"Оборудование"&amp;"|"&amp;8&amp;"|"&amp;4,'Шкалы'!$S:$S,0)),"")</f>
        <v>0.03</v>
      </c>
      <c r="F23" s="21">
        <f>IFERROR(INDEX('Шкалы'!$M:$M,MATCH($B$4&amp;"|"&amp;"Шкала"&amp;"|"&amp;"Оборудование"&amp;"|"&amp;8&amp;"|"&amp;5,'Шкалы'!$S:$S,0)),"")</f>
        <v>0.04</v>
      </c>
      <c r="G23" s="21">
        <f>IFERROR(INDEX('Шкалы'!$M:$M,MATCH($B$4&amp;"|"&amp;"Шкала"&amp;"|"&amp;"Оборудование"&amp;"|"&amp;8&amp;"|"&amp;6,'Шкалы'!$S:$S,0)),"")</f>
        <v>0.05</v>
      </c>
    </row>
    <row r="24">
      <c t="str" r="A24" s="18">
        <f>IFERROR(INDEX('Шкалы'!$F:$F,MATCH($B$4&amp;"|"&amp;"Шкала"&amp;"|"&amp;"Оборудование"&amp;"|"&amp;9,'Шкалы'!$Q:$Q,0)),"")</f>
        <v/>
      </c>
      <c t="str" r="B24" s="21">
        <f>IFERROR(INDEX('Шкалы'!$M:$M,MATCH($B$4&amp;"|"&amp;"Шкала"&amp;"|"&amp;"Оборудование"&amp;"|"&amp;9&amp;"|"&amp;1,'Шкалы'!$S:$S,0)),"")</f>
        <v/>
      </c>
      <c t="str" r="C24" s="21">
        <f>IFERROR(INDEX('Шкалы'!$M:$M,MATCH($B$4&amp;"|"&amp;"Шкала"&amp;"|"&amp;"Оборудование"&amp;"|"&amp;9&amp;"|"&amp;2,'Шкалы'!$S:$S,0)),"")</f>
        <v/>
      </c>
      <c t="str" r="D24" s="21">
        <f>IFERROR(INDEX('Шкалы'!$M:$M,MATCH($B$4&amp;"|"&amp;"Шкала"&amp;"|"&amp;"Оборудование"&amp;"|"&amp;9&amp;"|"&amp;3,'Шкалы'!$S:$S,0)),"")</f>
        <v/>
      </c>
      <c t="str" r="E24" s="21">
        <f>IFERROR(INDEX('Шкалы'!$M:$M,MATCH($B$4&amp;"|"&amp;"Шкала"&amp;"|"&amp;"Оборудование"&amp;"|"&amp;9&amp;"|"&amp;4,'Шкалы'!$S:$S,0)),"")</f>
        <v/>
      </c>
      <c t="str" r="F24" s="21">
        <f>IFERROR(INDEX('Шкалы'!$M:$M,MATCH($B$4&amp;"|"&amp;"Шкала"&amp;"|"&amp;"Оборудование"&amp;"|"&amp;9&amp;"|"&amp;5,'Шкалы'!$S:$S,0)),"")</f>
        <v/>
      </c>
      <c t="str" r="G24" s="21">
        <f>IFERROR(INDEX('Шкалы'!$M:$M,MATCH($B$4&amp;"|"&amp;"Шкала"&amp;"|"&amp;"Оборудование"&amp;"|"&amp;9&amp;"|"&amp;6,'Шкалы'!$S:$S,0)),"")</f>
        <v/>
      </c>
    </row>
    <row r="26" ht="18" customHeight="1">
      <c r="A26" s="15" t="inlineStr">
        <is>
          <t>РАСХОДНЫЕ МАТЕРИАЛЫ — шкала скидок</t>
        </is>
      </c>
    </row>
    <row r="27">
      <c r="A27" s="16" t="inlineStr">
        <is>
          <t>Показатель</t>
        </is>
      </c>
      <c t="str" r="B27" s="17">
        <f>IFERROR(INDEX('Шкалы'!$I:$I,MATCH($B$4&amp;"|"&amp;"Шкала"&amp;"|"&amp;"Расходные материалы"&amp;"|"&amp;1,'Шкалы'!$R:$R,0)),"")</f>
        <v>до 75</v>
      </c>
      <c t="str" r="C27" s="17">
        <f>IFERROR(INDEX('Шкалы'!$I:$I,MATCH($B$4&amp;"|"&amp;"Шкала"&amp;"|"&amp;"Расходные материалы"&amp;"|"&amp;2,'Шкалы'!$R:$R,0)),"")</f>
        <v>75-115</v>
      </c>
      <c t="str" r="D27" s="17">
        <f>IFERROR(INDEX('Шкалы'!$I:$I,MATCH($B$4&amp;"|"&amp;"Шкала"&amp;"|"&amp;"Расходные материалы"&amp;"|"&amp;3,'Шкалы'!$R:$R,0)),"")</f>
        <v>115-150</v>
      </c>
      <c t="str" r="E27" s="17">
        <f>IFERROR(INDEX('Шкалы'!$I:$I,MATCH($B$4&amp;"|"&amp;"Шкала"&amp;"|"&amp;"Расходные материалы"&amp;"|"&amp;4,'Шкалы'!$R:$R,0)),"")</f>
        <v>150-190</v>
      </c>
      <c t="str" r="F27" s="17">
        <f>IFERROR(INDEX('Шкалы'!$I:$I,MATCH($B$4&amp;"|"&amp;"Шкала"&amp;"|"&amp;"Расходные материалы"&amp;"|"&amp;5,'Шкалы'!$R:$R,0)),"")</f>
        <v>190-225</v>
      </c>
      <c t="str" r="G27" s="17">
        <f>IFERROR(INDEX('Шкалы'!$I:$I,MATCH($B$4&amp;"|"&amp;"Шкала"&amp;"|"&amp;"Расходные материалы"&amp;"|"&amp;6,'Шкалы'!$R:$R,0)),"")</f>
        <v>225 и более</v>
      </c>
    </row>
    <row r="28">
      <c t="str" r="A28" s="18">
        <f>IFERROR(INDEX('Шкалы'!$F:$F,MATCH($B$4&amp;"|"&amp;"Шкала"&amp;"|"&amp;"Расходные материалы"&amp;"|"&amp;1,'Шкалы'!$Q:$Q,0)),"")</f>
        <v>Наличие минимальных складских остатков по РМ (синхронизация отчета по остаткам с 1С КОМПО)</v>
      </c>
      <c r="B28" s="21">
        <f>IFERROR(INDEX('Шкалы'!$M:$M,MATCH($B$4&amp;"|"&amp;"Шкала"&amp;"|"&amp;"Расходные материалы"&amp;"|"&amp;1&amp;"|"&amp;1,'Шкалы'!$S:$S,0)),"")</f>
        <v>0.01</v>
      </c>
      <c r="C28" s="21">
        <f>IFERROR(INDEX('Шкалы'!$M:$M,MATCH($B$4&amp;"|"&amp;"Шкала"&amp;"|"&amp;"Расходные материалы"&amp;"|"&amp;1&amp;"|"&amp;2,'Шкалы'!$S:$S,0)),"")</f>
        <v>0.01</v>
      </c>
      <c r="D28" s="21">
        <f>IFERROR(INDEX('Шкалы'!$M:$M,MATCH($B$4&amp;"|"&amp;"Шкала"&amp;"|"&amp;"Расходные материалы"&amp;"|"&amp;1&amp;"|"&amp;3,'Шкалы'!$S:$S,0)),"")</f>
        <v>0.01</v>
      </c>
      <c r="E28" s="21">
        <f>IFERROR(INDEX('Шкалы'!$M:$M,MATCH($B$4&amp;"|"&amp;"Шкала"&amp;"|"&amp;"Расходные материалы"&amp;"|"&amp;1&amp;"|"&amp;4,'Шкалы'!$S:$S,0)),"")</f>
        <v>0.01</v>
      </c>
      <c r="F28" s="21">
        <f>IFERROR(INDEX('Шкалы'!$M:$M,MATCH($B$4&amp;"|"&amp;"Шкала"&amp;"|"&amp;"Расходные материалы"&amp;"|"&amp;1&amp;"|"&amp;5,'Шкалы'!$S:$S,0)),"")</f>
        <v>0.01</v>
      </c>
      <c r="G28" s="21">
        <f>IFERROR(INDEX('Шкалы'!$M:$M,MATCH($B$4&amp;"|"&amp;"Шкала"&amp;"|"&amp;"Расходные материалы"&amp;"|"&amp;1&amp;"|"&amp;6,'Шкалы'!$S:$S,0)),"")</f>
        <v>0.01</v>
      </c>
    </row>
    <row r="29">
      <c t="str" r="A29" s="18">
        <f>IFERROR(INDEX('Шкалы'!$F:$F,MATCH($B$4&amp;"|"&amp;"Шкала"&amp;"|"&amp;"Расходные материалы"&amp;"|"&amp;2,'Шкалы'!$Q:$Q,0)),"")</f>
        <v>Объем закупок РМ</v>
      </c>
      <c r="B29" s="21">
        <f>IFERROR(INDEX('Шкалы'!$M:$M,MATCH($B$4&amp;"|"&amp;"Шкала"&amp;"|"&amp;"Расходные материалы"&amp;"|"&amp;2&amp;"|"&amp;1,'Шкалы'!$S:$S,0)),"")</f>
        <v>0.0</v>
      </c>
      <c r="C29" s="21">
        <f>IFERROR(INDEX('Шкалы'!$M:$M,MATCH($B$4&amp;"|"&amp;"Шкала"&amp;"|"&amp;"Расходные материалы"&amp;"|"&amp;2&amp;"|"&amp;2,'Шкалы'!$S:$S,0)),"")</f>
        <v>0.01</v>
      </c>
      <c r="D29" s="21">
        <f>IFERROR(INDEX('Шкалы'!$M:$M,MATCH($B$4&amp;"|"&amp;"Шкала"&amp;"|"&amp;"Расходные материалы"&amp;"|"&amp;2&amp;"|"&amp;3,'Шкалы'!$S:$S,0)),"")</f>
        <v>0.02</v>
      </c>
      <c r="E29" s="21">
        <f>IFERROR(INDEX('Шкалы'!$M:$M,MATCH($B$4&amp;"|"&amp;"Шкала"&amp;"|"&amp;"Расходные материалы"&amp;"|"&amp;2&amp;"|"&amp;4,'Шкалы'!$S:$S,0)),"")</f>
        <v>0.03</v>
      </c>
      <c r="F29" s="21">
        <f>IFERROR(INDEX('Шкалы'!$M:$M,MATCH($B$4&amp;"|"&amp;"Шкала"&amp;"|"&amp;"Расходные материалы"&amp;"|"&amp;2&amp;"|"&amp;5,'Шкалы'!$S:$S,0)),"")</f>
        <v>0.04</v>
      </c>
      <c r="G29" s="21">
        <f>IFERROR(INDEX('Шкалы'!$M:$M,MATCH($B$4&amp;"|"&amp;"Шкала"&amp;"|"&amp;"Расходные материалы"&amp;"|"&amp;2&amp;"|"&amp;6,'Шкалы'!$S:$S,0)),"")</f>
        <v>0.05</v>
      </c>
    </row>
    <row r="30">
      <c t="str" r="A30" s="18">
        <f>IFERROR(INDEX('Шкалы'!$F:$F,MATCH($B$4&amp;"|"&amp;"Шкала"&amp;"|"&amp;"Расходные материалы"&amp;"|"&amp;3,'Шкалы'!$Q:$Q,0)),"")</f>
        <v/>
      </c>
      <c t="str" r="B30" s="21">
        <f>IFERROR(INDEX('Шкалы'!$M:$M,MATCH($B$4&amp;"|"&amp;"Шкала"&amp;"|"&amp;"Расходные материалы"&amp;"|"&amp;3&amp;"|"&amp;1,'Шкалы'!$S:$S,0)),"")</f>
        <v/>
      </c>
      <c t="str" r="C30" s="21">
        <f>IFERROR(INDEX('Шкалы'!$M:$M,MATCH($B$4&amp;"|"&amp;"Шкала"&amp;"|"&amp;"Расходные материалы"&amp;"|"&amp;3&amp;"|"&amp;2,'Шкалы'!$S:$S,0)),"")</f>
        <v/>
      </c>
      <c t="str" r="D30" s="21">
        <f>IFERROR(INDEX('Шкалы'!$M:$M,MATCH($B$4&amp;"|"&amp;"Шкала"&amp;"|"&amp;"Расходные материалы"&amp;"|"&amp;3&amp;"|"&amp;3,'Шкалы'!$S:$S,0)),"")</f>
        <v/>
      </c>
      <c t="str" r="E30" s="21">
        <f>IFERROR(INDEX('Шкалы'!$M:$M,MATCH($B$4&amp;"|"&amp;"Шкала"&amp;"|"&amp;"Расходные материалы"&amp;"|"&amp;3&amp;"|"&amp;4,'Шкалы'!$S:$S,0)),"")</f>
        <v/>
      </c>
      <c t="str" r="F30" s="21">
        <f>IFERROR(INDEX('Шкалы'!$M:$M,MATCH($B$4&amp;"|"&amp;"Шкала"&amp;"|"&amp;"Расходные материалы"&amp;"|"&amp;3&amp;"|"&amp;5,'Шкалы'!$S:$S,0)),"")</f>
        <v/>
      </c>
      <c t="str" r="G30" s="21">
        <f>IFERROR(INDEX('Шкалы'!$M:$M,MATCH($B$4&amp;"|"&amp;"Шкала"&amp;"|"&amp;"Расходные материалы"&amp;"|"&amp;3&amp;"|"&amp;6,'Шкалы'!$S:$S,0)),"")</f>
        <v/>
      </c>
    </row>
    <row r="31">
      <c t="str" r="A31" s="18">
        <f>IFERROR(INDEX('Шкалы'!$F:$F,MATCH($B$4&amp;"|"&amp;"Шкала"&amp;"|"&amp;"Расходные материалы"&amp;"|"&amp;4,'Шкалы'!$Q:$Q,0)),"")</f>
        <v/>
      </c>
      <c t="str" r="B31" s="21">
        <f>IFERROR(INDEX('Шкалы'!$M:$M,MATCH($B$4&amp;"|"&amp;"Шкала"&amp;"|"&amp;"Расходные материалы"&amp;"|"&amp;4&amp;"|"&amp;1,'Шкалы'!$S:$S,0)),"")</f>
        <v/>
      </c>
      <c t="str" r="C31" s="21">
        <f>IFERROR(INDEX('Шкалы'!$M:$M,MATCH($B$4&amp;"|"&amp;"Шкала"&amp;"|"&amp;"Расходные материалы"&amp;"|"&amp;4&amp;"|"&amp;2,'Шкалы'!$S:$S,0)),"")</f>
        <v/>
      </c>
      <c t="str" r="D31" s="21">
        <f>IFERROR(INDEX('Шкалы'!$M:$M,MATCH($B$4&amp;"|"&amp;"Шкала"&amp;"|"&amp;"Расходные материалы"&amp;"|"&amp;4&amp;"|"&amp;3,'Шкалы'!$S:$S,0)),"")</f>
        <v/>
      </c>
      <c t="str" r="E31" s="21">
        <f>IFERROR(INDEX('Шкалы'!$M:$M,MATCH($B$4&amp;"|"&amp;"Шкала"&amp;"|"&amp;"Расходные материалы"&amp;"|"&amp;4&amp;"|"&amp;4,'Шкалы'!$S:$S,0)),"")</f>
        <v/>
      </c>
      <c t="str" r="F31" s="21">
        <f>IFERROR(INDEX('Шкалы'!$M:$M,MATCH($B$4&amp;"|"&amp;"Шкала"&amp;"|"&amp;"Расходные материалы"&amp;"|"&amp;4&amp;"|"&amp;5,'Шкалы'!$S:$S,0)),"")</f>
        <v/>
      </c>
      <c t="str" r="G31" s="21">
        <f>IFERROR(INDEX('Шкалы'!$M:$M,MATCH($B$4&amp;"|"&amp;"Шкала"&amp;"|"&amp;"Расходные материалы"&amp;"|"&amp;4&amp;"|"&amp;6,'Шкалы'!$S:$S,0)),"")</f>
        <v/>
      </c>
    </row>
    <row r="33" ht="18" customHeight="1">
      <c r="A33" s="15" t="inlineStr">
        <is>
          <t>СЕРВИС (ЗЧ) — шкала скидок</t>
        </is>
      </c>
    </row>
    <row r="34">
      <c r="A34" s="16" t="inlineStr">
        <is>
          <t>Показатель</t>
        </is>
      </c>
      <c t="str" r="B34" s="17">
        <f>IFERROR(INDEX('Шкалы'!$I:$I,MATCH($B$4&amp;"|"&amp;"Шкала"&amp;"|"&amp;"Сервис (ЗЧ)"&amp;"|"&amp;1,'Шкалы'!$R:$R,0)),"")</f>
        <v>0–500</v>
      </c>
      <c t="str" r="C34" s="17">
        <f>IFERROR(INDEX('Шкалы'!$I:$I,MATCH($B$4&amp;"|"&amp;"Шкала"&amp;"|"&amp;"Сервис (ЗЧ)"&amp;"|"&amp;2,'Шкалы'!$R:$R,0)),"")</f>
        <v>501–1000</v>
      </c>
      <c t="str" r="D34" s="17">
        <f>IFERROR(INDEX('Шкалы'!$I:$I,MATCH($B$4&amp;"|"&amp;"Шкала"&amp;"|"&amp;"Сервис (ЗЧ)"&amp;"|"&amp;3,'Шкалы'!$R:$R,0)),"")</f>
        <v>1001–1800</v>
      </c>
      <c t="str" r="E34" s="17">
        <f>IFERROR(INDEX('Шкалы'!$I:$I,MATCH($B$4&amp;"|"&amp;"Шкала"&amp;"|"&amp;"Сервис (ЗЧ)"&amp;"|"&amp;4,'Шкалы'!$R:$R,0)),"")</f>
        <v>1801–2400</v>
      </c>
      <c t="str" r="F34" s="17">
        <f>IFERROR(INDEX('Шкалы'!$I:$I,MATCH($B$4&amp;"|"&amp;"Шкала"&amp;"|"&amp;"Сервис (ЗЧ)"&amp;"|"&amp;5,'Шкалы'!$R:$R,0)),"")</f>
        <v>2401–3000</v>
      </c>
      <c t="str" r="G34" s="17">
        <f>IFERROR(INDEX('Шкалы'!$I:$I,MATCH($B$4&amp;"|"&amp;"Шкала"&amp;"|"&amp;"Сервис (ЗЧ)"&amp;"|"&amp;6,'Шкалы'!$R:$R,0)),"")</f>
        <v>3001+</v>
      </c>
      <c t="str" r="H34" s="17">
        <f>IFERROR(INDEX('Шкалы'!$I:$I,MATCH($B$4&amp;"|"&amp;"Шкала"&amp;"|"&amp;"Сервис (ЗЧ)"&amp;"|"&amp;7,'Шкалы'!$R:$R,0)),"")</f>
        <v/>
      </c>
      <c t="str" r="I34" s="17">
        <f>IFERROR(INDEX('Шкалы'!$I:$I,MATCH($B$4&amp;"|"&amp;"Шкала"&amp;"|"&amp;"Сервис (ЗЧ)"&amp;"|"&amp;8,'Шкалы'!$R:$R,0)),"")</f>
        <v/>
      </c>
      <c t="str" r="J34" s="17">
        <f>IFERROR(INDEX('Шкалы'!$I:$I,MATCH($B$4&amp;"|"&amp;"Шкала"&amp;"|"&amp;"Сервис (ЗЧ)"&amp;"|"&amp;9,'Шкалы'!$R:$R,0)),"")</f>
        <v/>
      </c>
      <c t="str" r="K34" s="17">
        <f>IFERROR(INDEX('Шкалы'!$I:$I,MATCH($B$4&amp;"|"&amp;"Шкала"&amp;"|"&amp;"Сервис (ЗЧ)"&amp;"|"&amp;10,'Шкалы'!$R:$R,0)),"")</f>
        <v/>
      </c>
      <c t="str" r="L34" s="17">
        <f>IFERROR(INDEX('Шкалы'!$I:$I,MATCH($B$4&amp;"|"&amp;"Шкала"&amp;"|"&amp;"Сервис (ЗЧ)"&amp;"|"&amp;11,'Шкалы'!$R:$R,0)),"")</f>
        <v/>
      </c>
      <c t="str" r="M34" s="17">
        <f>IFERROR(INDEX('Шкалы'!$I:$I,MATCH($B$4&amp;"|"&amp;"Шкала"&amp;"|"&amp;"Сервис (ЗЧ)"&amp;"|"&amp;12,'Шкалы'!$R:$R,0)),"")</f>
        <v/>
      </c>
    </row>
    <row r="35">
      <c t="str" r="A35" s="18">
        <f>IFERROR(INDEX('Шкалы'!$F:$F,MATCH($B$4&amp;"|"&amp;"Шкала"&amp;"|"&amp;"Сервис (ЗЧ)"&amp;"|"&amp;1,'Шкалы'!$Q:$Q,0)),"")</f>
        <v>Скидка по сервису</v>
      </c>
      <c r="B35" s="22">
        <f>IFERROR(INDEX('Шкалы'!$M:$M,MATCH($B$4&amp;"|"&amp;"Шкала"&amp;"|"&amp;"Сервис (ЗЧ)"&amp;"|"&amp;1&amp;"|"&amp;1,'Шкалы'!$S:$S,0)),"")</f>
        <v>0.19</v>
      </c>
      <c r="C35" s="22">
        <f>IFERROR(INDEX('Шкалы'!$M:$M,MATCH($B$4&amp;"|"&amp;"Шкала"&amp;"|"&amp;"Сервис (ЗЧ)"&amp;"|"&amp;1&amp;"|"&amp;2,'Шкалы'!$S:$S,0)),"")</f>
        <v>0.21</v>
      </c>
      <c r="D35" s="22">
        <f>IFERROR(INDEX('Шкалы'!$M:$M,MATCH($B$4&amp;"|"&amp;"Шкала"&amp;"|"&amp;"Сервис (ЗЧ)"&amp;"|"&amp;1&amp;"|"&amp;3,'Шкалы'!$S:$S,0)),"")</f>
        <v>0.23</v>
      </c>
      <c r="E35" s="22">
        <f>IFERROR(INDEX('Шкалы'!$M:$M,MATCH($B$4&amp;"|"&amp;"Шкала"&amp;"|"&amp;"Сервис (ЗЧ)"&amp;"|"&amp;1&amp;"|"&amp;4,'Шкалы'!$S:$S,0)),"")</f>
        <v>0.25</v>
      </c>
      <c r="F35" s="22">
        <f>IFERROR(INDEX('Шкалы'!$M:$M,MATCH($B$4&amp;"|"&amp;"Шкала"&amp;"|"&amp;"Сервис (ЗЧ)"&amp;"|"&amp;1&amp;"|"&amp;5,'Шкалы'!$S:$S,0)),"")</f>
        <v>0.27</v>
      </c>
      <c r="G35" s="22">
        <f>IFERROR(INDEX('Шкалы'!$M:$M,MATCH($B$4&amp;"|"&amp;"Шкала"&amp;"|"&amp;"Сервис (ЗЧ)"&amp;"|"&amp;1&amp;"|"&amp;6,'Шкалы'!$S:$S,0)),"")</f>
        <v>0.3</v>
      </c>
      <c t="str" r="H35" s="21">
        <f>IFERROR(INDEX('Шкалы'!$M:$M,MATCH($B$4&amp;"|"&amp;"Шкала"&amp;"|"&amp;"Сервис (ЗЧ)"&amp;"|"&amp;1&amp;"|"&amp;7,'Шкалы'!$S:$S,0)),"")</f>
        <v/>
      </c>
      <c t="str" r="I35" s="21">
        <f>IFERROR(INDEX('Шкалы'!$M:$M,MATCH($B$4&amp;"|"&amp;"Шкала"&amp;"|"&amp;"Сервис (ЗЧ)"&amp;"|"&amp;1&amp;"|"&amp;8,'Шкалы'!$S:$S,0)),"")</f>
        <v/>
      </c>
      <c t="str" r="J35" s="21">
        <f>IFERROR(INDEX('Шкалы'!$M:$M,MATCH($B$4&amp;"|"&amp;"Шкала"&amp;"|"&amp;"Сервис (ЗЧ)"&amp;"|"&amp;1&amp;"|"&amp;9,'Шкалы'!$S:$S,0)),"")</f>
        <v/>
      </c>
      <c t="str" r="K35" s="21">
        <f>IFERROR(INDEX('Шкалы'!$M:$M,MATCH($B$4&amp;"|"&amp;"Шкала"&amp;"|"&amp;"Сервис (ЗЧ)"&amp;"|"&amp;1&amp;"|"&amp;10,'Шкалы'!$S:$S,0)),"")</f>
        <v/>
      </c>
      <c t="str" r="L35" s="21">
        <f>IFERROR(INDEX('Шкалы'!$M:$M,MATCH($B$4&amp;"|"&amp;"Шкала"&amp;"|"&amp;"Сервис (ЗЧ)"&amp;"|"&amp;1&amp;"|"&amp;11,'Шкалы'!$S:$S,0)),"")</f>
        <v/>
      </c>
      <c t="str" r="M35" s="21">
        <f>IFERROR(INDEX('Шкалы'!$M:$M,MATCH($B$4&amp;"|"&amp;"Шкала"&amp;"|"&amp;"Сервис (ЗЧ)"&amp;"|"&amp;1&amp;"|"&amp;12,'Шкалы'!$S:$S,0)),"")</f>
        <v/>
      </c>
    </row>
    <row r="37" ht="18" customHeight="1">
      <c r="A37" s="15" t="inlineStr">
        <is>
          <t>СРАВНЕНИЕ ДИЛЕРОВ — строка ИТОГО по оборудованию</t>
        </is>
      </c>
    </row>
    <row r="38">
      <c r="A38" s="16" t="inlineStr">
        <is>
          <t>Дилер</t>
        </is>
      </c>
      <c t="str" r="B38" s="17">
        <f>B15</f>
        <v>до 75</v>
      </c>
      <c t="str" r="C38" s="17">
        <f>C15</f>
        <v>75-114</v>
      </c>
      <c t="str" r="D38" s="17">
        <f>D15</f>
        <v>115-149</v>
      </c>
      <c t="str" r="E38" s="17">
        <f>E15</f>
        <v>150-189</v>
      </c>
      <c t="str" r="F38" s="17">
        <f>F15</f>
        <v>190-224</v>
      </c>
      <c t="str" r="G38" s="17">
        <f>G15</f>
        <v>225 и более</v>
      </c>
      <c r="H38" s="17" t="inlineStr">
        <is>
          <t>Тип</t>
        </is>
      </c>
    </row>
    <row r="39">
      <c t="str" r="A39" s="18">
        <f>$W$4</f>
        <v>КОМПО Технолоджис</v>
      </c>
      <c r="B39" s="23">
        <f>IFERROR(INDEX('Шкалы'!$M:$M,MATCH($A39&amp;"|"&amp;"Шкала"&amp;"|"&amp;"Оборудование"&amp;"|"&amp;1,'Шкалы'!$U:$U,0)),"")</f>
        <v>0.14</v>
      </c>
      <c r="C39" s="23">
        <f>IFERROR(INDEX('Шкалы'!$M:$M,MATCH($A39&amp;"|"&amp;"Шкала"&amp;"|"&amp;"Оборудование"&amp;"|"&amp;2,'Шкалы'!$U:$U,0)),"")</f>
        <v>0.15</v>
      </c>
      <c r="D39" s="23">
        <f>IFERROR(INDEX('Шкалы'!$M:$M,MATCH($A39&amp;"|"&amp;"Шкала"&amp;"|"&amp;"Оборудование"&amp;"|"&amp;3,'Шкалы'!$U:$U,0)),"")</f>
        <v>0.16</v>
      </c>
      <c r="E39" s="23">
        <f>IFERROR(INDEX('Шкалы'!$M:$M,MATCH($A39&amp;"|"&amp;"Шкала"&amp;"|"&amp;"Оборудование"&amp;"|"&amp;4,'Шкалы'!$U:$U,0)),"")</f>
        <v>0.17</v>
      </c>
      <c r="F39" s="23">
        <f>IFERROR(INDEX('Шкалы'!$M:$M,MATCH($A39&amp;"|"&amp;"Шкала"&amp;"|"&amp;"Оборудование"&amp;"|"&amp;5,'Шкалы'!$U:$U,0)),"")</f>
        <v>0.18</v>
      </c>
      <c r="G39" s="23">
        <f>IFERROR(INDEX('Шкалы'!$M:$M,MATCH($A39&amp;"|"&amp;"Шкала"&amp;"|"&amp;"Оборудование"&amp;"|"&amp;6,'Шкалы'!$U:$U,0)),"")</f>
        <v>0.19</v>
      </c>
      <c t="str" r="H39" s="24">
        <f>IFERROR(INDEX('Шкалы'!$B:$B,MATCH($A39,'Шкалы'!$A:$A,0)),"")</f>
        <v>РФ</v>
      </c>
    </row>
    <row r="40">
      <c t="str" r="A40" s="25">
        <f>$W$5</f>
        <v>НоваПак</v>
      </c>
      <c r="B40" s="26">
        <f>IFERROR(INDEX('Шкалы'!$M:$M,MATCH($A40&amp;"|"&amp;"Шкала"&amp;"|"&amp;"Оборудование"&amp;"|"&amp;1,'Шкалы'!$U:$U,0)),"")</f>
        <v>0.14</v>
      </c>
      <c r="C40" s="26">
        <f>IFERROR(INDEX('Шкалы'!$M:$M,MATCH($A40&amp;"|"&amp;"Шкала"&amp;"|"&amp;"Оборудование"&amp;"|"&amp;2,'Шкалы'!$U:$U,0)),"")</f>
        <v>0.15</v>
      </c>
      <c r="D40" s="26">
        <f>IFERROR(INDEX('Шкалы'!$M:$M,MATCH($A40&amp;"|"&amp;"Шкала"&amp;"|"&amp;"Оборудование"&amp;"|"&amp;3,'Шкалы'!$U:$U,0)),"")</f>
        <v>0.16</v>
      </c>
      <c r="E40" s="26">
        <f>IFERROR(INDEX('Шкалы'!$M:$M,MATCH($A40&amp;"|"&amp;"Шкала"&amp;"|"&amp;"Оборудование"&amp;"|"&amp;4,'Шкалы'!$U:$U,0)),"")</f>
        <v>0.17</v>
      </c>
      <c r="F40" s="26">
        <f>IFERROR(INDEX('Шкалы'!$M:$M,MATCH($A40&amp;"|"&amp;"Шкала"&amp;"|"&amp;"Оборудование"&amp;"|"&amp;5,'Шкалы'!$U:$U,0)),"")</f>
        <v>0.18</v>
      </c>
      <c r="G40" s="26">
        <f>IFERROR(INDEX('Шкалы'!$M:$M,MATCH($A40&amp;"|"&amp;"Шкала"&amp;"|"&amp;"Оборудование"&amp;"|"&amp;6,'Шкалы'!$U:$U,0)),"")</f>
        <v>0.19</v>
      </c>
      <c t="str" r="H40" s="27">
        <f>IFERROR(INDEX('Шкалы'!$B:$B,MATCH($A40,'Шкалы'!$A:$A,0)),"")</f>
        <v>РФ</v>
      </c>
    </row>
    <row r="41">
      <c t="str" r="A41" s="18">
        <f>$W$6</f>
        <v>КСП (КОМПО-СП)</v>
      </c>
      <c r="B41" s="23">
        <f>IFERROR(INDEX('Шкалы'!$M:$M,MATCH($A41&amp;"|"&amp;"Шкала"&amp;"|"&amp;"Оборудование"&amp;"|"&amp;1,'Шкалы'!$U:$U,0)),"")</f>
        <v>0.14</v>
      </c>
      <c r="C41" s="23">
        <f>IFERROR(INDEX('Шкалы'!$M:$M,MATCH($A41&amp;"|"&amp;"Шкала"&amp;"|"&amp;"Оборудование"&amp;"|"&amp;2,'Шкалы'!$U:$U,0)),"")</f>
        <v>0.15</v>
      </c>
      <c r="D41" s="23">
        <f>IFERROR(INDEX('Шкалы'!$M:$M,MATCH($A41&amp;"|"&amp;"Шкала"&amp;"|"&amp;"Оборудование"&amp;"|"&amp;3,'Шкалы'!$U:$U,0)),"")</f>
        <v>0.16</v>
      </c>
      <c r="E41" s="23">
        <f>IFERROR(INDEX('Шкалы'!$M:$M,MATCH($A41&amp;"|"&amp;"Шкала"&amp;"|"&amp;"Оборудование"&amp;"|"&amp;4,'Шкалы'!$U:$U,0)),"")</f>
        <v>0.17</v>
      </c>
      <c r="F41" s="23">
        <f>IFERROR(INDEX('Шкалы'!$M:$M,MATCH($A41&amp;"|"&amp;"Шкала"&amp;"|"&amp;"Оборудование"&amp;"|"&amp;5,'Шкалы'!$U:$U,0)),"")</f>
        <v>0.18</v>
      </c>
      <c r="G41" s="23">
        <f>IFERROR(INDEX('Шкалы'!$M:$M,MATCH($A41&amp;"|"&amp;"Шкала"&amp;"|"&amp;"Оборудование"&amp;"|"&amp;6,'Шкалы'!$U:$U,0)),"")</f>
        <v>0.19</v>
      </c>
      <c t="str" r="H41" s="24">
        <f>IFERROR(INDEX('Шкалы'!$B:$B,MATCH($A41,'Шкалы'!$A:$A,0)),"")</f>
        <v>РФ</v>
      </c>
    </row>
    <row r="42">
      <c t="str" r="A42" s="25">
        <f>$W$7</f>
        <v>Богатовъ Торговый Дом, Челябинск</v>
      </c>
      <c r="B42" s="26">
        <f>IFERROR(INDEX('Шкалы'!$M:$M,MATCH($A42&amp;"|"&amp;"Шкала"&amp;"|"&amp;"Оборудование"&amp;"|"&amp;1,'Шкалы'!$U:$U,0)),"")</f>
        <v>0.14</v>
      </c>
      <c r="C42" s="26">
        <f>IFERROR(INDEX('Шкалы'!$M:$M,MATCH($A42&amp;"|"&amp;"Шкала"&amp;"|"&amp;"Оборудование"&amp;"|"&amp;2,'Шкалы'!$U:$U,0)),"")</f>
        <v>0.15</v>
      </c>
      <c r="D42" s="26">
        <f>IFERROR(INDEX('Шкалы'!$M:$M,MATCH($A42&amp;"|"&amp;"Шкала"&amp;"|"&amp;"Оборудование"&amp;"|"&amp;3,'Шкалы'!$U:$U,0)),"")</f>
        <v>0.16</v>
      </c>
      <c r="E42" s="26">
        <f>IFERROR(INDEX('Шкалы'!$M:$M,MATCH($A42&amp;"|"&amp;"Шкала"&amp;"|"&amp;"Оборудование"&amp;"|"&amp;4,'Шкалы'!$U:$U,0)),"")</f>
        <v>0.17</v>
      </c>
      <c r="F42" s="26">
        <f>IFERROR(INDEX('Шкалы'!$M:$M,MATCH($A42&amp;"|"&amp;"Шкала"&amp;"|"&amp;"Оборудование"&amp;"|"&amp;5,'Шкалы'!$U:$U,0)),"")</f>
        <v>0.18</v>
      </c>
      <c r="G42" s="26">
        <f>IFERROR(INDEX('Шкалы'!$M:$M,MATCH($A42&amp;"|"&amp;"Шкала"&amp;"|"&amp;"Оборудование"&amp;"|"&amp;6,'Шкалы'!$U:$U,0)),"")</f>
        <v>0.19</v>
      </c>
      <c t="str" r="H42" s="27">
        <f>IFERROR(INDEX('Шкалы'!$B:$B,MATCH($A42,'Шкалы'!$A:$A,0)),"")</f>
        <v>РФ</v>
      </c>
    </row>
    <row r="43">
      <c t="str" r="A43" s="18">
        <f>$W$8</f>
        <v>ASIAN BUSINESS SOLUTIONS, Узбекистан</v>
      </c>
      <c r="B43" s="23">
        <f>IFERROR(INDEX('Шкалы'!$M:$M,MATCH($A43&amp;"|"&amp;"Шкала"&amp;"|"&amp;"Оборудование"&amp;"|"&amp;1,'Шкалы'!$U:$U,0)),"")</f>
        <v>0.14</v>
      </c>
      <c r="C43" s="23">
        <f>IFERROR(INDEX('Шкалы'!$M:$M,MATCH($A43&amp;"|"&amp;"Шкала"&amp;"|"&amp;"Оборудование"&amp;"|"&amp;2,'Шкалы'!$U:$U,0)),"")</f>
        <v>0.16</v>
      </c>
      <c r="D43" s="23">
        <f>IFERROR(INDEX('Шкалы'!$M:$M,MATCH($A43&amp;"|"&amp;"Шкала"&amp;"|"&amp;"Оборудование"&amp;"|"&amp;3,'Шкалы'!$U:$U,0)),"")</f>
        <v>0.17</v>
      </c>
      <c r="E43" s="23">
        <f>IFERROR(INDEX('Шкалы'!$M:$M,MATCH($A43&amp;"|"&amp;"Шкала"&amp;"|"&amp;"Оборудование"&amp;"|"&amp;4,'Шкалы'!$U:$U,0)),"")</f>
        <v>0.18</v>
      </c>
      <c r="F43" s="23">
        <f>IFERROR(INDEX('Шкалы'!$M:$M,MATCH($A43&amp;"|"&amp;"Шкала"&amp;"|"&amp;"Оборудование"&amp;"|"&amp;5,'Шкалы'!$U:$U,0)),"")</f>
        <v>0.19</v>
      </c>
      <c r="G43" s="23">
        <f>IFERROR(INDEX('Шкалы'!$M:$M,MATCH($A43&amp;"|"&amp;"Шкала"&amp;"|"&amp;"Оборудование"&amp;"|"&amp;6,'Шкалы'!$U:$U,0)),"")</f>
        <v>0.2</v>
      </c>
      <c t="str" r="H43" s="24">
        <f>IFERROR(INDEX('Шкалы'!$B:$B,MATCH($A43,'Шкалы'!$A:$A,0)),"")</f>
        <v>Заруб</v>
      </c>
    </row>
    <row r="44">
      <c t="str" r="A44" s="25">
        <f>$W$9</f>
        <v>Deling food</v>
      </c>
      <c r="B44" s="26">
        <f>IFERROR(INDEX('Шкалы'!$M:$M,MATCH($A44&amp;"|"&amp;"Шкала"&amp;"|"&amp;"Оборудование"&amp;"|"&amp;1,'Шкалы'!$U:$U,0)),"")</f>
        <v>0.14</v>
      </c>
      <c r="C44" s="26">
        <f>IFERROR(INDEX('Шкалы'!$M:$M,MATCH($A44&amp;"|"&amp;"Шкала"&amp;"|"&amp;"Оборудование"&amp;"|"&amp;2,'Шкалы'!$U:$U,0)),"")</f>
        <v>0.16</v>
      </c>
      <c r="D44" s="26">
        <f>IFERROR(INDEX('Шкалы'!$M:$M,MATCH($A44&amp;"|"&amp;"Шкала"&amp;"|"&amp;"Оборудование"&amp;"|"&amp;3,'Шкалы'!$U:$U,0)),"")</f>
        <v>0.17</v>
      </c>
      <c r="E44" s="26">
        <f>IFERROR(INDEX('Шкалы'!$M:$M,MATCH($A44&amp;"|"&amp;"Шкала"&amp;"|"&amp;"Оборудование"&amp;"|"&amp;4,'Шкалы'!$U:$U,0)),"")</f>
        <v>0.18</v>
      </c>
      <c r="F44" s="26">
        <f>IFERROR(INDEX('Шкалы'!$M:$M,MATCH($A44&amp;"|"&amp;"Шкала"&amp;"|"&amp;"Оборудование"&amp;"|"&amp;5,'Шкалы'!$U:$U,0)),"")</f>
        <v>0.19</v>
      </c>
      <c r="G44" s="26">
        <f>IFERROR(INDEX('Шкалы'!$M:$M,MATCH($A44&amp;"|"&amp;"Шкала"&amp;"|"&amp;"Оборудование"&amp;"|"&amp;6,'Шкалы'!$U:$U,0)),"")</f>
        <v>0.2</v>
      </c>
      <c t="str" r="H44" s="27">
        <f>IFERROR(INDEX('Шкалы'!$B:$B,MATCH($A44,'Шкалы'!$A:$A,0)),"")</f>
        <v>Заруб</v>
      </c>
    </row>
    <row r="45">
      <c t="str" r="A45" s="18">
        <f>$W$10</f>
        <v>VitLine, Казахстан</v>
      </c>
      <c r="B45" s="23">
        <f>IFERROR(INDEX('Шкалы'!$M:$M,MATCH($A45&amp;"|"&amp;"Шкала"&amp;"|"&amp;"Оборудование"&amp;"|"&amp;1,'Шкалы'!$U:$U,0)),"")</f>
        <v>0.14</v>
      </c>
      <c r="C45" s="23">
        <f>IFERROR(INDEX('Шкалы'!$M:$M,MATCH($A45&amp;"|"&amp;"Шкала"&amp;"|"&amp;"Оборудование"&amp;"|"&amp;2,'Шкалы'!$U:$U,0)),"")</f>
        <v>0.16</v>
      </c>
      <c r="D45" s="23">
        <f>IFERROR(INDEX('Шкалы'!$M:$M,MATCH($A45&amp;"|"&amp;"Шкала"&amp;"|"&amp;"Оборудование"&amp;"|"&amp;3,'Шкалы'!$U:$U,0)),"")</f>
        <v>0.17</v>
      </c>
      <c r="E45" s="23">
        <f>IFERROR(INDEX('Шкалы'!$M:$M,MATCH($A45&amp;"|"&amp;"Шкала"&amp;"|"&amp;"Оборудование"&amp;"|"&amp;4,'Шкалы'!$U:$U,0)),"")</f>
        <v>0.18</v>
      </c>
      <c r="F45" s="23">
        <f>IFERROR(INDEX('Шкалы'!$M:$M,MATCH($A45&amp;"|"&amp;"Шкала"&amp;"|"&amp;"Оборудование"&amp;"|"&amp;5,'Шкалы'!$U:$U,0)),"")</f>
        <v>0.19</v>
      </c>
      <c r="G45" s="23">
        <f>IFERROR(INDEX('Шкалы'!$M:$M,MATCH($A45&amp;"|"&amp;"Шкала"&amp;"|"&amp;"Оборудование"&amp;"|"&amp;6,'Шкалы'!$U:$U,0)),"")</f>
        <v>0.2</v>
      </c>
      <c t="str" r="H45" s="24">
        <f>IFERROR(INDEX('Шкалы'!$B:$B,MATCH($A45,'Шкалы'!$A:$A,0)),"")</f>
        <v>Заруб</v>
      </c>
    </row>
    <row r="46">
      <c t="str" r="A46" s="25">
        <f>$W$11</f>
        <v>UNIVERSAL MEAT</v>
      </c>
      <c r="B46" s="26">
        <f>IFERROR(INDEX('Шкалы'!$M:$M,MATCH($A46&amp;"|"&amp;"Шкала"&amp;"|"&amp;"Оборудование"&amp;"|"&amp;1,'Шкалы'!$U:$U,0)),"")</f>
        <v>0.14</v>
      </c>
      <c r="C46" s="26">
        <f>IFERROR(INDEX('Шкалы'!$M:$M,MATCH($A46&amp;"|"&amp;"Шкала"&amp;"|"&amp;"Оборудование"&amp;"|"&amp;2,'Шкалы'!$U:$U,0)),"")</f>
        <v>0.16</v>
      </c>
      <c r="D46" s="26">
        <f>IFERROR(INDEX('Шкалы'!$M:$M,MATCH($A46&amp;"|"&amp;"Шкала"&amp;"|"&amp;"Оборудование"&amp;"|"&amp;3,'Шкалы'!$U:$U,0)),"")</f>
        <v>0.17</v>
      </c>
      <c r="E46" s="26">
        <f>IFERROR(INDEX('Шкалы'!$M:$M,MATCH($A46&amp;"|"&amp;"Шкала"&amp;"|"&amp;"Оборудование"&amp;"|"&amp;4,'Шкалы'!$U:$U,0)),"")</f>
        <v>0.18</v>
      </c>
      <c r="F46" s="26">
        <f>IFERROR(INDEX('Шкалы'!$M:$M,MATCH($A46&amp;"|"&amp;"Шкала"&amp;"|"&amp;"Оборудование"&amp;"|"&amp;5,'Шкалы'!$U:$U,0)),"")</f>
        <v>0.19</v>
      </c>
      <c r="G46" s="26">
        <f>IFERROR(INDEX('Шкалы'!$M:$M,MATCH($A46&amp;"|"&amp;"Шкала"&amp;"|"&amp;"Оборудование"&amp;"|"&amp;6,'Шкалы'!$U:$U,0)),"")</f>
        <v>0.2</v>
      </c>
      <c t="str" r="H46" s="27">
        <f>IFERROR(INDEX('Шкалы'!$B:$B,MATCH($A46,'Шкалы'!$A:$A,0)),"")</f>
        <v>Заруб</v>
      </c>
    </row>
    <row r="47">
      <c t="str" r="A47" s="18">
        <f>$W$12</f>
        <v>КОМПО North America Inc</v>
      </c>
      <c r="B47" s="23">
        <f>IFERROR(INDEX('Шкалы'!$M:$M,MATCH($A47&amp;"|"&amp;"Шкала"&amp;"|"&amp;"Оборудование"&amp;"|"&amp;1,'Шкалы'!$U:$U,0)),"")</f>
        <v>0.07</v>
      </c>
      <c r="C47" s="23">
        <f>IFERROR(INDEX('Шкалы'!$M:$M,MATCH($A47&amp;"|"&amp;"Шкала"&amp;"|"&amp;"Оборудование"&amp;"|"&amp;2,'Шкалы'!$U:$U,0)),"")</f>
        <v>0.16</v>
      </c>
      <c r="D47" s="23">
        <f>IFERROR(INDEX('Шкалы'!$M:$M,MATCH($A47&amp;"|"&amp;"Шкала"&amp;"|"&amp;"Оборудование"&amp;"|"&amp;3,'Шкалы'!$U:$U,0)),"")</f>
        <v>0.17</v>
      </c>
      <c r="E47" s="23">
        <f>IFERROR(INDEX('Шкалы'!$M:$M,MATCH($A47&amp;"|"&amp;"Шкала"&amp;"|"&amp;"Оборудование"&amp;"|"&amp;4,'Шкалы'!$U:$U,0)),"")</f>
        <v>0.18</v>
      </c>
      <c r="F47" s="23">
        <f>IFERROR(INDEX('Шкалы'!$M:$M,MATCH($A47&amp;"|"&amp;"Шкала"&amp;"|"&amp;"Оборудование"&amp;"|"&amp;5,'Шкалы'!$U:$U,0)),"")</f>
        <v>0.19</v>
      </c>
      <c r="G47" s="23">
        <f>IFERROR(INDEX('Шкалы'!$M:$M,MATCH($A47&amp;"|"&amp;"Шкала"&amp;"|"&amp;"Оборудование"&amp;"|"&amp;6,'Шкалы'!$U:$U,0)),"")</f>
        <v>0.2</v>
      </c>
      <c t="str" r="H47" s="24">
        <f>IFERROR(INDEX('Шкалы'!$B:$B,MATCH($A47,'Шкалы'!$A:$A,0)),"")</f>
        <v>Заруб</v>
      </c>
    </row>
    <row r="48">
      <c t="str" r="A48" s="25">
        <f>$W$13</f>
        <v>LUCKY &amp; S CO, Сербия</v>
      </c>
      <c r="B48" s="26">
        <f>IFERROR(INDEX('Шкалы'!$M:$M,MATCH($A48&amp;"|"&amp;"Шкала"&amp;"|"&amp;"Оборудование"&amp;"|"&amp;1,'Шкалы'!$U:$U,0)),"")</f>
        <v>0.14</v>
      </c>
      <c r="C48" s="26">
        <f>IFERROR(INDEX('Шкалы'!$M:$M,MATCH($A48&amp;"|"&amp;"Шкала"&amp;"|"&amp;"Оборудование"&amp;"|"&amp;2,'Шкалы'!$U:$U,0)),"")</f>
        <v>0.16</v>
      </c>
      <c r="D48" s="26">
        <f>IFERROR(INDEX('Шкалы'!$M:$M,MATCH($A48&amp;"|"&amp;"Шкала"&amp;"|"&amp;"Оборудование"&amp;"|"&amp;3,'Шкалы'!$U:$U,0)),"")</f>
        <v>0.17</v>
      </c>
      <c r="E48" s="26">
        <f>IFERROR(INDEX('Шкалы'!$M:$M,MATCH($A48&amp;"|"&amp;"Шкала"&amp;"|"&amp;"Оборудование"&amp;"|"&amp;4,'Шкалы'!$U:$U,0)),"")</f>
        <v>0.18</v>
      </c>
      <c r="F48" s="26">
        <f>IFERROR(INDEX('Шкалы'!$M:$M,MATCH($A48&amp;"|"&amp;"Шкала"&amp;"|"&amp;"Оборудование"&amp;"|"&amp;5,'Шкалы'!$U:$U,0)),"")</f>
        <v>0.19</v>
      </c>
      <c r="G48" s="26">
        <f>IFERROR(INDEX('Шкалы'!$M:$M,MATCH($A48&amp;"|"&amp;"Шкала"&amp;"|"&amp;"Оборудование"&amp;"|"&amp;6,'Шкалы'!$U:$U,0)),"")</f>
        <v>0.2</v>
      </c>
      <c t="str" r="H48" s="27">
        <f>IFERROR(INDEX('Шкалы'!$B:$B,MATCH($A48,'Шкалы'!$A:$A,0)),"")</f>
        <v>Заруб</v>
      </c>
    </row>
    <row r="49">
      <c t="str" r="A49" s="18">
        <f>$W$14</f>
        <v>Сейитлиев Мердан Иламанович, Туркменистан</v>
      </c>
      <c r="B49" s="23">
        <f>IFERROR(INDEX('Шкалы'!$M:$M,MATCH($A49&amp;"|"&amp;"Шкала"&amp;"|"&amp;"Оборудование"&amp;"|"&amp;1,'Шкалы'!$U:$U,0)),"")</f>
        <v>0.14</v>
      </c>
      <c r="C49" s="23">
        <f>IFERROR(INDEX('Шкалы'!$M:$M,MATCH($A49&amp;"|"&amp;"Шкала"&amp;"|"&amp;"Оборудование"&amp;"|"&amp;2,'Шкалы'!$U:$U,0)),"")</f>
        <v>0.16</v>
      </c>
      <c r="D49" s="23">
        <f>IFERROR(INDEX('Шкалы'!$M:$M,MATCH($A49&amp;"|"&amp;"Шкала"&amp;"|"&amp;"Оборудование"&amp;"|"&amp;3,'Шкалы'!$U:$U,0)),"")</f>
        <v>0.17</v>
      </c>
      <c r="E49" s="23">
        <f>IFERROR(INDEX('Шкалы'!$M:$M,MATCH($A49&amp;"|"&amp;"Шкала"&amp;"|"&amp;"Оборудование"&amp;"|"&amp;4,'Шкалы'!$U:$U,0)),"")</f>
        <v>0.18</v>
      </c>
      <c r="F49" s="23">
        <f>IFERROR(INDEX('Шкалы'!$M:$M,MATCH($A49&amp;"|"&amp;"Шкала"&amp;"|"&amp;"Оборудование"&amp;"|"&amp;5,'Шкалы'!$U:$U,0)),"")</f>
        <v>0.19</v>
      </c>
      <c r="G49" s="23">
        <f>IFERROR(INDEX('Шкалы'!$M:$M,MATCH($A49&amp;"|"&amp;"Шкала"&amp;"|"&amp;"Оборудование"&amp;"|"&amp;6,'Шкалы'!$U:$U,0)),"")</f>
        <v>0.2</v>
      </c>
      <c t="str" r="H49" s="24">
        <f>IFERROR(INDEX('Шкалы'!$B:$B,MATCH($A49,'Шкалы'!$A:$A,0)),"")</f>
        <v>Заруб</v>
      </c>
    </row>
    <row r="50">
      <c t="str" r="A50" s="25">
        <f>$W$15</f>
        <v>Ingreda, Молдова</v>
      </c>
      <c r="B50" s="26">
        <f>IFERROR(INDEX('Шкалы'!$M:$M,MATCH($A50&amp;"|"&amp;"Шкала"&amp;"|"&amp;"Оборудование"&amp;"|"&amp;1,'Шкалы'!$U:$U,0)),"")</f>
        <v>0.14</v>
      </c>
      <c r="C50" s="26">
        <f>IFERROR(INDEX('Шкалы'!$M:$M,MATCH($A50&amp;"|"&amp;"Шкала"&amp;"|"&amp;"Оборудование"&amp;"|"&amp;2,'Шкалы'!$U:$U,0)),"")</f>
        <v>0.16</v>
      </c>
      <c r="D50" s="26">
        <f>IFERROR(INDEX('Шкалы'!$M:$M,MATCH($A50&amp;"|"&amp;"Шкала"&amp;"|"&amp;"Оборудование"&amp;"|"&amp;3,'Шкалы'!$U:$U,0)),"")</f>
        <v>0.17</v>
      </c>
      <c r="E50" s="26">
        <f>IFERROR(INDEX('Шкалы'!$M:$M,MATCH($A50&amp;"|"&amp;"Шкала"&amp;"|"&amp;"Оборудование"&amp;"|"&amp;4,'Шкалы'!$U:$U,0)),"")</f>
        <v>0.18</v>
      </c>
      <c r="F50" s="26">
        <f>IFERROR(INDEX('Шкалы'!$M:$M,MATCH($A50&amp;"|"&amp;"Шкала"&amp;"|"&amp;"Оборудование"&amp;"|"&amp;5,'Шкалы'!$U:$U,0)),"")</f>
        <v>0.19</v>
      </c>
      <c r="G50" s="26">
        <f>IFERROR(INDEX('Шкалы'!$M:$M,MATCH($A50&amp;"|"&amp;"Шкала"&amp;"|"&amp;"Оборудование"&amp;"|"&amp;6,'Шкалы'!$U:$U,0)),"")</f>
        <v>0.2</v>
      </c>
      <c t="str" r="H50" s="27">
        <f>IFERROR(INDEX('Шкалы'!$B:$B,MATCH($A50,'Шкалы'!$A:$A,0)),"")</f>
        <v>Заруб</v>
      </c>
    </row>
    <row r="51">
      <c t="str" r="A51" s="18">
        <f>$W$16</f>
        <v>CLIPSOMAC, Алжир</v>
      </c>
      <c r="B51" s="23">
        <f>IFERROR(INDEX('Шкалы'!$M:$M,MATCH($A51&amp;"|"&amp;"Шкала"&amp;"|"&amp;"Оборудование"&amp;"|"&amp;1,'Шкалы'!$U:$U,0)),"")</f>
        <v>0.14</v>
      </c>
      <c r="C51" s="23">
        <f>IFERROR(INDEX('Шкалы'!$M:$M,MATCH($A51&amp;"|"&amp;"Шкала"&amp;"|"&amp;"Оборудование"&amp;"|"&amp;2,'Шкалы'!$U:$U,0)),"")</f>
        <v>0.16</v>
      </c>
      <c r="D51" s="23">
        <f>IFERROR(INDEX('Шкалы'!$M:$M,MATCH($A51&amp;"|"&amp;"Шкала"&amp;"|"&amp;"Оборудование"&amp;"|"&amp;3,'Шкалы'!$U:$U,0)),"")</f>
        <v>0.17</v>
      </c>
      <c r="E51" s="23">
        <f>IFERROR(INDEX('Шкалы'!$M:$M,MATCH($A51&amp;"|"&amp;"Шкала"&amp;"|"&amp;"Оборудование"&amp;"|"&amp;4,'Шкалы'!$U:$U,0)),"")</f>
        <v>0.18</v>
      </c>
      <c r="F51" s="23">
        <f>IFERROR(INDEX('Шкалы'!$M:$M,MATCH($A51&amp;"|"&amp;"Шкала"&amp;"|"&amp;"Оборудование"&amp;"|"&amp;5,'Шкалы'!$U:$U,0)),"")</f>
        <v>0.19</v>
      </c>
      <c r="G51" s="23">
        <f>IFERROR(INDEX('Шкалы'!$M:$M,MATCH($A51&amp;"|"&amp;"Шкала"&amp;"|"&amp;"Оборудование"&amp;"|"&amp;6,'Шкалы'!$U:$U,0)),"")</f>
        <v>0.2</v>
      </c>
      <c t="str" r="H51" s="24">
        <f>IFERROR(INDEX('Шкалы'!$B:$B,MATCH($A51,'Шкалы'!$A:$A,0)),"")</f>
        <v>Заруб</v>
      </c>
    </row>
    <row r="52">
      <c t="str" r="A52" s="25">
        <f>$W$17</f>
        <v>Tida Tech, Таиланд</v>
      </c>
      <c r="B52" s="26">
        <f>IFERROR(INDEX('Шкалы'!$M:$M,MATCH($A52&amp;"|"&amp;"Шкала"&amp;"|"&amp;"Оборудование"&amp;"|"&amp;1,'Шкалы'!$U:$U,0)),"")</f>
        <v>0.14</v>
      </c>
      <c r="C52" s="26">
        <f>IFERROR(INDEX('Шкалы'!$M:$M,MATCH($A52&amp;"|"&amp;"Шкала"&amp;"|"&amp;"Оборудование"&amp;"|"&amp;2,'Шкалы'!$U:$U,0)),"")</f>
        <v>0.16</v>
      </c>
      <c r="D52" s="26">
        <f>IFERROR(INDEX('Шкалы'!$M:$M,MATCH($A52&amp;"|"&amp;"Шкала"&amp;"|"&amp;"Оборудование"&amp;"|"&amp;3,'Шкалы'!$U:$U,0)),"")</f>
        <v>0.17</v>
      </c>
      <c r="E52" s="26">
        <f>IFERROR(INDEX('Шкалы'!$M:$M,MATCH($A52&amp;"|"&amp;"Шкала"&amp;"|"&amp;"Оборудование"&amp;"|"&amp;4,'Шкалы'!$U:$U,0)),"")</f>
        <v>0.18</v>
      </c>
      <c r="F52" s="26">
        <f>IFERROR(INDEX('Шкалы'!$M:$M,MATCH($A52&amp;"|"&amp;"Шкала"&amp;"|"&amp;"Оборудование"&amp;"|"&amp;5,'Шкалы'!$U:$U,0)),"")</f>
        <v>0.19</v>
      </c>
      <c r="G52" s="26">
        <f>IFERROR(INDEX('Шкалы'!$M:$M,MATCH($A52&amp;"|"&amp;"Шкала"&amp;"|"&amp;"Оборудование"&amp;"|"&amp;6,'Шкалы'!$U:$U,0)),"")</f>
        <v>0.2</v>
      </c>
      <c t="str" r="H52" s="27">
        <f>IFERROR(INDEX('Шкалы'!$B:$B,MATCH($A52,'Шкалы'!$A:$A,0)),"")</f>
        <v>Заруб</v>
      </c>
    </row>
    <row r="53">
      <c t="str" r="A53" s="18">
        <f>$W$18</f>
        <v>Ari Makina, Турция</v>
      </c>
      <c r="B53" s="23">
        <f>IFERROR(INDEX('Шкалы'!$M:$M,MATCH($A53&amp;"|"&amp;"Шкала"&amp;"|"&amp;"Оборудование"&amp;"|"&amp;1,'Шкалы'!$U:$U,0)),"")</f>
        <v>0.14</v>
      </c>
      <c r="C53" s="23">
        <f>IFERROR(INDEX('Шкалы'!$M:$M,MATCH($A53&amp;"|"&amp;"Шкала"&amp;"|"&amp;"Оборудование"&amp;"|"&amp;2,'Шкалы'!$U:$U,0)),"")</f>
        <v>0.16</v>
      </c>
      <c r="D53" s="23">
        <f>IFERROR(INDEX('Шкалы'!$M:$M,MATCH($A53&amp;"|"&amp;"Шкала"&amp;"|"&amp;"Оборудование"&amp;"|"&amp;3,'Шкалы'!$U:$U,0)),"")</f>
        <v>0.17</v>
      </c>
      <c r="E53" s="23">
        <f>IFERROR(INDEX('Шкалы'!$M:$M,MATCH($A53&amp;"|"&amp;"Шкала"&amp;"|"&amp;"Оборудование"&amp;"|"&amp;4,'Шкалы'!$U:$U,0)),"")</f>
        <v>0.18</v>
      </c>
      <c r="F53" s="23">
        <f>IFERROR(INDEX('Шкалы'!$M:$M,MATCH($A53&amp;"|"&amp;"Шкала"&amp;"|"&amp;"Оборудование"&amp;"|"&amp;5,'Шкалы'!$U:$U,0)),"")</f>
        <v>0.19</v>
      </c>
      <c r="G53" s="23">
        <f>IFERROR(INDEX('Шкалы'!$M:$M,MATCH($A53&amp;"|"&amp;"Шкала"&amp;"|"&amp;"Оборудование"&amp;"|"&amp;6,'Шкалы'!$U:$U,0)),"")</f>
        <v>0.2</v>
      </c>
      <c t="str" r="H53" s="24">
        <f>IFERROR(INDEX('Шкалы'!$B:$B,MATCH($A53,'Шкалы'!$A:$A,0)),"")</f>
        <v>Заруб</v>
      </c>
    </row>
    <row r="54">
      <c t="str" r="A54" s="25">
        <f>$W$19</f>
        <v>Кабири Хучанд ООО, Таджикистан</v>
      </c>
      <c r="B54" s="26">
        <f>IFERROR(INDEX('Шкалы'!$M:$M,MATCH($A54&amp;"|"&amp;"Шкала"&amp;"|"&amp;"Оборудование"&amp;"|"&amp;1,'Шкалы'!$U:$U,0)),"")</f>
        <v>0.14</v>
      </c>
      <c r="C54" s="26">
        <f>IFERROR(INDEX('Шкалы'!$M:$M,MATCH($A54&amp;"|"&amp;"Шкала"&amp;"|"&amp;"Оборудование"&amp;"|"&amp;2,'Шкалы'!$U:$U,0)),"")</f>
        <v>0.16</v>
      </c>
      <c r="D54" s="26">
        <f>IFERROR(INDEX('Шкалы'!$M:$M,MATCH($A54&amp;"|"&amp;"Шкала"&amp;"|"&amp;"Оборудование"&amp;"|"&amp;3,'Шкалы'!$U:$U,0)),"")</f>
        <v>0.17</v>
      </c>
      <c r="E54" s="26">
        <f>IFERROR(INDEX('Шкалы'!$M:$M,MATCH($A54&amp;"|"&amp;"Шкала"&amp;"|"&amp;"Оборудование"&amp;"|"&amp;4,'Шкалы'!$U:$U,0)),"")</f>
        <v>0.18</v>
      </c>
      <c r="F54" s="26">
        <f>IFERROR(INDEX('Шкалы'!$M:$M,MATCH($A54&amp;"|"&amp;"Шкала"&amp;"|"&amp;"Оборудование"&amp;"|"&amp;5,'Шкалы'!$U:$U,0)),"")</f>
        <v>0.19</v>
      </c>
      <c r="G54" s="26">
        <f>IFERROR(INDEX('Шкалы'!$M:$M,MATCH($A54&amp;"|"&amp;"Шкала"&amp;"|"&amp;"Оборудование"&amp;"|"&amp;6,'Шкалы'!$U:$U,0)),"")</f>
        <v>0.2</v>
      </c>
      <c t="str" r="H54" s="27">
        <f>IFERROR(INDEX('Шкалы'!$B:$B,MATCH($A54,'Шкалы'!$A:$A,0)),"")</f>
        <v>Заруб</v>
      </c>
    </row>
    <row r="55">
      <c t="str" r="A55" s="18">
        <f>$W$20</f>
        <v>Flexo Food , Грузия</v>
      </c>
      <c r="B55" s="23">
        <f>IFERROR(INDEX('Шкалы'!$M:$M,MATCH($A55&amp;"|"&amp;"Шкала"&amp;"|"&amp;"Оборудование"&amp;"|"&amp;1,'Шкалы'!$U:$U,0)),"")</f>
        <v>0.14</v>
      </c>
      <c r="C55" s="23">
        <f>IFERROR(INDEX('Шкалы'!$M:$M,MATCH($A55&amp;"|"&amp;"Шкала"&amp;"|"&amp;"Оборудование"&amp;"|"&amp;2,'Шкалы'!$U:$U,0)),"")</f>
        <v>0.16</v>
      </c>
      <c r="D55" s="23">
        <f>IFERROR(INDEX('Шкалы'!$M:$M,MATCH($A55&amp;"|"&amp;"Шкала"&amp;"|"&amp;"Оборудование"&amp;"|"&amp;3,'Шкалы'!$U:$U,0)),"")</f>
        <v>0.17</v>
      </c>
      <c r="E55" s="23">
        <f>IFERROR(INDEX('Шкалы'!$M:$M,MATCH($A55&amp;"|"&amp;"Шкала"&amp;"|"&amp;"Оборудование"&amp;"|"&amp;4,'Шкалы'!$U:$U,0)),"")</f>
        <v>0.18</v>
      </c>
      <c r="F55" s="23">
        <f>IFERROR(INDEX('Шкалы'!$M:$M,MATCH($A55&amp;"|"&amp;"Шкала"&amp;"|"&amp;"Оборудование"&amp;"|"&amp;5,'Шкалы'!$U:$U,0)),"")</f>
        <v>0.19</v>
      </c>
      <c r="G55" s="23">
        <f>IFERROR(INDEX('Шкалы'!$M:$M,MATCH($A55&amp;"|"&amp;"Шкала"&amp;"|"&amp;"Оборудование"&amp;"|"&amp;6,'Шкалы'!$U:$U,0)),"")</f>
        <v>0.2</v>
      </c>
      <c t="str" r="H55" s="24">
        <f>IFERROR(INDEX('Шкалы'!$B:$B,MATCH($A55,'Шкалы'!$A:$A,0)),"")</f>
        <v>Заруб</v>
      </c>
    </row>
    <row r="56">
      <c t="str" r="A56" s="25">
        <f>$W$21</f>
        <v>Гинап, Армения</v>
      </c>
      <c r="B56" s="26">
        <f>IFERROR(INDEX('Шкалы'!$M:$M,MATCH($A56&amp;"|"&amp;"Шкала"&amp;"|"&amp;"Оборудование"&amp;"|"&amp;1,'Шкалы'!$U:$U,0)),"")</f>
        <v>0.14</v>
      </c>
      <c r="C56" s="26">
        <f>IFERROR(INDEX('Шкалы'!$M:$M,MATCH($A56&amp;"|"&amp;"Шкала"&amp;"|"&amp;"Оборудование"&amp;"|"&amp;2,'Шкалы'!$U:$U,0)),"")</f>
        <v>0.16</v>
      </c>
      <c r="D56" s="26">
        <f>IFERROR(INDEX('Шкалы'!$M:$M,MATCH($A56&amp;"|"&amp;"Шкала"&amp;"|"&amp;"Оборудование"&amp;"|"&amp;3,'Шкалы'!$U:$U,0)),"")</f>
        <v>0.17</v>
      </c>
      <c r="E56" s="26">
        <f>IFERROR(INDEX('Шкалы'!$M:$M,MATCH($A56&amp;"|"&amp;"Шкала"&amp;"|"&amp;"Оборудование"&amp;"|"&amp;4,'Шкалы'!$U:$U,0)),"")</f>
        <v>0.18</v>
      </c>
      <c r="F56" s="26">
        <f>IFERROR(INDEX('Шкалы'!$M:$M,MATCH($A56&amp;"|"&amp;"Шкала"&amp;"|"&amp;"Оборудование"&amp;"|"&amp;5,'Шкалы'!$U:$U,0)),"")</f>
        <v>0.19</v>
      </c>
      <c r="G56" s="26">
        <f>IFERROR(INDEX('Шкалы'!$M:$M,MATCH($A56&amp;"|"&amp;"Шкала"&amp;"|"&amp;"Оборудование"&amp;"|"&amp;6,'Шкалы'!$U:$U,0)),"")</f>
        <v>0.2</v>
      </c>
      <c t="str" r="H56" s="27">
        <f>IFERROR(INDEX('Шкалы'!$B:$B,MATCH($A56,'Шкалы'!$A:$A,0)),"")</f>
        <v>Заруб</v>
      </c>
    </row>
  </sheetData>
  <mergeCells count="9">
    <mergeCell ref="J4:N4"/>
    <mergeCell ref="A6:N6"/>
    <mergeCell ref="A26:N26"/>
    <mergeCell ref="A2:N2"/>
    <mergeCell ref="B4:D4"/>
    <mergeCell ref="A33:N33"/>
    <mergeCell ref="A37:N37"/>
    <mergeCell ref="A14:N14"/>
    <mergeCell ref="A1:N1"/>
  </mergeCells>
  <dataValidations count="1">
    <dataValidation sqref="B4" showDropDown="0" showInputMessage="0" showErrorMessage="0" allowBlank="0" errorTitle="Нет такого дилера" error="Выберите дилера из списка (ячейка B4)." type="list">
      <formula1>=$W$4:$W$21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0" summaryRight="1"/>
    <pageSetUpPr fitToPage="1"/>
  </sheetPr>
  <dimension ref="A1:O710"/>
  <sheetViews>
    <sheetView showGridLines="1" workbookViewId="0">
      <selection activeCell="A1" sqref="A1"/>
    </sheetView>
  </sheetViews>
  <sheetFormatPr baseColWidth="8" defaultRowHeight="15"/>
  <cols>
    <col width="3.5" customWidth="1" min="1" max="1"/>
    <col width="58.1" customWidth="1" min="3" max="3"/>
    <col width="16.4" customWidth="1" min="4" max="4"/>
    <col width="15.6" customWidth="1" min="5" max="5"/>
    <col width="14.4" customWidth="1" min="6" max="6"/>
    <col width="19" customWidth="1" min="7" max="7"/>
    <col width="16.6" customWidth="1" min="8" max="8"/>
    <col width="16.6" customWidth="1" min="9" max="9"/>
    <col width="14.1" customWidth="1" min="10" max="10"/>
    <col width="8.699999999999999" customWidth="1" min="11" max="11"/>
    <col width="11.4" customWidth="1" min="12" max="12"/>
    <col width="8.699999999999999" customWidth="1" min="13" max="13"/>
    <col width="10.3" customWidth="1" min="14" max="14"/>
  </cols>
  <sheetData>
    <row r="1">
      <c r="A1" s="28" t="inlineStr">
        <is>
          <t>БЛОКИ ДИЛЕРОВ — копия исходных вкладок, для сверки с оригиналом</t>
        </is>
      </c>
    </row>
    <row r="2">
      <c r="A2" s="10" t="inlineStr">
        <is>
          <t>Каждый дилер — блок строк, над ним строка-маркер (ячейка A начинается с «### ДИЛЕР»). Строки блока сгруппированы: сворачиваются кнопкой слева.</t>
        </is>
      </c>
    </row>
    <row r="3">
      <c r="A3" s="10" t="inlineStr">
        <is>
          <t>Править шкалы нужно на листе «Шкалы» (плоская таблица) — именно её читает калькулятор. Лист «Витрина» показывает те же данные глазами.</t>
        </is>
      </c>
    </row>
    <row r="4">
      <c r="A4" s="10" t="inlineStr">
        <is>
          <t>Этот лист калькулятор разбирает только как запасной вариант — если листа «Шкалы» в файле не окажется. Формулы, форматы, объединённые ячейки и оформление перенесены из исходника 1:1.</t>
        </is>
      </c>
    </row>
    <row r="5">
      <c r="A5" s="10" t="inlineStr">
        <is>
          <t>Собрано автоматически из legacy/scales_multisheet_2026.xlsx (21 вкладок → 18 блоков) • tools/consolidate_scales.py • 2026-10-02</t>
        </is>
      </c>
    </row>
    <row r="7">
      <c r="A7" s="29" t="inlineStr">
        <is>
          <t>СОДЕРЖАНИЕ — клик по строке переносит к блоку дилера</t>
        </is>
      </c>
    </row>
    <row r="8" ht="15" customHeight="1">
      <c r="A8" s="30" t="inlineStr">
        <is>
          <t>1 • КОМПО Технолоджис • РФ • вкладка «КТ» • блок в строке 28</t>
        </is>
      </c>
    </row>
    <row r="9" ht="15" customHeight="1">
      <c r="A9" s="30" t="inlineStr">
        <is>
          <t>2 • НоваПак • РФ • вкладка «НоваПак» • блок в строке 70</t>
        </is>
      </c>
    </row>
    <row r="10" ht="15" customHeight="1">
      <c r="A10" s="30" t="inlineStr">
        <is>
          <t>3 • КСП (КОМПО-СП) • РФ • вкладка «КСП» • блок в строке 112</t>
        </is>
      </c>
    </row>
    <row r="11" ht="15" customHeight="1">
      <c r="A11" s="30" t="inlineStr">
        <is>
          <t>4 • Богатовъ Торговый Дом, Челябинск • РФ • вкладка «Богатовъ Торговый Дом, Челябинс» • блок в строке 155</t>
        </is>
      </c>
    </row>
    <row r="12" ht="15" customHeight="1">
      <c r="A12" s="30" t="inlineStr">
        <is>
          <t>5 • ASIAN BUSINESS SOLUTIONS, Узбекистан • Заруб • вкладка «ABS» • блок в строке 197</t>
        </is>
      </c>
    </row>
    <row r="13" ht="15" customHeight="1">
      <c r="A13" s="30" t="inlineStr">
        <is>
          <t>6 • Deling food • Заруб • вкладка «Deling fod» • блок в строке 234</t>
        </is>
      </c>
    </row>
    <row r="14" ht="15" customHeight="1">
      <c r="A14" s="30" t="inlineStr">
        <is>
          <t>7 • VitLine, Казахстан • Заруб • вкладка «VitLine» • блок в строке 271</t>
        </is>
      </c>
    </row>
    <row r="15" ht="15" customHeight="1">
      <c r="A15" s="30" t="inlineStr">
        <is>
          <t>8 • UNIVERSAL MEAT • Заруб • вкладка «Universal meat» • блок в строке 308</t>
        </is>
      </c>
    </row>
    <row r="16" ht="15" customHeight="1">
      <c r="A16" s="30" t="inlineStr">
        <is>
          <t>9 • КОМПО North America Inc • Заруб • вкладка «KNA» • блок в строке 346</t>
        </is>
      </c>
    </row>
    <row r="17" ht="15" customHeight="1">
      <c r="A17" s="30" t="inlineStr">
        <is>
          <t>10 • LUCKY &amp; S CO, Сербия • Заруб • вкладка «LUCKY &amp; S CO» • блок в строке 383</t>
        </is>
      </c>
    </row>
    <row r="18" ht="15" customHeight="1">
      <c r="A18" s="30" t="inlineStr">
        <is>
          <t>11 • Сейитлиев Мердан Иламанович, Туркменистан • Заруб • вкладка «Сейитлиев» • блок в строке 421</t>
        </is>
      </c>
    </row>
    <row r="19" ht="15" customHeight="1">
      <c r="A19" s="30" t="inlineStr">
        <is>
          <t>12 • Ingreda, Молдова • Заруб • вкладка «Ingreda» • блок в строке 459</t>
        </is>
      </c>
    </row>
    <row r="20" ht="15" customHeight="1">
      <c r="A20" s="30" t="inlineStr">
        <is>
          <t>13 • CLIPSOMAC, Алжир • Заруб • вкладка «CLIPSOMAC» • блок в строке 497</t>
        </is>
      </c>
    </row>
    <row r="21" ht="15" customHeight="1">
      <c r="A21" s="30" t="inlineStr">
        <is>
          <t>14 • Tida Tech, Таиланд • Заруб • вкладка «Tida Tech» • блок в строке 531</t>
        </is>
      </c>
    </row>
    <row r="22" ht="15" customHeight="1">
      <c r="A22" s="30" t="inlineStr">
        <is>
          <t>15 • Ari Makina, Турция • Заруб • вкладка «Ari Makina» • блок в строке 566</t>
        </is>
      </c>
    </row>
    <row r="23" ht="15" customHeight="1">
      <c r="A23" s="30" t="inlineStr">
        <is>
          <t>16 • Кабири Хучанд ООО, Таджикистан • Заруб • вкладка «Кабири Хучанд ООО» • блок в строке 600</t>
        </is>
      </c>
    </row>
    <row r="24" ht="15" customHeight="1">
      <c r="A24" s="30" t="inlineStr">
        <is>
          <t>17 • Flexo Food , Грузия • Заруб • вкладка «Flexo Food Ltd, Грузия» • блок в строке 638</t>
        </is>
      </c>
    </row>
    <row r="25" ht="15" customHeight="1">
      <c r="A25" s="30" t="inlineStr">
        <is>
          <t>18 • Гинап, Армения • Заруб • вкладка «ГИНАП, Армения» • блок в строке 676</t>
        </is>
      </c>
    </row>
    <row r="28" ht="20" customHeight="1">
      <c r="A28" s="9" t="inlineStr">
        <is>
          <t>### ДИЛЕР 1/18 • КОМПО Технолоджис • РФ (отчётность за квартал) • вкладка «КТ» • исходные строки 1–39 (A1:K39)</t>
        </is>
      </c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</row>
    <row r="29" outlineLevel="1"/>
    <row r="30" outlineLevel="1" ht="14.65" customHeight="1"/>
    <row r="31" outlineLevel="1" ht="42" customHeight="1">
      <c r="C31" s="32" t="inlineStr">
        <is>
          <t> </t>
        </is>
      </c>
      <c r="D31" s="33" t="inlineStr">
        <is>
          <t>Выручка 2024</t>
        </is>
      </c>
      <c r="E31" s="33" t="inlineStr">
        <is>
          <t>Выручка 2025</t>
        </is>
      </c>
      <c r="F31" s="33" t="inlineStr">
        <is>
          <t>План 2026</t>
        </is>
      </c>
      <c r="G31" s="34" t="inlineStr">
        <is>
          <t>Прирост П/Ф</t>
        </is>
      </c>
      <c r="H31" s="35" t="inlineStr">
        <is>
          <t>Размер бонуса по итогам 2026 г</t>
        </is>
      </c>
      <c r="I31" s="36" t="inlineStr">
        <is>
          <t>Скидка в 1 кв. 2026 ф.г.*</t>
        </is>
      </c>
    </row>
    <row r="32" outlineLevel="1" ht="24.95" customHeight="1">
      <c r="C32" s="37" t="inlineStr">
        <is>
          <t>КОМПО Технолоджис</t>
        </is>
      </c>
      <c r="D32" s="38" t="n">
        <v>4164812</v>
      </c>
      <c r="E32" s="38" t="n">
        <v>4121760</v>
      </c>
      <c r="F32" s="38">
        <f>SUM(F33:F35)</f>
        <v>4142911.99</v>
      </c>
      <c r="G32" s="39">
        <f>F32/E32-1</f>
        <v>0.005131785936105082</v>
      </c>
      <c r="H32" s="40" t="n"/>
      <c r="I32" s="41" t="n"/>
      <c r="K32" s="42" t="n"/>
    </row>
    <row r="33" outlineLevel="1" ht="24.95" customHeight="1">
      <c r="C33" s="43" t="inlineStr">
        <is>
          <t>Сервис</t>
        </is>
      </c>
      <c r="D33" s="44" t="n">
        <v>346883</v>
      </c>
      <c r="E33" s="44" t="n">
        <v>448343</v>
      </c>
      <c r="F33" s="45" t="n">
        <v>480437.9999999999</v>
      </c>
      <c r="G33" s="46" t="n"/>
      <c r="H33" s="47" t="n">
        <v>0.01</v>
      </c>
      <c r="I33" s="48" t="n">
        <v>0.3</v>
      </c>
    </row>
    <row r="34" outlineLevel="1" ht="24.95" customHeight="1">
      <c r="C34" s="49" t="inlineStr">
        <is>
          <t>Оборудование</t>
        </is>
      </c>
      <c r="D34" s="45" t="n">
        <v>2205660</v>
      </c>
      <c r="E34" s="45" t="n">
        <v>1710368</v>
      </c>
      <c r="F34" s="44" t="n">
        <v>2020593.75</v>
      </c>
      <c r="G34" s="46" t="n"/>
      <c r="H34" s="47" t="n">
        <v>0.015</v>
      </c>
      <c r="I34" s="50" t="n">
        <v>0.19</v>
      </c>
    </row>
    <row r="35" outlineLevel="1" ht="24.95" customHeight="1">
      <c r="C35" s="51" t="inlineStr">
        <is>
          <t>Расходные материалы</t>
        </is>
      </c>
      <c r="D35" s="52" t="n">
        <v>1612269</v>
      </c>
      <c r="E35" s="52" t="n">
        <v>1963049</v>
      </c>
      <c r="F35" s="52" t="n">
        <v>1641880.24</v>
      </c>
      <c r="G35" s="53" t="n"/>
      <c r="H35" s="54" t="n">
        <v>0.005</v>
      </c>
      <c r="I35" s="55" t="n">
        <v>0.06</v>
      </c>
    </row>
    <row r="36" outlineLevel="1" ht="26.45" customHeight="1">
      <c r="C36" s="56" t="inlineStr">
        <is>
          <t>* - скидка согласно правил работы ТПС на 2026 ф.г.</t>
        </is>
      </c>
      <c r="D36" s="57" t="n"/>
      <c r="E36" s="57" t="n"/>
      <c r="F36" s="57" t="n"/>
      <c r="G36" s="57" t="n"/>
      <c r="H36" s="58" t="n"/>
    </row>
    <row r="37" outlineLevel="1" ht="56.25" customHeight="1">
      <c r="C37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37" s="60" t="n"/>
      <c r="E37" s="60" t="n"/>
      <c r="F37" s="60" t="n"/>
      <c r="G37" s="60" t="n"/>
      <c r="H37" s="60" t="n"/>
    </row>
    <row r="38" outlineLevel="1"/>
    <row r="39" outlineLevel="1" ht="14.65" customHeight="1">
      <c r="C39" s="61" t="inlineStr">
        <is>
          <t xml:space="preserve">3.1.1. Система предоставления скидок </t>
        </is>
      </c>
    </row>
    <row r="40" outlineLevel="1" ht="26.65" customHeight="1">
      <c r="C40" s="62" t="inlineStr">
        <is>
          <t>ОБЪЕМ закупок оборудования (тысяч евро) за 3 месяца (квартал)</t>
        </is>
      </c>
      <c r="D40" s="63" t="n"/>
      <c r="E40" s="64" t="inlineStr">
        <is>
          <t>до 75</t>
        </is>
      </c>
      <c r="F40" s="64" t="inlineStr">
        <is>
          <t>75-114</t>
        </is>
      </c>
      <c r="G40" s="64" t="inlineStr">
        <is>
          <t>115-149</t>
        </is>
      </c>
      <c r="H40" s="64" t="inlineStr">
        <is>
          <t>150-189</t>
        </is>
      </c>
      <c r="I40" s="64" t="inlineStr">
        <is>
          <t>190-224</t>
        </is>
      </c>
      <c r="J40" s="64" t="inlineStr">
        <is>
          <t>225 и более</t>
        </is>
      </c>
    </row>
    <row r="41" outlineLevel="1" ht="14.65" customHeight="1">
      <c r="C41" s="65" t="inlineStr">
        <is>
          <t>1 Базовое вознаграждение за Дилерский договор</t>
        </is>
      </c>
      <c r="D41" s="66" t="inlineStr">
        <is>
          <t>Скидка %</t>
        </is>
      </c>
      <c r="E41" s="67" t="n">
        <v>6</v>
      </c>
      <c r="F41" s="67" t="n">
        <v>6</v>
      </c>
      <c r="G41" s="67" t="n">
        <v>6</v>
      </c>
      <c r="H41" s="67" t="n">
        <v>6</v>
      </c>
      <c r="I41" s="67" t="n">
        <v>6</v>
      </c>
      <c r="J41" s="67" t="n">
        <v>6</v>
      </c>
    </row>
    <row r="42" outlineLevel="1" ht="14.65" customHeight="1">
      <c r="C42" s="68" t="inlineStr">
        <is>
          <t xml:space="preserve">2.1.1. Сервисный центр </t>
        </is>
      </c>
      <c r="D42" s="66" t="inlineStr">
        <is>
          <t>Скидка %</t>
        </is>
      </c>
      <c r="E42" s="69" t="n">
        <v>6</v>
      </c>
      <c r="F42" s="69" t="n">
        <v>6</v>
      </c>
      <c r="G42" s="69" t="n">
        <v>6</v>
      </c>
      <c r="H42" s="69" t="n">
        <v>6</v>
      </c>
      <c r="I42" s="69" t="n">
        <v>6</v>
      </c>
      <c r="J42" s="69" t="n">
        <v>6</v>
      </c>
    </row>
    <row r="43" outlineLevel="1" ht="14.65" customHeight="1">
      <c r="C43" s="68" t="inlineStr">
        <is>
          <t>2.1.2. Сервисный центр - гарантийное обслуживание</t>
        </is>
      </c>
      <c r="D43" s="66" t="inlineStr">
        <is>
          <t>Скидка %</t>
        </is>
      </c>
      <c r="E43" s="69" t="n">
        <v>1</v>
      </c>
      <c r="F43" s="69" t="n">
        <v>1</v>
      </c>
      <c r="G43" s="69" t="n">
        <v>1</v>
      </c>
      <c r="H43" s="69" t="n">
        <v>1</v>
      </c>
      <c r="I43" s="69" t="n">
        <v>1</v>
      </c>
      <c r="J43" s="69" t="n">
        <v>1</v>
      </c>
    </row>
    <row r="44" outlineLevel="1" ht="26.65" customHeight="1">
      <c r="B44" t="inlineStr">
        <is>
          <t>???</t>
        </is>
      </c>
      <c r="C44" s="68" t="inlineStr">
        <is>
          <t>2.3 Наличие минимальных складских остатков по оборудованию</t>
        </is>
      </c>
      <c r="D44" s="66" t="inlineStr">
        <is>
          <t>Ретро-скидка %</t>
        </is>
      </c>
      <c r="E44" s="69" t="n">
        <v>1</v>
      </c>
      <c r="F44" s="69" t="n">
        <v>1</v>
      </c>
      <c r="G44" s="69" t="n">
        <v>1</v>
      </c>
      <c r="H44" s="69" t="n">
        <v>1</v>
      </c>
      <c r="I44" s="69" t="n">
        <v>1</v>
      </c>
      <c r="J44" s="69" t="n">
        <v>1</v>
      </c>
    </row>
    <row r="45" outlineLevel="1" ht="39.75" customHeight="1">
      <c r="C45" s="70" t="inlineStr">
        <is>
          <t>3 Объем закупок МП</t>
        </is>
      </c>
      <c r="D45" s="71" t="inlineStr">
        <is>
          <t>скидка будущих периодов %</t>
        </is>
      </c>
      <c r="E45" s="72" t="n">
        <v>0</v>
      </c>
      <c r="F45" s="72" t="n">
        <v>1</v>
      </c>
      <c r="G45" s="72" t="n">
        <v>2</v>
      </c>
      <c r="H45" s="72" t="n">
        <v>3</v>
      </c>
      <c r="I45" s="72" t="n">
        <v>4</v>
      </c>
      <c r="J45" s="72" t="n">
        <v>5</v>
      </c>
    </row>
    <row r="46" outlineLevel="1" ht="14.65" customHeight="1">
      <c r="C46" s="73" t="inlineStr">
        <is>
          <t>ИТОГО по МП:</t>
        </is>
      </c>
      <c r="D46" s="74" t="n"/>
      <c r="E46" s="75">
        <f>SUM(E41:E45)</f>
        <v>14</v>
      </c>
      <c r="F46" s="75">
        <f>SUM(F41:F45)</f>
        <v>15</v>
      </c>
      <c r="G46" s="75">
        <f>SUM(G41:G45)</f>
        <v>16</v>
      </c>
      <c r="H46" s="75">
        <f>SUM(H41:H45)</f>
        <v>17</v>
      </c>
      <c r="I46" s="75">
        <f>SUM(I41:I45)</f>
        <v>18</v>
      </c>
      <c r="J46" s="76">
        <f>SUM(J41:J45)</f>
        <v>19</v>
      </c>
    </row>
    <row r="47" outlineLevel="1" ht="26.65" customHeight="1">
      <c r="C47" s="62" t="inlineStr">
        <is>
          <t>ОБЪЕМ закупок РМ (тысяч евро) за 3 месяца (квартал)</t>
        </is>
      </c>
      <c r="D47" s="63" t="n"/>
      <c r="E47" s="64" t="inlineStr">
        <is>
          <t>до 75</t>
        </is>
      </c>
      <c r="F47" s="64" t="inlineStr">
        <is>
          <t>75-115</t>
        </is>
      </c>
      <c r="G47" s="64" t="inlineStr">
        <is>
          <t>115-150</t>
        </is>
      </c>
      <c r="H47" s="64" t="inlineStr">
        <is>
          <t>150-190</t>
        </is>
      </c>
      <c r="I47" s="64" t="inlineStr">
        <is>
          <t>190-225</t>
        </is>
      </c>
      <c r="J47" s="64" t="inlineStr">
        <is>
          <t>225 и более</t>
        </is>
      </c>
    </row>
    <row r="48" outlineLevel="1" ht="39.75" customHeight="1">
      <c r="C48" s="70" t="inlineStr">
        <is>
          <t>Наличие минимальных складских остатков по РМ (синхронизация отчета по остаткам с 1С КОМПО)</t>
        </is>
      </c>
      <c r="D48" s="71" t="inlineStr">
        <is>
          <t>Скидка будущих периодов, %</t>
        </is>
      </c>
      <c r="E48" s="72" t="n">
        <v>1</v>
      </c>
      <c r="F48" s="72" t="n">
        <v>1</v>
      </c>
      <c r="G48" s="72" t="n">
        <v>1</v>
      </c>
      <c r="H48" s="72" t="n">
        <v>1</v>
      </c>
      <c r="I48" s="72" t="n">
        <v>1</v>
      </c>
      <c r="J48" s="77" t="n">
        <v>1</v>
      </c>
    </row>
    <row r="49" outlineLevel="1" ht="39.75" customHeight="1">
      <c r="C49" s="70" t="inlineStr">
        <is>
          <t xml:space="preserve"> Объем закупок РМ</t>
        </is>
      </c>
      <c r="D49" s="71" t="inlineStr">
        <is>
          <t>скидка будущих периодов, %</t>
        </is>
      </c>
      <c r="E49" s="72" t="n">
        <v>0</v>
      </c>
      <c r="F49" s="72" t="n">
        <v>1</v>
      </c>
      <c r="G49" s="72" t="n">
        <v>2</v>
      </c>
      <c r="H49" s="72" t="n">
        <v>3</v>
      </c>
      <c r="I49" s="72" t="n">
        <v>4</v>
      </c>
      <c r="J49" s="77" t="n">
        <v>5</v>
      </c>
    </row>
    <row r="50" outlineLevel="1" ht="14.65" customHeight="1">
      <c r="C50" s="61" t="n"/>
    </row>
    <row r="51" outlineLevel="1" ht="14.65" customHeight="1">
      <c r="C51" s="78" t="inlineStr">
        <is>
          <t xml:space="preserve">СИСТЕМА РАСЧЕТА СКИДКИ ПО ЗАПЧАСТЯМ </t>
        </is>
      </c>
      <c r="D51" s="79" t="n"/>
      <c r="E51" s="79" t="n"/>
      <c r="F51" s="80" t="n"/>
    </row>
    <row r="52" outlineLevel="1" ht="38.25" customHeight="1">
      <c r="C52" s="81" t="n"/>
      <c r="D52" s="82" t="inlineStr">
        <is>
          <t>Отношение объема закупок ЗЧ к парку оборудования, евро / ед. об.</t>
        </is>
      </c>
      <c r="E52" s="80" t="n"/>
      <c r="F52" s="83" t="inlineStr">
        <is>
          <t>Процент скидки</t>
        </is>
      </c>
    </row>
    <row r="53" outlineLevel="1" ht="14.65" customHeight="1">
      <c r="C53" s="84" t="n"/>
      <c r="D53" s="85" t="inlineStr">
        <is>
          <t>без статуса партнера</t>
        </is>
      </c>
      <c r="E53" s="85" t="n"/>
      <c r="F53" s="86" t="n">
        <v>0.15</v>
      </c>
    </row>
    <row r="54" outlineLevel="1" ht="14.65" customHeight="1">
      <c r="C54" s="81" t="inlineStr">
        <is>
          <t>диапазон отношения</t>
        </is>
      </c>
      <c r="D54" s="87" t="n">
        <v>0</v>
      </c>
      <c r="E54" s="87" t="n">
        <v>500</v>
      </c>
      <c r="F54" s="86" t="n">
        <v>0.19</v>
      </c>
    </row>
    <row r="55" outlineLevel="1" ht="14.65" customHeight="1">
      <c r="C55" s="81" t="inlineStr">
        <is>
          <t>диапазон отношения</t>
        </is>
      </c>
      <c r="D55" s="87" t="n">
        <v>501</v>
      </c>
      <c r="E55" s="88" t="n">
        <v>1000</v>
      </c>
      <c r="F55" s="86" t="n">
        <v>0.21</v>
      </c>
    </row>
    <row r="56" outlineLevel="1" ht="14.65" customHeight="1">
      <c r="C56" s="81" t="inlineStr">
        <is>
          <t>диапазон отношения</t>
        </is>
      </c>
      <c r="D56" s="87" t="n">
        <v>1001</v>
      </c>
      <c r="E56" s="88" t="n">
        <v>1800</v>
      </c>
      <c r="F56" s="86" t="n">
        <v>0.23</v>
      </c>
    </row>
    <row r="57" outlineLevel="1" ht="14.65" customHeight="1">
      <c r="C57" s="81" t="inlineStr">
        <is>
          <t>диапазон отношения</t>
        </is>
      </c>
      <c r="D57" s="87" t="n">
        <v>1801</v>
      </c>
      <c r="E57" s="88" t="n">
        <v>2400</v>
      </c>
      <c r="F57" s="86" t="n">
        <v>0.25</v>
      </c>
    </row>
    <row r="58" outlineLevel="1" ht="14.65" customHeight="1">
      <c r="C58" s="81" t="inlineStr">
        <is>
          <t>диапазон отношения</t>
        </is>
      </c>
      <c r="D58" s="87" t="n">
        <v>2401</v>
      </c>
      <c r="E58" s="88" t="n">
        <v>3000</v>
      </c>
      <c r="F58" s="86" t="n">
        <v>0.27</v>
      </c>
    </row>
    <row r="59" outlineLevel="1" ht="14.65" customHeight="1">
      <c r="C59" s="81" t="inlineStr">
        <is>
          <t>диапазон отношения</t>
        </is>
      </c>
      <c r="D59" s="87" t="n">
        <v>3001</v>
      </c>
      <c r="E59" s="87" t="n"/>
      <c r="F59" s="89" t="n">
        <v>0.3</v>
      </c>
    </row>
    <row r="60" outlineLevel="1" ht="15.75" customHeight="1">
      <c r="C60" s="90" t="inlineStr">
        <is>
          <t>Система контроля как и система бонусирования работает ежеквартально (до 5го числа месяца, следующего за отчетным кварталом), кроме годового бонуса.</t>
        </is>
      </c>
      <c r="D60" s="90" t="n"/>
      <c r="E60" s="90" t="n"/>
    </row>
    <row r="61" outlineLevel="1" ht="14.65" customHeight="1">
      <c r="C61" s="61" t="n"/>
    </row>
    <row r="62" outlineLevel="1" ht="26.65" customHeight="1">
      <c r="C62" s="91" t="inlineStr">
        <is>
          <t>Система контроля квартального и годового бонусирования</t>
        </is>
      </c>
      <c r="D62" s="92" t="n"/>
      <c r="E62" s="93" t="n"/>
    </row>
    <row r="63" outlineLevel="1" ht="52.9" customHeight="1">
      <c r="C63" s="94" t="inlineStr">
        <is>
          <t>уменьшение бонуса за невыполнение минимальных квартальных показателей закупок по МП (при наличии установленного показателя)</t>
        </is>
      </c>
      <c r="D63" s="95" t="inlineStr">
        <is>
          <t>скидка будущих периодов квартала, %</t>
        </is>
      </c>
      <c r="E63" s="96" t="n">
        <v>1</v>
      </c>
    </row>
    <row r="64" outlineLevel="1" ht="52.9" customHeight="1">
      <c r="C64" s="94" t="inlineStr">
        <is>
          <t>уменьшение бонуса за невыполнение минимальных квартальных показателей закупок по РМ (при наличии установленного показателя)</t>
        </is>
      </c>
      <c r="D64" s="95" t="inlineStr">
        <is>
          <t>скидка будущих периодов квартала, %</t>
        </is>
      </c>
      <c r="E64" s="96" t="n">
        <v>1</v>
      </c>
    </row>
    <row r="65" outlineLevel="1" ht="52.9" customHeight="1">
      <c r="C65" s="94" t="inlineStr">
        <is>
          <t xml:space="preserve"> за несвоевременное предоставление Скользящего прогноза</t>
        </is>
      </c>
      <c r="D65" s="95" t="inlineStr">
        <is>
          <t>скидка будущих периодов квартала, %</t>
        </is>
      </c>
      <c r="E65" s="96" t="n">
        <v>0.5</v>
      </c>
    </row>
    <row r="66" outlineLevel="1" ht="52.9" customHeight="1">
      <c r="C66" s="94" t="inlineStr">
        <is>
          <t>уменьшение бонуса за отказ от зарезервированного оборудования</t>
        </is>
      </c>
      <c r="D66" s="95" t="inlineStr">
        <is>
          <t>скидка будущих периодов квартала, %</t>
        </is>
      </c>
      <c r="E66" s="96" t="n">
        <v>0.5</v>
      </c>
    </row>
    <row r="67" outlineLevel="1" ht="14.65" customHeight="1">
      <c r="C67" s="97" t="inlineStr">
        <is>
          <t>Выполнение плановых показателей года ИТОГО</t>
        </is>
      </c>
      <c r="D67" s="98" t="inlineStr">
        <is>
          <t>ретро-бонус %</t>
        </is>
      </c>
      <c r="E67" s="99" t="n">
        <v>1</v>
      </c>
    </row>
    <row r="70" ht="20" customHeight="1">
      <c r="A70" s="9" t="inlineStr">
        <is>
          <t>### ДИЛЕР 2/18 • НоваПак • РФ (отчётность за квартал) • вкладка «НоваПак» • исходные строки 1–39 (A1:K39)</t>
        </is>
      </c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</row>
    <row r="71" outlineLevel="1"/>
    <row r="72" outlineLevel="1" ht="14.65" customHeight="1"/>
    <row r="73" outlineLevel="1" ht="41.45" customHeight="1">
      <c r="C73" s="32" t="inlineStr">
        <is>
          <t> </t>
        </is>
      </c>
      <c r="D73" s="33" t="inlineStr">
        <is>
          <t>Выручка 2024</t>
        </is>
      </c>
      <c r="E73" s="33" t="inlineStr">
        <is>
          <t>Выручка 2025</t>
        </is>
      </c>
      <c r="F73" s="33" t="inlineStr">
        <is>
          <t>План 2026</t>
        </is>
      </c>
      <c r="G73" s="34" t="inlineStr">
        <is>
          <t>Прирост П/Ф</t>
        </is>
      </c>
      <c r="H73" s="35" t="inlineStr">
        <is>
          <t>Размер бонуса по итогам 2026 г</t>
        </is>
      </c>
      <c r="I73" s="36" t="inlineStr">
        <is>
          <t>Скидка в 1 кв. 2026 ф.г.*</t>
        </is>
      </c>
    </row>
    <row r="74" outlineLevel="1" ht="24.95" customHeight="1">
      <c r="C74" s="37" t="inlineStr">
        <is>
          <t>НоваПак</t>
        </is>
      </c>
      <c r="D74" s="38" t="n">
        <v>1609061</v>
      </c>
      <c r="E74" s="38" t="n">
        <v>1299534</v>
      </c>
      <c r="F74" s="38">
        <f>SUM(F75:F77)</f>
        <v>1812000</v>
      </c>
      <c r="G74" s="39">
        <f>F74/E74-1</f>
        <v>0.39434597324887233</v>
      </c>
      <c r="H74" s="40" t="n"/>
      <c r="I74" s="41" t="n"/>
    </row>
    <row r="75" outlineLevel="1">
      <c r="C75" s="43" t="inlineStr">
        <is>
          <t>Сервис</t>
        </is>
      </c>
      <c r="D75" s="44" t="n">
        <v>233434</v>
      </c>
      <c r="E75" s="44" t="n">
        <v>302280</v>
      </c>
      <c r="F75" s="45" t="n">
        <v>365000</v>
      </c>
      <c r="G75" s="46" t="n"/>
      <c r="H75" s="47" t="n">
        <v>0.01</v>
      </c>
      <c r="I75" s="48" t="n">
        <v>0.27</v>
      </c>
      <c r="K75" s="42" t="n"/>
    </row>
    <row r="76" outlineLevel="1">
      <c r="C76" s="49" t="inlineStr">
        <is>
          <t>Оборудование</t>
        </is>
      </c>
      <c r="D76" s="45" t="n">
        <v>912543</v>
      </c>
      <c r="E76" s="45" t="n">
        <v>401117</v>
      </c>
      <c r="F76" s="44" t="n">
        <v>787000</v>
      </c>
      <c r="G76" s="46" t="n"/>
      <c r="H76" s="47" t="n">
        <v>0.015</v>
      </c>
      <c r="I76" s="50" t="n">
        <v>0.15</v>
      </c>
    </row>
    <row r="77" outlineLevel="1" ht="14.65" customHeight="1">
      <c r="C77" s="51" t="inlineStr">
        <is>
          <t>Расходные материалы</t>
        </is>
      </c>
      <c r="D77" s="52" t="n">
        <v>463084</v>
      </c>
      <c r="E77" s="52" t="n">
        <v>596137</v>
      </c>
      <c r="F77" s="52" t="n">
        <v>660000</v>
      </c>
      <c r="G77" s="53" t="n"/>
      <c r="H77" s="54" t="n">
        <v>0.005</v>
      </c>
      <c r="I77" s="55" t="n">
        <v>0.02</v>
      </c>
    </row>
    <row r="78" outlineLevel="1" ht="14.65" customHeight="1">
      <c r="C78" s="56" t="inlineStr">
        <is>
          <t>* - скидка согласно правил работы ТПС на 2026 ф.г.</t>
        </is>
      </c>
      <c r="D78" s="57" t="n"/>
      <c r="E78" s="57" t="n"/>
      <c r="F78" s="57" t="n"/>
      <c r="G78" s="57" t="n"/>
      <c r="H78" s="58" t="n"/>
    </row>
    <row r="79" outlineLevel="1" ht="54.75" customHeight="1">
      <c r="C79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79" s="60" t="n"/>
      <c r="E79" s="60" t="n"/>
      <c r="F79" s="60" t="n"/>
      <c r="G79" s="60" t="n"/>
      <c r="H79" s="60" t="n"/>
    </row>
    <row r="80" outlineLevel="1"/>
    <row r="81" outlineLevel="1" ht="14.65" customHeight="1">
      <c r="C81" s="61" t="inlineStr">
        <is>
          <t xml:space="preserve">3.1.1. Система предоставления скидок </t>
        </is>
      </c>
    </row>
    <row r="82" outlineLevel="1" ht="14.65" customHeight="1">
      <c r="C82" s="62" t="inlineStr">
        <is>
          <t>ОБЪЕМ закупок оборудования (тысяч евро) за 3 месяца (квартал)</t>
        </is>
      </c>
      <c r="D82" s="63" t="n"/>
      <c r="E82" s="64" t="inlineStr">
        <is>
          <t>до 75</t>
        </is>
      </c>
      <c r="F82" s="64" t="inlineStr">
        <is>
          <t>75-114</t>
        </is>
      </c>
      <c r="G82" s="64" t="inlineStr">
        <is>
          <t>115-149</t>
        </is>
      </c>
      <c r="H82" s="64" t="inlineStr">
        <is>
          <t>150-189</t>
        </is>
      </c>
      <c r="I82" s="64" t="inlineStr">
        <is>
          <t>190-224</t>
        </is>
      </c>
      <c r="J82" s="64" t="inlineStr">
        <is>
          <t>225 и более</t>
        </is>
      </c>
    </row>
    <row r="83" outlineLevel="1" ht="14.65" customHeight="1">
      <c r="C83" s="65" t="inlineStr">
        <is>
          <t>1 Базовое вознаграждение за Дилерский договор</t>
        </is>
      </c>
      <c r="D83" s="66" t="inlineStr">
        <is>
          <t>Скидка %</t>
        </is>
      </c>
      <c r="E83" s="67" t="n">
        <v>6</v>
      </c>
      <c r="F83" s="67" t="n">
        <v>6</v>
      </c>
      <c r="G83" s="67" t="n">
        <v>6</v>
      </c>
      <c r="H83" s="67" t="n">
        <v>6</v>
      </c>
      <c r="I83" s="67" t="n">
        <v>6</v>
      </c>
      <c r="J83" s="67" t="n">
        <v>6</v>
      </c>
    </row>
    <row r="84" outlineLevel="1" ht="14.65" customHeight="1">
      <c r="C84" s="68" t="inlineStr">
        <is>
          <t xml:space="preserve">2.1.1. Сервисный центр </t>
        </is>
      </c>
      <c r="D84" s="66" t="inlineStr">
        <is>
          <t>Скидка %</t>
        </is>
      </c>
      <c r="E84" s="69" t="n">
        <v>6</v>
      </c>
      <c r="F84" s="69" t="n">
        <v>6</v>
      </c>
      <c r="G84" s="69" t="n">
        <v>6</v>
      </c>
      <c r="H84" s="69" t="n">
        <v>6</v>
      </c>
      <c r="I84" s="69" t="n">
        <v>6</v>
      </c>
      <c r="J84" s="69" t="n">
        <v>6</v>
      </c>
    </row>
    <row r="85" outlineLevel="1" ht="14.65" customHeight="1">
      <c r="C85" s="68" t="inlineStr">
        <is>
          <t>2.1.2. Сервисный центр - гарантийное обслуживание</t>
        </is>
      </c>
      <c r="D85" s="66" t="inlineStr">
        <is>
          <t>Скидка %</t>
        </is>
      </c>
      <c r="E85" s="69" t="n">
        <v>1</v>
      </c>
      <c r="F85" s="69" t="n">
        <v>1</v>
      </c>
      <c r="G85" s="69" t="n">
        <v>1</v>
      </c>
      <c r="H85" s="69" t="n">
        <v>1</v>
      </c>
      <c r="I85" s="69" t="n">
        <v>1</v>
      </c>
      <c r="J85" s="69" t="n">
        <v>1</v>
      </c>
    </row>
    <row r="86" outlineLevel="1" ht="14.65" customHeight="1">
      <c r="C86" s="68" t="inlineStr">
        <is>
          <t>2.3 Наличие минимальных складских остатков по оборудованию</t>
        </is>
      </c>
      <c r="D86" s="66" t="inlineStr">
        <is>
          <t>Ретро-скидка %</t>
        </is>
      </c>
      <c r="E86" s="69" t="n">
        <v>1</v>
      </c>
      <c r="F86" s="69" t="n">
        <v>1</v>
      </c>
      <c r="G86" s="69" t="n">
        <v>1</v>
      </c>
      <c r="H86" s="69" t="n">
        <v>1</v>
      </c>
      <c r="I86" s="69" t="n">
        <v>1</v>
      </c>
      <c r="J86" s="69" t="n">
        <v>1</v>
      </c>
    </row>
    <row r="87" outlineLevel="1" ht="26.65" customHeight="1">
      <c r="C87" s="70" t="inlineStr">
        <is>
          <t>3 Объем закупок МП</t>
        </is>
      </c>
      <c r="D87" s="71" t="inlineStr">
        <is>
          <t>скидка будущих периодов %</t>
        </is>
      </c>
      <c r="E87" s="72" t="n">
        <v>0</v>
      </c>
      <c r="F87" s="72" t="n">
        <v>1</v>
      </c>
      <c r="G87" s="72" t="n">
        <v>2</v>
      </c>
      <c r="H87" s="72" t="n">
        <v>3</v>
      </c>
      <c r="I87" s="72" t="n">
        <v>4</v>
      </c>
      <c r="J87" s="72" t="n">
        <v>5</v>
      </c>
    </row>
    <row r="88" outlineLevel="1" ht="14.65" customHeight="1">
      <c r="C88" s="73" t="inlineStr">
        <is>
          <t>ИТОГО по МП:</t>
        </is>
      </c>
      <c r="D88" s="74" t="n"/>
      <c r="E88" s="75">
        <f>SUM(E83:E87)</f>
        <v>14</v>
      </c>
      <c r="F88" s="76">
        <f>SUM(F83:F87)</f>
        <v>15</v>
      </c>
      <c r="G88" s="75">
        <f>SUM(G83:G87)</f>
        <v>16</v>
      </c>
      <c r="H88" s="75">
        <f>SUM(H83:H87)</f>
        <v>17</v>
      </c>
      <c r="I88" s="75">
        <f>SUM(I83:I87)</f>
        <v>18</v>
      </c>
      <c r="J88" s="75">
        <f>SUM(J83:J87)</f>
        <v>19</v>
      </c>
    </row>
    <row r="89" outlineLevel="1" ht="14.65" customHeight="1">
      <c r="C89" s="62" t="inlineStr">
        <is>
          <t>ОБЪЕМ закупок РМ (тысяч евро) за 3 месяца (квартал)</t>
        </is>
      </c>
      <c r="D89" s="63" t="n"/>
      <c r="E89" s="64" t="inlineStr">
        <is>
          <t>до 75</t>
        </is>
      </c>
      <c r="F89" s="64" t="inlineStr">
        <is>
          <t>75-115</t>
        </is>
      </c>
      <c r="G89" s="64" t="inlineStr">
        <is>
          <t>115-150</t>
        </is>
      </c>
      <c r="H89" s="64" t="inlineStr">
        <is>
          <t>150-190</t>
        </is>
      </c>
      <c r="I89" s="64" t="inlineStr">
        <is>
          <t>190-225</t>
        </is>
      </c>
      <c r="J89" s="64" t="inlineStr">
        <is>
          <t>225 и более</t>
        </is>
      </c>
    </row>
    <row r="90" outlineLevel="1" ht="26.65" customHeight="1">
      <c r="C90" s="70" t="inlineStr">
        <is>
          <t>Наличие минимальных складских остатков по РМ (синхронизация отчета по остаткам с 1С КОМПО)</t>
        </is>
      </c>
      <c r="D90" s="71" t="inlineStr">
        <is>
          <t>Скидка будущих периодов, %</t>
        </is>
      </c>
      <c r="E90" s="72" t="n">
        <v>1</v>
      </c>
      <c r="F90" s="72" t="n">
        <v>1</v>
      </c>
      <c r="G90" s="72" t="n">
        <v>1</v>
      </c>
      <c r="H90" s="72" t="n">
        <v>1</v>
      </c>
      <c r="I90" s="72" t="n">
        <v>1</v>
      </c>
      <c r="J90" s="72" t="n">
        <v>1</v>
      </c>
    </row>
    <row r="91" outlineLevel="1" ht="26.65" customHeight="1">
      <c r="C91" s="70" t="inlineStr">
        <is>
          <t xml:space="preserve"> Объем закупок РМ</t>
        </is>
      </c>
      <c r="D91" s="71" t="inlineStr">
        <is>
          <t>скидка будущих периодов, %</t>
        </is>
      </c>
      <c r="E91" s="72" t="n">
        <v>0</v>
      </c>
      <c r="F91" s="72" t="n">
        <v>1</v>
      </c>
      <c r="G91" s="77" t="n">
        <v>2</v>
      </c>
      <c r="H91" s="72" t="n">
        <v>3</v>
      </c>
      <c r="I91" s="72" t="n">
        <v>4</v>
      </c>
      <c r="J91" s="72" t="n">
        <v>5</v>
      </c>
    </row>
    <row r="92" outlineLevel="1" ht="14.65" customHeight="1">
      <c r="C92" s="61" t="n"/>
    </row>
    <row r="93" outlineLevel="1" ht="14.65" customHeight="1">
      <c r="C93" s="78" t="inlineStr">
        <is>
          <t xml:space="preserve">СИСТЕМА РАСЧЕТА СКИДКИ ПО ЗАПЧАСТЯМ </t>
        </is>
      </c>
      <c r="D93" s="79" t="n"/>
      <c r="E93" s="79" t="n"/>
      <c r="F93" s="80" t="n"/>
    </row>
    <row r="94" outlineLevel="1" ht="38.25" customHeight="1">
      <c r="C94" s="81" t="n"/>
      <c r="D94" s="82" t="inlineStr">
        <is>
          <t>Отношение объема закупок ЗЧ к парку оборудования, евро / ед. об.</t>
        </is>
      </c>
      <c r="E94" s="80" t="n"/>
      <c r="F94" s="83" t="inlineStr">
        <is>
          <t>Процент скидки</t>
        </is>
      </c>
    </row>
    <row r="95" outlineLevel="1" ht="14.65" customHeight="1">
      <c r="C95" s="84" t="n"/>
      <c r="D95" s="85" t="inlineStr">
        <is>
          <t>без статуса партнера</t>
        </is>
      </c>
      <c r="E95" s="85" t="n"/>
      <c r="F95" s="86" t="n">
        <v>0.15</v>
      </c>
    </row>
    <row r="96" outlineLevel="1" ht="14.65" customHeight="1">
      <c r="C96" s="81" t="inlineStr">
        <is>
          <t>диапазон отношения</t>
        </is>
      </c>
      <c r="D96" s="87" t="n">
        <v>0</v>
      </c>
      <c r="E96" s="87" t="n">
        <v>500</v>
      </c>
      <c r="F96" s="86" t="n">
        <v>0.19</v>
      </c>
    </row>
    <row r="97" outlineLevel="1" ht="14.65" customHeight="1">
      <c r="C97" s="81" t="inlineStr">
        <is>
          <t>диапазон отношения</t>
        </is>
      </c>
      <c r="D97" s="87" t="n">
        <v>501</v>
      </c>
      <c r="E97" s="88" t="n">
        <v>1000</v>
      </c>
      <c r="F97" s="86" t="n">
        <v>0.21</v>
      </c>
    </row>
    <row r="98" outlineLevel="1" ht="14.65" customHeight="1">
      <c r="C98" s="81" t="inlineStr">
        <is>
          <t>диапазон отношения</t>
        </is>
      </c>
      <c r="D98" s="87" t="n">
        <v>1001</v>
      </c>
      <c r="E98" s="88" t="n">
        <v>1800</v>
      </c>
      <c r="F98" s="86" t="n">
        <v>0.23</v>
      </c>
    </row>
    <row r="99" outlineLevel="1" ht="14.65" customHeight="1">
      <c r="C99" s="81" t="inlineStr">
        <is>
          <t>диапазон отношения</t>
        </is>
      </c>
      <c r="D99" s="87" t="n">
        <v>1801</v>
      </c>
      <c r="E99" s="88" t="n">
        <v>2400</v>
      </c>
      <c r="F99" s="86" t="n">
        <v>0.25</v>
      </c>
    </row>
    <row r="100" outlineLevel="1" ht="14.65" customHeight="1">
      <c r="C100" s="81" t="inlineStr">
        <is>
          <t>диапазон отношения</t>
        </is>
      </c>
      <c r="D100" s="87" t="n">
        <v>2401</v>
      </c>
      <c r="E100" s="88" t="n">
        <v>3000</v>
      </c>
      <c r="F100" s="89" t="n">
        <v>0.27</v>
      </c>
    </row>
    <row r="101" outlineLevel="1" ht="14.65" customHeight="1">
      <c r="C101" s="81" t="inlineStr">
        <is>
          <t>диапазон отношения</t>
        </is>
      </c>
      <c r="D101" s="87" t="n">
        <v>3001</v>
      </c>
      <c r="E101" s="87" t="n"/>
      <c r="F101" s="86" t="n">
        <v>0.3</v>
      </c>
    </row>
    <row r="102" outlineLevel="1" ht="15.75" customHeight="1">
      <c r="C102" s="90" t="inlineStr">
        <is>
          <t>Система контроля как и система бонусирования работает ежеквартально (до 5го числа месяца, следующего за отчетным кварталом), кроме годового бонуса.</t>
        </is>
      </c>
      <c r="D102" s="90" t="n"/>
      <c r="E102" s="90" t="n"/>
    </row>
    <row r="103" outlineLevel="1" ht="14.65" customHeight="1">
      <c r="C103" s="61" t="n"/>
    </row>
    <row r="104" outlineLevel="1" ht="14.65" customHeight="1">
      <c r="C104" s="91" t="inlineStr">
        <is>
          <t>Система контроля квартального и годового бонусирования</t>
        </is>
      </c>
      <c r="D104" s="92" t="n"/>
      <c r="E104" s="93" t="n"/>
    </row>
    <row r="105" outlineLevel="1" ht="39.75" customHeight="1">
      <c r="C105" s="94" t="inlineStr">
        <is>
          <t>уменьшение бонуса за невыполнение минимальных квартальных показателей закупок по МП (при наличии установленного показателя)</t>
        </is>
      </c>
      <c r="D105" s="95" t="inlineStr">
        <is>
          <t>скидка будущих периодов квартала, %</t>
        </is>
      </c>
      <c r="E105" s="96" t="n">
        <v>1</v>
      </c>
    </row>
    <row r="106" outlineLevel="1" ht="39.75" customHeight="1">
      <c r="C106" s="94" t="inlineStr">
        <is>
          <t>уменьшение бонуса за невыполнение минимальных квартальных показателей закупок по РМ (при наличии установленного показателя)</t>
        </is>
      </c>
      <c r="D106" s="95" t="inlineStr">
        <is>
          <t>скидка будущих периодов квартала, %</t>
        </is>
      </c>
      <c r="E106" s="96" t="n">
        <v>1</v>
      </c>
    </row>
    <row r="107" outlineLevel="1" ht="39.75" customHeight="1">
      <c r="C107" s="94" t="inlineStr">
        <is>
          <t xml:space="preserve"> за несвоевременное предоставление Скользящего прогноза</t>
        </is>
      </c>
      <c r="D107" s="95" t="inlineStr">
        <is>
          <t>скидка будущих периодов квартала, %</t>
        </is>
      </c>
      <c r="E107" s="96" t="n">
        <v>0.5</v>
      </c>
    </row>
    <row r="108" outlineLevel="1" ht="39.75" customHeight="1">
      <c r="C108" s="94" t="inlineStr">
        <is>
          <t>уменьшение бонуса за отказ от зарезервированного оборудования</t>
        </is>
      </c>
      <c r="D108" s="95" t="inlineStr">
        <is>
          <t>скидка будущих периодов квартала, %</t>
        </is>
      </c>
      <c r="E108" s="96" t="n">
        <v>0.5</v>
      </c>
    </row>
    <row r="109" outlineLevel="1" ht="14.65" customHeight="1">
      <c r="C109" s="97" t="inlineStr">
        <is>
          <t>Выполнение плановых показателей года ИТОГО</t>
        </is>
      </c>
      <c r="D109" s="98" t="inlineStr">
        <is>
          <t>ретро-бонус %</t>
        </is>
      </c>
      <c r="E109" s="99" t="n">
        <v>1</v>
      </c>
    </row>
    <row r="112" ht="20" customHeight="1">
      <c r="A112" s="9" t="inlineStr">
        <is>
          <t>### ДИЛЕР 3/18 • КСП (КОМПО-СП) • РФ (отчётность за квартал) • вкладка «КСП» • исходные строки 1–40 (A1:J40)</t>
        </is>
      </c>
      <c r="B112" s="31" t="n"/>
      <c r="C112" s="31" t="n"/>
      <c r="D112" s="31" t="n"/>
      <c r="E112" s="31" t="n"/>
      <c r="F112" s="31" t="n"/>
      <c r="G112" s="31" t="n"/>
      <c r="H112" s="31" t="n"/>
      <c r="I112" s="31" t="n"/>
      <c r="J112" s="31" t="n"/>
    </row>
    <row r="113" outlineLevel="1"/>
    <row r="114" outlineLevel="1" ht="14.65" customHeight="1"/>
    <row r="115" outlineLevel="1" ht="28.5" customHeight="1">
      <c r="C115" s="32" t="inlineStr">
        <is>
          <t> </t>
        </is>
      </c>
      <c r="D115" s="33" t="inlineStr">
        <is>
          <t>Выручка 2024</t>
        </is>
      </c>
      <c r="E115" s="33" t="inlineStr">
        <is>
          <t>Выручка 2025</t>
        </is>
      </c>
      <c r="F115" s="33" t="inlineStr">
        <is>
          <t>План 2026</t>
        </is>
      </c>
      <c r="G115" s="34" t="inlineStr">
        <is>
          <t>Прирост П/Ф</t>
        </is>
      </c>
      <c r="H115" s="35" t="inlineStr">
        <is>
          <t>Размер бонуса по итогам 2026 г</t>
        </is>
      </c>
      <c r="I115" s="36" t="inlineStr">
        <is>
          <t>Скидка в 1 кв. 2026 ф.г.*</t>
        </is>
      </c>
    </row>
    <row r="116" outlineLevel="1" ht="24.95" customHeight="1">
      <c r="C116" s="37" t="inlineStr">
        <is>
          <t>КСП (КОМПО-СП)</t>
        </is>
      </c>
      <c r="D116" s="38" t="n">
        <v>1548968</v>
      </c>
      <c r="E116" s="38" t="n">
        <v>1948199</v>
      </c>
      <c r="F116" s="38">
        <f>SUM(F117:F119)</f>
        <v>2104000</v>
      </c>
      <c r="G116" s="39">
        <f>F116/E116-1</f>
        <v>0.07997180986131291</v>
      </c>
      <c r="H116" s="40" t="n"/>
      <c r="I116" s="41" t="n"/>
    </row>
    <row r="117" outlineLevel="1" ht="24.95" customHeight="1">
      <c r="C117" s="43" t="inlineStr">
        <is>
          <t>Сервис</t>
        </is>
      </c>
      <c r="D117" s="44" t="n">
        <v>218223</v>
      </c>
      <c r="E117" s="44" t="n">
        <v>246890</v>
      </c>
      <c r="F117" s="45" t="n">
        <v>305000</v>
      </c>
      <c r="G117" s="46" t="n"/>
      <c r="H117" s="47" t="n">
        <v>0.01</v>
      </c>
      <c r="I117" s="48" t="n">
        <v>0.23</v>
      </c>
    </row>
    <row r="118" outlineLevel="1" ht="24.95" customHeight="1">
      <c r="C118" s="49" t="inlineStr">
        <is>
          <t>Оборудование</t>
        </is>
      </c>
      <c r="D118" s="45" t="n">
        <v>717996</v>
      </c>
      <c r="E118" s="45" t="n">
        <v>974706</v>
      </c>
      <c r="F118" s="44" t="n">
        <v>999000</v>
      </c>
      <c r="G118" s="46" t="n"/>
      <c r="H118" s="47" t="n">
        <v>0.015</v>
      </c>
      <c r="I118" s="50" t="n">
        <v>0.17</v>
      </c>
    </row>
    <row r="119" outlineLevel="1" ht="24.95" customHeight="1">
      <c r="C119" s="51" t="inlineStr">
        <is>
          <t>Расходные материалы</t>
        </is>
      </c>
      <c r="D119" s="52" t="n">
        <v>612749</v>
      </c>
      <c r="E119" s="52" t="n">
        <v>726603</v>
      </c>
      <c r="F119" s="52" t="n">
        <v>800000</v>
      </c>
      <c r="G119" s="53" t="n"/>
      <c r="H119" s="54" t="n">
        <v>0.005</v>
      </c>
      <c r="I119" s="55" t="n">
        <v>0.03</v>
      </c>
    </row>
    <row r="120" outlineLevel="1" ht="14.65" customHeight="1">
      <c r="C120" s="56" t="inlineStr">
        <is>
          <t>* - скидка согласно правил работы ТПС на 2026 ф.г.</t>
        </is>
      </c>
      <c r="D120" s="57" t="n"/>
      <c r="E120" s="57" t="n"/>
      <c r="F120" s="57" t="n"/>
      <c r="G120" s="57" t="n"/>
      <c r="H120" s="58" t="n"/>
    </row>
    <row r="121" outlineLevel="1" ht="44.25" customHeight="1">
      <c r="C121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121" s="60" t="n"/>
      <c r="E121" s="60" t="n"/>
      <c r="F121" s="60" t="n"/>
      <c r="G121" s="60" t="n"/>
      <c r="H121" s="60" t="n"/>
    </row>
    <row r="122" outlineLevel="1"/>
    <row r="123" outlineLevel="1" ht="14.65" customHeight="1">
      <c r="C123" s="61" t="inlineStr">
        <is>
          <t xml:space="preserve">3.1.1. Система предоставления скидок </t>
        </is>
      </c>
    </row>
    <row r="124" outlineLevel="1" ht="26.65" customHeight="1">
      <c r="C124" s="62" t="inlineStr">
        <is>
          <t>ОБЪЕМ закупок оборудования (тысяч евро) за 3 месяца (квартал)</t>
        </is>
      </c>
      <c r="D124" s="63" t="n"/>
      <c r="E124" s="64" t="inlineStr">
        <is>
          <t>до 75</t>
        </is>
      </c>
      <c r="F124" s="64" t="inlineStr">
        <is>
          <t>75-114</t>
        </is>
      </c>
      <c r="G124" s="64" t="inlineStr">
        <is>
          <t>115-149</t>
        </is>
      </c>
      <c r="H124" s="64" t="inlineStr">
        <is>
          <t>150-189</t>
        </is>
      </c>
      <c r="I124" s="64" t="inlineStr">
        <is>
          <t>190-224</t>
        </is>
      </c>
      <c r="J124" s="64" t="inlineStr">
        <is>
          <t>225 и более</t>
        </is>
      </c>
    </row>
    <row r="125" outlineLevel="1" ht="14.65" customHeight="1">
      <c r="C125" s="65" t="inlineStr">
        <is>
          <t>1 Базовое вознаграждение за Дилерский договор</t>
        </is>
      </c>
      <c r="D125" s="66" t="inlineStr">
        <is>
          <t>Скидка %</t>
        </is>
      </c>
      <c r="E125" s="67" t="n">
        <v>6</v>
      </c>
      <c r="F125" s="67" t="n">
        <v>6</v>
      </c>
      <c r="G125" s="67" t="n">
        <v>6</v>
      </c>
      <c r="H125" s="67" t="n">
        <v>6</v>
      </c>
      <c r="I125" s="67" t="n">
        <v>6</v>
      </c>
      <c r="J125" s="67" t="n">
        <v>6</v>
      </c>
    </row>
    <row r="126" outlineLevel="1" ht="14.65" customHeight="1">
      <c r="C126" s="68" t="inlineStr">
        <is>
          <t xml:space="preserve">2.1.1. Сервисный центр </t>
        </is>
      </c>
      <c r="D126" s="66" t="inlineStr">
        <is>
          <t>Скидка %</t>
        </is>
      </c>
      <c r="E126" s="69" t="n">
        <v>6</v>
      </c>
      <c r="F126" s="69" t="n">
        <v>6</v>
      </c>
      <c r="G126" s="69" t="n">
        <v>6</v>
      </c>
      <c r="H126" s="69" t="n">
        <v>6</v>
      </c>
      <c r="I126" s="69" t="n">
        <v>6</v>
      </c>
      <c r="J126" s="69" t="n">
        <v>6</v>
      </c>
    </row>
    <row r="127" outlineLevel="1" ht="14.65" customHeight="1">
      <c r="C127" s="68" t="inlineStr">
        <is>
          <t>2.1.2. Сервисный центр - гарантийное обслуживание</t>
        </is>
      </c>
      <c r="D127" s="66" t="inlineStr">
        <is>
          <t>Скидка %</t>
        </is>
      </c>
      <c r="E127" s="69" t="n">
        <v>1</v>
      </c>
      <c r="F127" s="69" t="n">
        <v>1</v>
      </c>
      <c r="G127" s="69" t="n">
        <v>1</v>
      </c>
      <c r="H127" s="69" t="n">
        <v>1</v>
      </c>
      <c r="I127" s="69" t="n">
        <v>1</v>
      </c>
      <c r="J127" s="69" t="n">
        <v>1</v>
      </c>
    </row>
    <row r="128" outlineLevel="1" ht="14.65" customHeight="1">
      <c r="C128" s="68" t="inlineStr">
        <is>
          <t>2.3 Наличие минимальных складских остатков по оборудованию</t>
        </is>
      </c>
      <c r="D128" s="66" t="inlineStr">
        <is>
          <t>Ретро-скидка %</t>
        </is>
      </c>
      <c r="E128" s="69" t="n">
        <v>1</v>
      </c>
      <c r="F128" s="69" t="n">
        <v>1</v>
      </c>
      <c r="G128" s="69" t="n">
        <v>1</v>
      </c>
      <c r="H128" s="69" t="n">
        <v>1</v>
      </c>
      <c r="I128" s="69" t="n">
        <v>1</v>
      </c>
      <c r="J128" s="69" t="n">
        <v>1</v>
      </c>
    </row>
    <row r="129" outlineLevel="1" ht="26.65" customHeight="1">
      <c r="C129" s="70" t="inlineStr">
        <is>
          <t>3 Объем закупок МП</t>
        </is>
      </c>
      <c r="D129" s="71" t="inlineStr">
        <is>
          <t>скидка будущих периодов %</t>
        </is>
      </c>
      <c r="E129" s="72" t="n">
        <v>0</v>
      </c>
      <c r="F129" s="72" t="n">
        <v>1</v>
      </c>
      <c r="G129" s="72" t="n">
        <v>2</v>
      </c>
      <c r="H129" s="72" t="n">
        <v>3</v>
      </c>
      <c r="I129" s="72" t="n">
        <v>4</v>
      </c>
      <c r="J129" s="72" t="n">
        <v>5</v>
      </c>
    </row>
    <row r="130" outlineLevel="1" ht="14.65" customHeight="1">
      <c r="C130" s="73" t="inlineStr">
        <is>
          <t>ИТОГО по МП:</t>
        </is>
      </c>
      <c r="D130" s="74" t="n"/>
      <c r="E130" s="75">
        <f>SUM(E125:E129)</f>
        <v>14</v>
      </c>
      <c r="F130" s="75">
        <f>SUM(F125:F129)</f>
        <v>15</v>
      </c>
      <c r="G130" s="75">
        <f>SUM(G125:G129)</f>
        <v>16</v>
      </c>
      <c r="H130" s="76">
        <f>SUM(H125:H129)</f>
        <v>17</v>
      </c>
      <c r="I130" s="75">
        <f>SUM(I125:I129)</f>
        <v>18</v>
      </c>
      <c r="J130" s="75">
        <f>SUM(J125:J129)</f>
        <v>19</v>
      </c>
    </row>
    <row r="131" outlineLevel="1" ht="26.65" customHeight="1">
      <c r="C131" s="62" t="inlineStr">
        <is>
          <t>ОБЪЕМ закупок РМ (тысяч евро) за 3 месяца (квартал)</t>
        </is>
      </c>
      <c r="D131" s="63" t="n"/>
      <c r="E131" s="64" t="inlineStr">
        <is>
          <t>до 75</t>
        </is>
      </c>
      <c r="F131" s="64" t="inlineStr">
        <is>
          <t>75-115</t>
        </is>
      </c>
      <c r="G131" s="64" t="inlineStr">
        <is>
          <t>115-150</t>
        </is>
      </c>
      <c r="H131" s="64" t="inlineStr">
        <is>
          <t>150-190</t>
        </is>
      </c>
      <c r="I131" s="64" t="inlineStr">
        <is>
          <t>190-225</t>
        </is>
      </c>
      <c r="J131" s="64" t="inlineStr">
        <is>
          <t>225 и более</t>
        </is>
      </c>
    </row>
    <row r="132" outlineLevel="1" ht="26.65" customHeight="1">
      <c r="C132" s="70" t="inlineStr">
        <is>
          <t>Наличие минимальных складских остатков по РМ (синхронизация отчета по остаткам с 1С КОМПО)</t>
        </is>
      </c>
      <c r="D132" s="71" t="inlineStr">
        <is>
          <t>Скидка будущих периодов, %</t>
        </is>
      </c>
      <c r="E132" s="72" t="n">
        <v>1</v>
      </c>
      <c r="F132" s="72" t="n">
        <v>1</v>
      </c>
      <c r="G132" s="72" t="n">
        <v>1</v>
      </c>
      <c r="H132" s="72" t="n">
        <v>1</v>
      </c>
      <c r="I132" s="72" t="n">
        <v>1</v>
      </c>
      <c r="J132" s="72" t="n">
        <v>1</v>
      </c>
    </row>
    <row r="133" outlineLevel="1" ht="26.65" customHeight="1">
      <c r="C133" s="70" t="inlineStr">
        <is>
          <t xml:space="preserve"> Объем закупок РМ</t>
        </is>
      </c>
      <c r="D133" s="71" t="inlineStr">
        <is>
          <t>скидка будущих периодов, %</t>
        </is>
      </c>
      <c r="E133" s="72" t="n">
        <v>0</v>
      </c>
      <c r="F133" s="72" t="n">
        <v>1</v>
      </c>
      <c r="G133" s="72" t="n">
        <v>2</v>
      </c>
      <c r="H133" s="77" t="n">
        <v>3</v>
      </c>
      <c r="I133" s="72" t="n">
        <v>4</v>
      </c>
      <c r="J133" s="72" t="n">
        <v>5</v>
      </c>
    </row>
    <row r="134" outlineLevel="1" ht="14.65" customHeight="1">
      <c r="C134" s="61" t="n"/>
    </row>
    <row r="135" outlineLevel="1" ht="14.65" customHeight="1">
      <c r="C135" s="78" t="inlineStr">
        <is>
          <t xml:space="preserve">СИСТЕМА РАСЧЕТА СКИДКИ ПО ЗАПЧАСТЯМ </t>
        </is>
      </c>
      <c r="D135" s="79" t="n"/>
      <c r="E135" s="79" t="n"/>
      <c r="F135" s="80" t="n"/>
    </row>
    <row r="136" outlineLevel="1" ht="26.65" customHeight="1">
      <c r="C136" s="81" t="n"/>
      <c r="D136" s="82" t="inlineStr">
        <is>
          <t>Отношение объема закупок ЗЧ к парку оборудования, евро / ед. об.</t>
        </is>
      </c>
      <c r="E136" s="80" t="n"/>
      <c r="F136" s="83" t="inlineStr">
        <is>
          <t>Процент скидки</t>
        </is>
      </c>
    </row>
    <row r="137" outlineLevel="1" ht="14.65" customHeight="1">
      <c r="C137" s="84" t="n"/>
      <c r="D137" s="85" t="inlineStr">
        <is>
          <t>без статуса партнера</t>
        </is>
      </c>
      <c r="E137" s="85" t="n"/>
      <c r="F137" s="86" t="n">
        <v>0.15</v>
      </c>
    </row>
    <row r="138" outlineLevel="1" ht="14.65" customHeight="1">
      <c r="C138" s="81" t="inlineStr">
        <is>
          <t>диапазон отношения</t>
        </is>
      </c>
      <c r="D138" s="87" t="n">
        <v>0</v>
      </c>
      <c r="E138" s="87" t="n">
        <v>500</v>
      </c>
      <c r="F138" s="86" t="n">
        <v>0.19</v>
      </c>
    </row>
    <row r="139" outlineLevel="1" ht="14.65" customHeight="1">
      <c r="C139" s="81" t="inlineStr">
        <is>
          <t>диапазон отношения</t>
        </is>
      </c>
      <c r="D139" s="87" t="n">
        <v>501</v>
      </c>
      <c r="E139" s="88" t="n">
        <v>1000</v>
      </c>
      <c r="F139" s="86" t="n">
        <v>0.21</v>
      </c>
    </row>
    <row r="140" outlineLevel="1" ht="14.65" customHeight="1">
      <c r="C140" s="81" t="inlineStr">
        <is>
          <t>диапазон отношения</t>
        </is>
      </c>
      <c r="D140" s="87" t="n">
        <v>1001</v>
      </c>
      <c r="E140" s="88" t="n">
        <v>1800</v>
      </c>
      <c r="F140" s="89" t="n">
        <v>0.23</v>
      </c>
    </row>
    <row r="141" outlineLevel="1" ht="14.65" customHeight="1">
      <c r="C141" s="81" t="inlineStr">
        <is>
          <t>диапазон отношения</t>
        </is>
      </c>
      <c r="D141" s="87" t="n">
        <v>1801</v>
      </c>
      <c r="E141" s="88" t="n">
        <v>2400</v>
      </c>
      <c r="F141" s="86" t="n">
        <v>0.25</v>
      </c>
    </row>
    <row r="142" outlineLevel="1" ht="14.65" customHeight="1">
      <c r="C142" s="81" t="inlineStr">
        <is>
          <t>диапазон отношения</t>
        </is>
      </c>
      <c r="D142" s="87" t="n">
        <v>2401</v>
      </c>
      <c r="E142" s="88" t="n">
        <v>3000</v>
      </c>
      <c r="F142" s="86" t="n">
        <v>0.27</v>
      </c>
    </row>
    <row r="143" outlineLevel="1" ht="14.65" customHeight="1">
      <c r="C143" s="81" t="inlineStr">
        <is>
          <t>диапазон отношения</t>
        </is>
      </c>
      <c r="D143" s="87" t="n">
        <v>3001</v>
      </c>
      <c r="E143" s="87" t="n"/>
      <c r="F143" s="86" t="n">
        <v>0.3</v>
      </c>
    </row>
    <row r="144" outlineLevel="1">
      <c r="C144" s="61" t="n"/>
    </row>
    <row r="145" outlineLevel="1">
      <c r="C145" s="90" t="inlineStr">
        <is>
          <t>Система контроля как и система бонусирования работает ежеквартально (до 5го числа месяца, следующего за отчетным кварталом), кроме годового бонуса.</t>
        </is>
      </c>
      <c r="D145" s="90" t="n"/>
      <c r="E145" s="90" t="n"/>
    </row>
    <row r="146" outlineLevel="1" ht="14.65" customHeight="1">
      <c r="C146" s="61" t="n"/>
    </row>
    <row r="147" outlineLevel="1" ht="14.65" customHeight="1">
      <c r="C147" s="91" t="inlineStr">
        <is>
          <t>Система контроля квартального и годового бонусирования</t>
        </is>
      </c>
      <c r="D147" s="92" t="n"/>
      <c r="E147" s="93" t="n"/>
    </row>
    <row r="148" outlineLevel="1" ht="39.75" customHeight="1">
      <c r="C148" s="94" t="inlineStr">
        <is>
          <t>уменьшение бонуса за невыполнение минимальных квартальных показателей закупок по МП (при наличии установленного показателя)</t>
        </is>
      </c>
      <c r="D148" s="95" t="inlineStr">
        <is>
          <t>скидка будущих периодов квартала, %</t>
        </is>
      </c>
      <c r="E148" s="96" t="n">
        <v>1</v>
      </c>
    </row>
    <row r="149" outlineLevel="1" ht="39.75" customHeight="1">
      <c r="C149" s="94" t="inlineStr">
        <is>
          <t>уменьшение бонуса за невыполнение минимальных квартальных показателей закупок по РМ (при наличии установленного показателя)</t>
        </is>
      </c>
      <c r="D149" s="95" t="inlineStr">
        <is>
          <t>скидка будущих периодов квартала, %</t>
        </is>
      </c>
      <c r="E149" s="96" t="n">
        <v>1</v>
      </c>
    </row>
    <row r="150" outlineLevel="1" ht="39.75" customHeight="1">
      <c r="C150" s="94" t="inlineStr">
        <is>
          <t xml:space="preserve"> за несвоевременное предоставление Скользящего прогноза</t>
        </is>
      </c>
      <c r="D150" s="95" t="inlineStr">
        <is>
          <t>скидка будущих периодов квартала, %</t>
        </is>
      </c>
      <c r="E150" s="96" t="n">
        <v>0.5</v>
      </c>
    </row>
    <row r="151" outlineLevel="1" ht="39.75" customHeight="1">
      <c r="C151" s="94" t="inlineStr">
        <is>
          <t>уменьшение бонуса за отказ от зарезервированного оборудования</t>
        </is>
      </c>
      <c r="D151" s="95" t="inlineStr">
        <is>
          <t>скидка будущих периодов квартала, %</t>
        </is>
      </c>
      <c r="E151" s="96" t="n">
        <v>0.5</v>
      </c>
    </row>
    <row r="152" outlineLevel="1" ht="14.65" customHeight="1">
      <c r="C152" s="97" t="inlineStr">
        <is>
          <t>Выполнение плановых показателей года ИТОГО</t>
        </is>
      </c>
      <c r="D152" s="98" t="inlineStr">
        <is>
          <t>ретро-бонус %</t>
        </is>
      </c>
      <c r="E152" s="99" t="n">
        <v>1</v>
      </c>
    </row>
    <row r="155" ht="20" customHeight="1">
      <c r="A155" s="9" t="inlineStr">
        <is>
          <t>### ДИЛЕР 4/18 • Богатовъ Торговый Дом, Челябинск • РФ (отчётность за квартал) • вкладка «Богатовъ Торговый Дом, Челябинс» • исходные строки 1–39 (A1:J39)</t>
        </is>
      </c>
      <c r="B155" s="31" t="n"/>
      <c r="C155" s="31" t="n"/>
      <c r="D155" s="31" t="n"/>
      <c r="E155" s="31" t="n"/>
      <c r="F155" s="31" t="n"/>
      <c r="G155" s="31" t="n"/>
      <c r="H155" s="31" t="n"/>
      <c r="I155" s="31" t="n"/>
      <c r="J155" s="31" t="n"/>
    </row>
    <row r="156" outlineLevel="1"/>
    <row r="157" outlineLevel="1" ht="14.65" customHeight="1"/>
    <row r="158" outlineLevel="1" ht="41.45" customHeight="1">
      <c r="C158" s="32" t="inlineStr">
        <is>
          <t> </t>
        </is>
      </c>
      <c r="D158" s="33" t="inlineStr">
        <is>
          <t>Выручка 2024</t>
        </is>
      </c>
      <c r="E158" s="33" t="inlineStr">
        <is>
          <t>Выручка 2025</t>
        </is>
      </c>
      <c r="F158" s="33" t="inlineStr">
        <is>
          <t>План 2026</t>
        </is>
      </c>
      <c r="G158" s="34" t="inlineStr">
        <is>
          <t>Прирост П/Ф</t>
        </is>
      </c>
      <c r="H158" s="35" t="inlineStr">
        <is>
          <t>Размер бонуса по итогам 2026 г</t>
        </is>
      </c>
      <c r="I158" s="36" t="inlineStr">
        <is>
          <t>Скидка в 1 кв. 2026 ф.г.*</t>
        </is>
      </c>
    </row>
    <row r="159" outlineLevel="1" ht="24.95" customHeight="1">
      <c r="C159" s="37" t="inlineStr">
        <is>
          <t>Богатовъ Торговый Дом, Челябинск</t>
        </is>
      </c>
      <c r="D159" s="38" t="n">
        <v>1806489</v>
      </c>
      <c r="E159" s="38" t="n">
        <v>1356918</v>
      </c>
      <c r="F159" s="38">
        <f>SUM(F160:F162)</f>
        <v>1650000</v>
      </c>
      <c r="G159" s="39">
        <f>F159/E159-1</f>
        <v>0.21599094418380482</v>
      </c>
      <c r="H159" s="40" t="n"/>
      <c r="I159" s="41" t="n"/>
    </row>
    <row r="160" outlineLevel="1" ht="24.95" customHeight="1">
      <c r="C160" s="43" t="inlineStr">
        <is>
          <t>Сервис</t>
        </is>
      </c>
      <c r="D160" s="44" t="n">
        <v>83794</v>
      </c>
      <c r="E160" s="44" t="n">
        <v>87213</v>
      </c>
      <c r="F160" s="45" t="n">
        <v>100000</v>
      </c>
      <c r="G160" s="46" t="n"/>
      <c r="H160" s="47" t="n">
        <v>0.01</v>
      </c>
      <c r="I160" s="48" t="n">
        <v>0.21</v>
      </c>
    </row>
    <row r="161" outlineLevel="1" ht="24.95" customHeight="1">
      <c r="C161" s="49" t="inlineStr">
        <is>
          <t>Оборудование</t>
        </is>
      </c>
      <c r="D161" s="45" t="n">
        <v>700764</v>
      </c>
      <c r="E161" s="45" t="n">
        <v>453635</v>
      </c>
      <c r="F161" s="44" t="n">
        <v>650000</v>
      </c>
      <c r="G161" s="46" t="n"/>
      <c r="H161" s="47" t="n">
        <v>0.015</v>
      </c>
      <c r="I161" s="50" t="n">
        <v>0.14</v>
      </c>
    </row>
    <row r="162" outlineLevel="1" ht="24.95" customHeight="1">
      <c r="C162" s="51" t="inlineStr">
        <is>
          <t>Расходные материалы</t>
        </is>
      </c>
      <c r="D162" s="52" t="n">
        <v>1021931</v>
      </c>
      <c r="E162" s="52" t="n">
        <v>816070</v>
      </c>
      <c r="F162" s="52" t="n">
        <v>900000</v>
      </c>
      <c r="G162" s="53" t="n"/>
      <c r="H162" s="54" t="n">
        <v>0.005</v>
      </c>
      <c r="I162" s="55" t="n">
        <v>0.03</v>
      </c>
    </row>
    <row r="163" outlineLevel="1" ht="14.65" customHeight="1">
      <c r="C163" s="56" t="inlineStr">
        <is>
          <t>* - скидка согласно правил работы ТПС на 2026 ф.г.</t>
        </is>
      </c>
      <c r="D163" s="57" t="n"/>
      <c r="E163" s="57" t="n"/>
      <c r="F163" s="57" t="n"/>
      <c r="G163" s="57" t="n"/>
      <c r="H163" s="58" t="n"/>
    </row>
    <row r="164" outlineLevel="1" ht="57" customHeight="1">
      <c r="C164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164" s="60" t="n"/>
      <c r="E164" s="60" t="n"/>
      <c r="F164" s="60" t="n"/>
      <c r="G164" s="60" t="n"/>
      <c r="H164" s="60" t="n"/>
    </row>
    <row r="165" outlineLevel="1"/>
    <row r="166" outlineLevel="1" ht="14.65" customHeight="1">
      <c r="C166" s="61" t="inlineStr">
        <is>
          <t xml:space="preserve">3.1.1. Система предоставления скидок </t>
        </is>
      </c>
    </row>
    <row r="167" outlineLevel="1" ht="26.65" customHeight="1">
      <c r="C167" s="62" t="inlineStr">
        <is>
          <t>ОБЪЕМ закупок оборудования (тысяч евро) за 3 месяца (квартал)</t>
        </is>
      </c>
      <c r="D167" s="63" t="n"/>
      <c r="E167" s="64" t="inlineStr">
        <is>
          <t>до 75</t>
        </is>
      </c>
      <c r="F167" s="64" t="inlineStr">
        <is>
          <t>75-114</t>
        </is>
      </c>
      <c r="G167" s="64" t="inlineStr">
        <is>
          <t>115-149</t>
        </is>
      </c>
      <c r="H167" s="64" t="inlineStr">
        <is>
          <t>150-189</t>
        </is>
      </c>
      <c r="I167" s="64" t="inlineStr">
        <is>
          <t>190-224</t>
        </is>
      </c>
      <c r="J167" s="64" t="inlineStr">
        <is>
          <t>225 и более</t>
        </is>
      </c>
    </row>
    <row r="168" outlineLevel="1" ht="14.65" customHeight="1">
      <c r="C168" s="65" t="inlineStr">
        <is>
          <t>1 Базовое вознаграждение за Дилерский договор</t>
        </is>
      </c>
      <c r="D168" s="66" t="inlineStr">
        <is>
          <t>Скидка %</t>
        </is>
      </c>
      <c r="E168" s="67" t="n">
        <v>6</v>
      </c>
      <c r="F168" s="67" t="n">
        <v>6</v>
      </c>
      <c r="G168" s="67" t="n">
        <v>6</v>
      </c>
      <c r="H168" s="67" t="n">
        <v>6</v>
      </c>
      <c r="I168" s="67" t="n">
        <v>6</v>
      </c>
      <c r="J168" s="67" t="n">
        <v>6</v>
      </c>
    </row>
    <row r="169" outlineLevel="1" ht="14.65" customHeight="1">
      <c r="C169" s="68" t="inlineStr">
        <is>
          <t xml:space="preserve">2.1.1. Сервисный центр </t>
        </is>
      </c>
      <c r="D169" s="66" t="inlineStr">
        <is>
          <t>Скидка %</t>
        </is>
      </c>
      <c r="E169" s="69" t="n">
        <v>6</v>
      </c>
      <c r="F169" s="69" t="n">
        <v>6</v>
      </c>
      <c r="G169" s="69" t="n">
        <v>6</v>
      </c>
      <c r="H169" s="69" t="n">
        <v>6</v>
      </c>
      <c r="I169" s="69" t="n">
        <v>6</v>
      </c>
      <c r="J169" s="69" t="n">
        <v>6</v>
      </c>
    </row>
    <row r="170" outlineLevel="1" ht="14.65" customHeight="1">
      <c r="C170" s="68" t="inlineStr">
        <is>
          <t>2.1.2. Сервисный центр - гарантийное обслуживание</t>
        </is>
      </c>
      <c r="D170" s="66" t="inlineStr">
        <is>
          <t>Скидка %</t>
        </is>
      </c>
      <c r="E170" s="69" t="n">
        <v>1</v>
      </c>
      <c r="F170" s="69" t="n">
        <v>1</v>
      </c>
      <c r="G170" s="69" t="n">
        <v>1</v>
      </c>
      <c r="H170" s="69" t="n">
        <v>1</v>
      </c>
      <c r="I170" s="69" t="n">
        <v>1</v>
      </c>
      <c r="J170" s="69" t="n">
        <v>1</v>
      </c>
    </row>
    <row r="171" outlineLevel="1" ht="26.65" customHeight="1">
      <c r="C171" s="68" t="inlineStr">
        <is>
          <t>2.3 Наличие минимальных складских остатков по оборудованию</t>
        </is>
      </c>
      <c r="D171" s="66" t="inlineStr">
        <is>
          <t>Ретро-скидка %</t>
        </is>
      </c>
      <c r="E171" s="69" t="n">
        <v>1</v>
      </c>
      <c r="F171" s="69" t="n">
        <v>1</v>
      </c>
      <c r="G171" s="69" t="n">
        <v>1</v>
      </c>
      <c r="H171" s="69" t="n">
        <v>1</v>
      </c>
      <c r="I171" s="69" t="n">
        <v>1</v>
      </c>
      <c r="J171" s="69" t="n">
        <v>1</v>
      </c>
    </row>
    <row r="172" outlineLevel="1" ht="39.75" customHeight="1">
      <c r="C172" s="70" t="inlineStr">
        <is>
          <t>3 Объем закупок МП</t>
        </is>
      </c>
      <c r="D172" s="71" t="inlineStr">
        <is>
          <t>скидка будущих периодов %</t>
        </is>
      </c>
      <c r="E172" s="72" t="n">
        <v>0</v>
      </c>
      <c r="F172" s="72" t="n">
        <v>1</v>
      </c>
      <c r="G172" s="72" t="n">
        <v>2</v>
      </c>
      <c r="H172" s="72" t="n">
        <v>3</v>
      </c>
      <c r="I172" s="72" t="n">
        <v>4</v>
      </c>
      <c r="J172" s="72" t="n">
        <v>5</v>
      </c>
    </row>
    <row r="173" outlineLevel="1" ht="14.65" customHeight="1">
      <c r="C173" s="73" t="inlineStr">
        <is>
          <t>ИТОГО по МП:</t>
        </is>
      </c>
      <c r="D173" s="74" t="n"/>
      <c r="E173" s="76">
        <f>SUM(E168:E172)</f>
        <v>14</v>
      </c>
      <c r="F173" s="75">
        <f>SUM(F168:F172)</f>
        <v>15</v>
      </c>
      <c r="G173" s="75">
        <f>SUM(G168:G172)</f>
        <v>16</v>
      </c>
      <c r="H173" s="75">
        <f>SUM(H168:H172)</f>
        <v>17</v>
      </c>
      <c r="I173" s="75">
        <f>SUM(I168:I172)</f>
        <v>18</v>
      </c>
      <c r="J173" s="75">
        <f>SUM(J168:J172)</f>
        <v>19</v>
      </c>
    </row>
    <row r="174" outlineLevel="1" ht="26.65" customHeight="1">
      <c r="C174" s="62" t="inlineStr">
        <is>
          <t>ОБЪЕМ закупок РМ (тысяч евро) за 3 месяца (квартал)</t>
        </is>
      </c>
      <c r="D174" s="63" t="n"/>
      <c r="E174" s="64" t="inlineStr">
        <is>
          <t>до 75</t>
        </is>
      </c>
      <c r="F174" s="64" t="inlineStr">
        <is>
          <t>75-115</t>
        </is>
      </c>
      <c r="G174" s="64" t="inlineStr">
        <is>
          <t>115-150</t>
        </is>
      </c>
      <c r="H174" s="64" t="inlineStr">
        <is>
          <t>150-190</t>
        </is>
      </c>
      <c r="I174" s="64" t="inlineStr">
        <is>
          <t>190-225</t>
        </is>
      </c>
      <c r="J174" s="64" t="inlineStr">
        <is>
          <t>225 и более</t>
        </is>
      </c>
    </row>
    <row r="175" outlineLevel="1" ht="39.75" customHeight="1">
      <c r="C175" s="70" t="inlineStr">
        <is>
          <t>Наличие минимальных складских остатков по РМ (синхронизация отчета по остаткам с 1С КОМПО)</t>
        </is>
      </c>
      <c r="D175" s="71" t="inlineStr">
        <is>
          <t>Скидка будущих периодов, %</t>
        </is>
      </c>
      <c r="E175" s="72" t="n">
        <v>1</v>
      </c>
      <c r="F175" s="72" t="n">
        <v>1</v>
      </c>
      <c r="G175" s="72" t="n">
        <v>1</v>
      </c>
      <c r="H175" s="72" t="n">
        <v>1</v>
      </c>
      <c r="I175" s="72" t="n">
        <v>1</v>
      </c>
      <c r="J175" s="72" t="n">
        <v>1</v>
      </c>
    </row>
    <row r="176" outlineLevel="1" ht="39.75" customHeight="1">
      <c r="C176" s="70" t="inlineStr">
        <is>
          <t xml:space="preserve"> Объем закупок РМ</t>
        </is>
      </c>
      <c r="D176" s="71" t="inlineStr">
        <is>
          <t>скидка будущих периодов, %</t>
        </is>
      </c>
      <c r="E176" s="72" t="n">
        <v>0</v>
      </c>
      <c r="F176" s="72" t="n">
        <v>1</v>
      </c>
      <c r="G176" s="72" t="n">
        <v>2</v>
      </c>
      <c r="H176" s="77" t="n">
        <v>3</v>
      </c>
      <c r="I176" s="72" t="n">
        <v>4</v>
      </c>
      <c r="J176" s="72" t="n">
        <v>5</v>
      </c>
    </row>
    <row r="177" outlineLevel="1" ht="14.65" customHeight="1">
      <c r="C177" s="61" t="n"/>
    </row>
    <row r="178" outlineLevel="1" ht="14.65" customHeight="1">
      <c r="C178" s="78" t="inlineStr">
        <is>
          <t xml:space="preserve">СИСТЕМА РАСЧЕТА СКИДКИ ПО ЗАПЧАСТЯМ </t>
        </is>
      </c>
      <c r="D178" s="79" t="n"/>
      <c r="E178" s="79" t="n"/>
      <c r="F178" s="80" t="n"/>
    </row>
    <row r="179" outlineLevel="1" ht="26.65" customHeight="1">
      <c r="C179" s="81" t="n"/>
      <c r="D179" s="82" t="inlineStr">
        <is>
          <t>Отношение объема закупок ЗЧ к парку оборудования, евро / ед. об.</t>
        </is>
      </c>
      <c r="E179" s="80" t="n"/>
      <c r="F179" s="83" t="inlineStr">
        <is>
          <t>Процент скидки</t>
        </is>
      </c>
    </row>
    <row r="180" outlineLevel="1" ht="14.65" customHeight="1">
      <c r="C180" s="84" t="n"/>
      <c r="D180" s="85" t="inlineStr">
        <is>
          <t>без статуса партнера</t>
        </is>
      </c>
      <c r="E180" s="85" t="n"/>
      <c r="F180" s="86" t="n">
        <v>0.15</v>
      </c>
    </row>
    <row r="181" outlineLevel="1" ht="14.65" customHeight="1">
      <c r="C181" s="81" t="inlineStr">
        <is>
          <t>диапазон отношения</t>
        </is>
      </c>
      <c r="D181" s="87" t="n">
        <v>0</v>
      </c>
      <c r="E181" s="87" t="n">
        <v>500</v>
      </c>
      <c r="F181" s="86" t="n">
        <v>0.19</v>
      </c>
    </row>
    <row r="182" outlineLevel="1" ht="14.65" customHeight="1">
      <c r="C182" s="81" t="inlineStr">
        <is>
          <t>диапазон отношения</t>
        </is>
      </c>
      <c r="D182" s="87" t="n">
        <v>501</v>
      </c>
      <c r="E182" s="88" t="n">
        <v>1000</v>
      </c>
      <c r="F182" s="89" t="n">
        <v>0.21</v>
      </c>
    </row>
    <row r="183" outlineLevel="1" ht="14.65" customHeight="1">
      <c r="C183" s="81" t="inlineStr">
        <is>
          <t>диапазон отношения</t>
        </is>
      </c>
      <c r="D183" s="87" t="n">
        <v>1001</v>
      </c>
      <c r="E183" s="88" t="n">
        <v>1800</v>
      </c>
      <c r="F183" s="86" t="n">
        <v>0.23</v>
      </c>
    </row>
    <row r="184" outlineLevel="1" ht="14.65" customHeight="1">
      <c r="C184" s="81" t="inlineStr">
        <is>
          <t>диапазон отношения</t>
        </is>
      </c>
      <c r="D184" s="87" t="n">
        <v>1801</v>
      </c>
      <c r="E184" s="88" t="n">
        <v>2400</v>
      </c>
      <c r="F184" s="86" t="n">
        <v>0.25</v>
      </c>
    </row>
    <row r="185" outlineLevel="1" ht="14.65" customHeight="1">
      <c r="C185" s="81" t="inlineStr">
        <is>
          <t>диапазон отношения</t>
        </is>
      </c>
      <c r="D185" s="87" t="n">
        <v>2401</v>
      </c>
      <c r="E185" s="88" t="n">
        <v>3000</v>
      </c>
      <c r="F185" s="86" t="n">
        <v>0.27</v>
      </c>
    </row>
    <row r="186" outlineLevel="1" ht="14.65" customHeight="1">
      <c r="C186" s="81" t="inlineStr">
        <is>
          <t>диапазон отношения</t>
        </is>
      </c>
      <c r="D186" s="87" t="n">
        <v>3001</v>
      </c>
      <c r="E186" s="87" t="n"/>
      <c r="F186" s="86" t="n">
        <v>0.3</v>
      </c>
    </row>
    <row r="187" outlineLevel="1">
      <c r="C187" s="90" t="inlineStr">
        <is>
          <t>Система контроля как и система бонусирования работает ежеквартально (до 5го числа месяца, следующего за отчетным кварталом), кроме годового бонуса.</t>
        </is>
      </c>
      <c r="D187" s="90" t="n"/>
      <c r="E187" s="90" t="n"/>
    </row>
    <row r="188" outlineLevel="1" ht="14.65" customHeight="1">
      <c r="C188" s="61" t="n"/>
    </row>
    <row r="189" outlineLevel="1" ht="20.45" customHeight="1">
      <c r="C189" s="91" t="inlineStr">
        <is>
          <t>Система контроля квартального и годового бонусирования</t>
        </is>
      </c>
      <c r="D189" s="92" t="n"/>
      <c r="E189" s="93" t="n"/>
    </row>
    <row r="190" outlineLevel="1" ht="52.9" customHeight="1">
      <c r="C190" s="94" t="inlineStr">
        <is>
          <t>уменьшение бонуса за невыполнение минимальных квартальных показателей закупок по МП (при наличии установленного показателя)</t>
        </is>
      </c>
      <c r="D190" s="95" t="inlineStr">
        <is>
          <t>скидка будущих периодов квартала, %</t>
        </is>
      </c>
      <c r="E190" s="96" t="n">
        <v>1</v>
      </c>
    </row>
    <row r="191" outlineLevel="1" ht="52.9" customHeight="1">
      <c r="C191" s="94" t="inlineStr">
        <is>
          <t>уменьшение бонуса за невыполнение минимальных квартальных показателей закупок по РМ (при наличии установленного показателя)</t>
        </is>
      </c>
      <c r="D191" s="95" t="inlineStr">
        <is>
          <t>скидка будущих периодов квартала, %</t>
        </is>
      </c>
      <c r="E191" s="96" t="n">
        <v>1</v>
      </c>
    </row>
    <row r="192" outlineLevel="1" ht="52.9" customHeight="1">
      <c r="C192" s="94" t="inlineStr">
        <is>
          <t xml:space="preserve"> за несвоевременное предоставление Скользящего прогноза</t>
        </is>
      </c>
      <c r="D192" s="95" t="inlineStr">
        <is>
          <t>скидка будущих периодов квартала, %</t>
        </is>
      </c>
      <c r="E192" s="96" t="n">
        <v>0.5</v>
      </c>
    </row>
    <row r="193" outlineLevel="1" ht="52.9" customHeight="1">
      <c r="C193" s="94" t="inlineStr">
        <is>
          <t>уменьшение бонуса за отказ от зарезервированного оборудования</t>
        </is>
      </c>
      <c r="D193" s="95" t="inlineStr">
        <is>
          <t>скидка будущих периодов квартала, %</t>
        </is>
      </c>
      <c r="E193" s="96" t="n">
        <v>0.5</v>
      </c>
    </row>
    <row r="194" outlineLevel="1" ht="14.65" customHeight="1">
      <c r="C194" s="97" t="inlineStr">
        <is>
          <t>Выполнение плановых показателей года ИТОГО</t>
        </is>
      </c>
      <c r="D194" s="98" t="inlineStr">
        <is>
          <t>ретро-бонус %</t>
        </is>
      </c>
      <c r="E194" s="99" t="n">
        <v>1</v>
      </c>
    </row>
    <row r="197" ht="20" customHeight="1">
      <c r="A197" s="9" t="inlineStr">
        <is>
          <t>### ДИЛЕР 5/18 • ASIAN BUSINESS SOLUTIONS, Узбекистан • Заруб (отчётность за полугодие) • вкладка «ABS» • исходные строки 1–34 (A1:M34)</t>
        </is>
      </c>
      <c r="B197" s="31" t="n"/>
      <c r="C197" s="31" t="n"/>
      <c r="D197" s="31" t="n"/>
      <c r="E197" s="31" t="n"/>
      <c r="F197" s="31" t="n"/>
      <c r="G197" s="31" t="n"/>
      <c r="H197" s="31" t="n"/>
      <c r="I197" s="31" t="n"/>
      <c r="J197" s="31" t="n"/>
      <c r="K197" s="31" t="n"/>
      <c r="L197" s="31" t="n"/>
      <c r="M197" s="31" t="n"/>
    </row>
    <row r="198" outlineLevel="1"/>
    <row r="199" outlineLevel="1" ht="14.65" customHeight="1"/>
    <row r="200" outlineLevel="1" ht="51.95" customHeight="1">
      <c r="C200" s="32" t="inlineStr">
        <is>
          <t> </t>
        </is>
      </c>
      <c r="D200" s="33" t="inlineStr">
        <is>
          <t>Выручка 2024</t>
        </is>
      </c>
      <c r="E200" s="33" t="inlineStr">
        <is>
          <t>Выручка 2025</t>
        </is>
      </c>
      <c r="F200" s="33" t="inlineStr">
        <is>
          <t>План 2026</t>
        </is>
      </c>
      <c r="G200" s="34" t="inlineStr">
        <is>
          <t>Прирост П/Ф</t>
        </is>
      </c>
      <c r="H200" s="35" t="inlineStr">
        <is>
          <t>Размер бонуса по итогам 2026 г</t>
        </is>
      </c>
      <c r="I200" s="36" t="inlineStr">
        <is>
          <t>Скидка в 1 кв. 2026 ф.г.*</t>
        </is>
      </c>
    </row>
    <row r="201" outlineLevel="1" ht="24.95" customHeight="1">
      <c r="C201" s="37" t="inlineStr">
        <is>
          <t>ASIAN BUSINESS SOLUTIONS, Узбекистан</t>
        </is>
      </c>
      <c r="D201" s="38" t="n">
        <v>420647</v>
      </c>
      <c r="E201" s="38" t="n">
        <v>851259</v>
      </c>
      <c r="F201" s="38">
        <f>SUM(F202:F204)</f>
        <v>1175000</v>
      </c>
      <c r="G201" s="39">
        <f>F201/E201-1</f>
        <v>0.3803084607622358</v>
      </c>
      <c r="H201" s="40" t="n"/>
      <c r="I201" s="41" t="n"/>
    </row>
    <row r="202" outlineLevel="1" ht="24.95" customHeight="1">
      <c r="C202" s="43" t="inlineStr">
        <is>
          <t>Сервис</t>
        </is>
      </c>
      <c r="D202" s="44" t="n">
        <v>38796</v>
      </c>
      <c r="E202" s="44" t="n">
        <v>46254</v>
      </c>
      <c r="F202" s="45" t="n">
        <v>75000</v>
      </c>
      <c r="G202" s="46" t="n"/>
      <c r="H202" s="47" t="n">
        <v>0.01</v>
      </c>
      <c r="I202" s="48" t="n">
        <v>0.16</v>
      </c>
      <c r="M202" s="42" t="n"/>
    </row>
    <row r="203" outlineLevel="1" ht="24.95" customHeight="1">
      <c r="C203" s="49" t="inlineStr">
        <is>
          <t>Оборудование</t>
        </is>
      </c>
      <c r="D203" s="45" t="n">
        <v>88690</v>
      </c>
      <c r="E203" s="45" t="n">
        <v>443411</v>
      </c>
      <c r="F203" s="44" t="n">
        <v>700000</v>
      </c>
      <c r="G203" s="46" t="n"/>
      <c r="H203" s="47" t="n">
        <v>0.015</v>
      </c>
      <c r="I203" s="50" t="n">
        <v>0.2</v>
      </c>
    </row>
    <row r="204" outlineLevel="1" ht="39.95" customHeight="1">
      <c r="C204" s="51" t="inlineStr">
        <is>
          <t>Расходные материалы</t>
        </is>
      </c>
      <c r="D204" s="52" t="n">
        <v>293161</v>
      </c>
      <c r="E204" s="52" t="n">
        <v>361594</v>
      </c>
      <c r="F204" s="52" t="n">
        <v>400000</v>
      </c>
      <c r="G204" s="53" t="n"/>
      <c r="H204" s="54" t="n">
        <v>0.005</v>
      </c>
      <c r="I204" s="55" t="n">
        <v>0.1</v>
      </c>
      <c r="J204" s="100" t="inlineStr">
        <is>
          <t>индивидуальная скидка</t>
        </is>
      </c>
    </row>
    <row r="205" outlineLevel="1" ht="26.65" customHeight="1">
      <c r="C205" s="56" t="inlineStr">
        <is>
          <t>* - скидка согласно правил работы ТПС на 2026 ф.г. Действует с момента подписания плана</t>
        </is>
      </c>
      <c r="D205" s="57" t="n"/>
      <c r="E205" s="57" t="n"/>
      <c r="F205" s="57" t="n"/>
      <c r="G205" s="57" t="n"/>
      <c r="H205" s="57" t="n"/>
      <c r="I205" s="58" t="n"/>
    </row>
    <row r="206" outlineLevel="1" ht="47.25" customHeight="1">
      <c r="C206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206" s="60" t="n"/>
      <c r="E206" s="60" t="n"/>
      <c r="F206" s="60" t="n"/>
      <c r="G206" s="60" t="n"/>
      <c r="H206" s="60" t="n"/>
    </row>
    <row r="207" outlineLevel="1">
      <c r="C207" s="101" t="inlineStr">
        <is>
          <t xml:space="preserve">3.1.1. Система предоставления скидок </t>
        </is>
      </c>
    </row>
    <row r="208" outlineLevel="1" ht="14.65" customHeight="1">
      <c r="C208" s="61" t="n"/>
    </row>
    <row r="209" outlineLevel="1">
      <c r="C209" s="102" t="inlineStr">
        <is>
          <t xml:space="preserve">ОБОРУДОВАНИЕ </t>
        </is>
      </c>
      <c r="D209" s="103" t="n"/>
      <c r="E209" s="104" t="inlineStr">
        <is>
          <t>до 75</t>
        </is>
      </c>
      <c r="F209" s="104" t="inlineStr">
        <is>
          <t>75-114</t>
        </is>
      </c>
      <c r="G209" s="104" t="inlineStr">
        <is>
          <t>115-149</t>
        </is>
      </c>
      <c r="H209" s="104" t="inlineStr">
        <is>
          <t>150-189</t>
        </is>
      </c>
      <c r="I209" s="104" t="inlineStr">
        <is>
          <t>190-224</t>
        </is>
      </c>
      <c r="J209" s="104" t="inlineStr">
        <is>
          <t>225 и более</t>
        </is>
      </c>
    </row>
    <row r="210" outlineLevel="1" ht="14.65" customHeight="1">
      <c r="C210" s="105" t="inlineStr">
        <is>
          <t>ОБЪЕМ закупок в тыс. EUR за 6 месяцев</t>
        </is>
      </c>
      <c r="D210" s="106" t="n"/>
      <c r="E210" s="106" t="n"/>
      <c r="F210" s="106" t="n"/>
      <c r="G210" s="106" t="n"/>
      <c r="H210" s="106" t="n"/>
      <c r="I210" s="106" t="n"/>
      <c r="J210" s="106" t="n"/>
    </row>
    <row r="211" outlineLevel="1" ht="14.65" customHeight="1">
      <c r="C211" s="107" t="inlineStr">
        <is>
          <t>Базовое вознаграждение за Дилерский договор</t>
        </is>
      </c>
      <c r="D211" s="108" t="inlineStr">
        <is>
          <t>Скидка %</t>
        </is>
      </c>
      <c r="E211" s="109" t="n">
        <v>6</v>
      </c>
      <c r="F211" s="109" t="n">
        <v>6</v>
      </c>
      <c r="G211" s="109" t="n">
        <v>6</v>
      </c>
      <c r="H211" s="109" t="n">
        <v>6</v>
      </c>
      <c r="I211" s="109" t="n">
        <v>6</v>
      </c>
      <c r="J211" s="109" t="n">
        <v>6</v>
      </c>
    </row>
    <row r="212" outlineLevel="1" ht="14.65" customHeight="1">
      <c r="C212" s="110" t="inlineStr">
        <is>
          <t>Наличие сервисного центра и гарантийное обслуживание</t>
        </is>
      </c>
      <c r="D212" s="108" t="inlineStr">
        <is>
          <t>Скидка %</t>
        </is>
      </c>
      <c r="E212" s="109" t="n">
        <v>1</v>
      </c>
      <c r="F212" s="109" t="n">
        <v>1</v>
      </c>
      <c r="G212" s="109" t="n">
        <v>1</v>
      </c>
      <c r="H212" s="109" t="n">
        <v>1</v>
      </c>
      <c r="I212" s="109" t="n">
        <v>1</v>
      </c>
      <c r="J212" s="109" t="n">
        <v>1</v>
      </c>
    </row>
    <row r="213" outlineLevel="1" ht="14.65" customHeight="1">
      <c r="C213" s="111" t="inlineStr">
        <is>
          <t>Объем закупок МП</t>
        </is>
      </c>
      <c r="D213" s="112" t="inlineStr">
        <is>
          <t>Скидка %</t>
        </is>
      </c>
      <c r="E213" s="113" t="n">
        <v>7</v>
      </c>
      <c r="F213" s="113" t="n">
        <v>9</v>
      </c>
      <c r="G213" s="113" t="n">
        <v>10</v>
      </c>
      <c r="H213" s="113" t="n">
        <v>11</v>
      </c>
      <c r="I213" s="113" t="n">
        <v>12</v>
      </c>
      <c r="J213" s="113" t="n">
        <v>13</v>
      </c>
    </row>
    <row r="214" outlineLevel="1" ht="14.65" customHeight="1">
      <c r="C214" s="114" t="inlineStr">
        <is>
          <t>ИТОГО</t>
        </is>
      </c>
      <c r="D214" s="115" t="n"/>
      <c r="E214" s="116">
        <f>SUM(E211:E213)</f>
        <v>14</v>
      </c>
      <c r="F214" s="117">
        <f>SUM(F211:F213)</f>
        <v>16</v>
      </c>
      <c r="G214" s="117">
        <f>SUM(G211:G213)</f>
        <v>17</v>
      </c>
      <c r="H214" s="117">
        <f>SUM(H211:H213)</f>
        <v>18</v>
      </c>
      <c r="I214" s="117">
        <f>SUM(I211:I213)</f>
        <v>19</v>
      </c>
      <c r="J214" s="118">
        <f>SUM(J211:J213)</f>
        <v>20</v>
      </c>
    </row>
    <row r="215" outlineLevel="1" ht="14.65" customHeight="1">
      <c r="C215" s="61" t="n"/>
    </row>
    <row r="216" outlineLevel="1" ht="25.9" customHeight="1">
      <c r="C216" s="103" t="inlineStr">
        <is>
          <t>РАСХОДНЫЕ МАТЕРИАЛЫ ОБЪЕМ закупок в тыс. EUR за 3 месяца (квартал)</t>
        </is>
      </c>
      <c r="D216" s="119" t="n"/>
      <c r="E216" s="120" t="inlineStr">
        <is>
          <t>до 24</t>
        </is>
      </c>
      <c r="F216" s="120" t="inlineStr">
        <is>
          <t>25-34</t>
        </is>
      </c>
      <c r="G216" s="120" t="inlineStr">
        <is>
          <t>35-44</t>
        </is>
      </c>
      <c r="H216" s="120" t="inlineStr">
        <is>
          <t>45-54</t>
        </is>
      </c>
      <c r="I216" s="120" t="inlineStr">
        <is>
          <t>55-64</t>
        </is>
      </c>
      <c r="J216" s="120" t="inlineStr">
        <is>
          <t>65 и более</t>
        </is>
      </c>
    </row>
    <row r="217" outlineLevel="1" ht="38.65" customHeight="1">
      <c r="C217" s="111" t="inlineStr">
        <is>
          <t>Объем закупок РМ</t>
        </is>
      </c>
      <c r="D217" s="112" t="inlineStr">
        <is>
          <t>Скидка будущего периода, %</t>
        </is>
      </c>
      <c r="E217" s="113" t="n">
        <v>0</v>
      </c>
      <c r="F217" s="113" t="n">
        <v>1</v>
      </c>
      <c r="G217" s="113" t="n">
        <v>2</v>
      </c>
      <c r="H217" s="113" t="n">
        <v>3</v>
      </c>
      <c r="I217" s="113" t="n">
        <v>4</v>
      </c>
      <c r="J217" s="113" t="n">
        <v>5</v>
      </c>
    </row>
    <row r="218" outlineLevel="1" ht="14.65" customHeight="1">
      <c r="C218" s="61" t="n"/>
    </row>
    <row r="219" outlineLevel="1" ht="14.65" customHeight="1">
      <c r="C219" s="121" t="inlineStr">
        <is>
          <t>ЗАПЧАСТИ Отгрузки за 12 месяцев ФГ</t>
        </is>
      </c>
      <c r="D219" s="122" t="inlineStr">
        <is>
          <t>EUR</t>
        </is>
      </c>
      <c r="E219" s="122" t="inlineStr">
        <is>
          <t>EUR</t>
        </is>
      </c>
      <c r="F219" s="122" t="inlineStr">
        <is>
          <t>% скидки</t>
        </is>
      </c>
    </row>
    <row r="220" outlineLevel="1" ht="14.65" customHeight="1">
      <c r="C220" s="123" t="inlineStr">
        <is>
          <t>отгрузки в диапазоне</t>
        </is>
      </c>
      <c r="D220" s="117" t="n">
        <v>0</v>
      </c>
      <c r="E220" s="124" t="n">
        <v>7000</v>
      </c>
      <c r="F220" s="125" t="n">
        <v>0.1</v>
      </c>
    </row>
    <row r="221" outlineLevel="1" ht="14.65" customHeight="1">
      <c r="C221" s="123" t="inlineStr">
        <is>
          <t>отгрузки в диапазоне</t>
        </is>
      </c>
      <c r="D221" s="117" t="n">
        <v>7001</v>
      </c>
      <c r="E221" s="124" t="n">
        <v>19000</v>
      </c>
      <c r="F221" s="125" t="n">
        <v>0.11</v>
      </c>
    </row>
    <row r="222" outlineLevel="1" ht="14.65" customHeight="1">
      <c r="C222" s="123" t="inlineStr">
        <is>
          <t>отгрузки в диапазоне</t>
        </is>
      </c>
      <c r="D222" s="124" t="n">
        <v>19001</v>
      </c>
      <c r="E222" s="124" t="n">
        <v>24000</v>
      </c>
      <c r="F222" s="125" t="n">
        <v>0.13</v>
      </c>
    </row>
    <row r="223" outlineLevel="1" ht="14.65" customHeight="1">
      <c r="C223" s="123" t="inlineStr">
        <is>
          <t>отгрузки в диапазоне</t>
        </is>
      </c>
      <c r="D223" s="124" t="n">
        <v>24001</v>
      </c>
      <c r="E223" s="124" t="n">
        <v>28000</v>
      </c>
      <c r="F223" s="125" t="n">
        <v>0.14</v>
      </c>
    </row>
    <row r="224" outlineLevel="1" ht="14.65" customHeight="1">
      <c r="C224" s="123" t="inlineStr">
        <is>
          <t>отгрузки в диапазоне</t>
        </is>
      </c>
      <c r="D224" s="124" t="n">
        <v>28001</v>
      </c>
      <c r="E224" s="124" t="n">
        <v>40000</v>
      </c>
      <c r="F224" s="125" t="n">
        <v>0.15</v>
      </c>
    </row>
    <row r="225" outlineLevel="1" ht="14.65" customHeight="1">
      <c r="C225" s="123" t="inlineStr">
        <is>
          <t>отгрузки в диапазоне</t>
        </is>
      </c>
      <c r="D225" s="124" t="n">
        <v>40001</v>
      </c>
      <c r="E225" s="124" t="n">
        <v>48000</v>
      </c>
      <c r="F225" s="126" t="n">
        <v>0.16</v>
      </c>
    </row>
    <row r="226" outlineLevel="1" ht="14.65" customHeight="1">
      <c r="C226" s="123" t="inlineStr">
        <is>
          <t>отгрузки в диапазоне</t>
        </is>
      </c>
      <c r="D226" s="124" t="n">
        <v>48001</v>
      </c>
      <c r="E226" s="124" t="n">
        <v>60000</v>
      </c>
      <c r="F226" s="125" t="n">
        <v>0.17</v>
      </c>
    </row>
    <row r="227" outlineLevel="1" ht="14.65" customHeight="1">
      <c r="C227" s="123" t="inlineStr">
        <is>
          <t>отгрузки в диапазоне</t>
        </is>
      </c>
      <c r="D227" s="127" t="n">
        <v>60001</v>
      </c>
      <c r="E227" s="128" t="n">
        <v>75000</v>
      </c>
      <c r="F227" s="129" t="n">
        <v>0.18</v>
      </c>
    </row>
    <row r="228" outlineLevel="1" ht="14.65" customHeight="1">
      <c r="C228" s="130" t="inlineStr">
        <is>
          <t>отгрузки в диапазоне</t>
        </is>
      </c>
      <c r="D228" s="128" t="n">
        <v>75001</v>
      </c>
      <c r="E228" s="128" t="n">
        <v>90000</v>
      </c>
      <c r="F228" s="131" t="n">
        <v>0.19</v>
      </c>
    </row>
    <row r="229" outlineLevel="1" ht="14.65" customHeight="1">
      <c r="C229" s="130" t="inlineStr">
        <is>
          <t>отгрузки в диапазоне</t>
        </is>
      </c>
      <c r="D229" s="128" t="n">
        <v>90001</v>
      </c>
      <c r="E229" s="127" t="n">
        <v>105000</v>
      </c>
      <c r="F229" s="131" t="n">
        <v>0.2</v>
      </c>
    </row>
    <row r="230" outlineLevel="1" ht="14.65" customHeight="1">
      <c r="C230" s="130" t="inlineStr">
        <is>
          <t>отгрузки в диапазоне</t>
        </is>
      </c>
      <c r="D230" s="128" t="n">
        <v>105001</v>
      </c>
      <c r="E230" s="128" t="n">
        <v>115000</v>
      </c>
      <c r="F230" s="131" t="n">
        <v>0.21</v>
      </c>
    </row>
    <row r="231" outlineLevel="1" ht="14.65" customHeight="1">
      <c r="C231" s="130" t="inlineStr">
        <is>
          <t>отгрузки в диапазоне</t>
        </is>
      </c>
      <c r="D231" s="128" t="n">
        <v>115001</v>
      </c>
      <c r="E231" s="128" t="n">
        <v>0</v>
      </c>
      <c r="F231" s="131" t="n">
        <v>0.22</v>
      </c>
    </row>
    <row r="234" ht="20" customHeight="1">
      <c r="A234" s="9" t="inlineStr">
        <is>
          <t>### ДИЛЕР 6/18 • Deling food • Заруб (отчётность за полугодие) • вкладка «Deling fod» • исходные строки 1–34 (A1:M34)</t>
        </is>
      </c>
      <c r="B234" s="31" t="n"/>
      <c r="C234" s="31" t="n"/>
      <c r="D234" s="31" t="n"/>
      <c r="E234" s="31" t="n"/>
      <c r="F234" s="31" t="n"/>
      <c r="G234" s="31" t="n"/>
      <c r="H234" s="31" t="n"/>
      <c r="I234" s="31" t="n"/>
      <c r="J234" s="31" t="n"/>
      <c r="K234" s="31" t="n"/>
      <c r="L234" s="31" t="n"/>
      <c r="M234" s="31" t="n"/>
    </row>
    <row r="235" outlineLevel="1"/>
    <row r="236" outlineLevel="1" ht="14.65" customHeight="1"/>
    <row r="237" outlineLevel="1" ht="39.6" customHeight="1">
      <c r="C237" s="32" t="inlineStr">
        <is>
          <t> </t>
        </is>
      </c>
      <c r="D237" s="33" t="inlineStr">
        <is>
          <t>Выручка 2024</t>
        </is>
      </c>
      <c r="E237" s="33" t="inlineStr">
        <is>
          <t>Выручка 2025</t>
        </is>
      </c>
      <c r="F237" s="33" t="inlineStr">
        <is>
          <t>План 2026</t>
        </is>
      </c>
      <c r="G237" s="34" t="inlineStr">
        <is>
          <t>Прирост П/Ф</t>
        </is>
      </c>
      <c r="H237" s="35" t="inlineStr">
        <is>
          <t>Размер бонуса по итогам 2026 г</t>
        </is>
      </c>
      <c r="I237" s="36" t="inlineStr">
        <is>
          <t>Скидка в 1 кв. 2026 ф.г.*</t>
        </is>
      </c>
    </row>
    <row r="238" outlineLevel="1" ht="24.95" customHeight="1">
      <c r="C238" s="37" t="inlineStr">
        <is>
          <t>Deling food</t>
        </is>
      </c>
      <c r="D238" s="38" t="n">
        <v>396515</v>
      </c>
      <c r="E238" s="38" t="n">
        <v>295723</v>
      </c>
      <c r="F238" s="38">
        <f>SUM(F239:F241)</f>
        <v>640000</v>
      </c>
      <c r="G238" s="39">
        <f>F238/E238-1</f>
        <v>1.1641874321577963</v>
      </c>
      <c r="H238" s="40" t="n"/>
      <c r="I238" s="41" t="n"/>
    </row>
    <row r="239" outlineLevel="1" ht="24.95" customHeight="1">
      <c r="C239" s="43" t="inlineStr">
        <is>
          <t>Сервис</t>
        </is>
      </c>
      <c r="D239" s="44" t="n"/>
      <c r="E239" s="45" t="n">
        <v>1455</v>
      </c>
      <c r="F239" s="45" t="n">
        <v>75000</v>
      </c>
      <c r="G239" s="46" t="n"/>
      <c r="H239" s="47" t="n">
        <v>0.01</v>
      </c>
      <c r="I239" s="48" t="n">
        <v>0.16</v>
      </c>
      <c r="M239" s="42" t="n"/>
    </row>
    <row r="240" outlineLevel="1" ht="24.95" customHeight="1">
      <c r="C240" s="49" t="inlineStr">
        <is>
          <t>Оборудование</t>
        </is>
      </c>
      <c r="D240" s="45" t="n">
        <v>249821</v>
      </c>
      <c r="E240" s="45" t="n">
        <v>131398</v>
      </c>
      <c r="F240" s="44" t="n">
        <v>250000</v>
      </c>
      <c r="G240" s="46" t="n"/>
      <c r="H240" s="47" t="n">
        <v>0.015</v>
      </c>
      <c r="I240" s="50" t="n">
        <v>0.18</v>
      </c>
      <c r="K240" s="42" t="n"/>
    </row>
    <row r="241" outlineLevel="1" ht="38.45" customHeight="1">
      <c r="C241" s="51" t="inlineStr">
        <is>
          <t>Расходные материалы</t>
        </is>
      </c>
      <c r="D241" s="52" t="n">
        <v>146694</v>
      </c>
      <c r="E241" s="52" t="n">
        <v>163678</v>
      </c>
      <c r="F241" s="52" t="n">
        <v>315000</v>
      </c>
      <c r="G241" s="53" t="n"/>
      <c r="H241" s="54" t="n">
        <v>0.005</v>
      </c>
      <c r="I241" s="55" t="n">
        <v>0.1</v>
      </c>
      <c r="J241" s="100" t="inlineStr">
        <is>
          <t>индивидуальная скидка</t>
        </is>
      </c>
    </row>
    <row r="242" outlineLevel="1" ht="26.65" customHeight="1">
      <c r="C242" s="56" t="inlineStr">
        <is>
          <t>* - скидка согласно правил работы ТПС на 2026 ф.г. Действует с момента подписания плана</t>
        </is>
      </c>
      <c r="D242" s="57" t="n"/>
      <c r="E242" s="57" t="n"/>
      <c r="F242" s="57" t="n"/>
      <c r="G242" s="57" t="n"/>
      <c r="H242" s="57" t="n"/>
      <c r="I242" s="58" t="n"/>
    </row>
    <row r="243" outlineLevel="1" ht="47.25" customHeight="1">
      <c r="C243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243" s="60" t="n"/>
      <c r="E243" s="60" t="n"/>
      <c r="F243" s="60" t="n"/>
      <c r="G243" s="60" t="n"/>
      <c r="H243" s="60" t="n"/>
    </row>
    <row r="244" outlineLevel="1">
      <c r="C244" s="101" t="inlineStr">
        <is>
          <t xml:space="preserve">3.1.1. Система предоставления скидок </t>
        </is>
      </c>
    </row>
    <row r="245" outlineLevel="1" ht="14.65" customHeight="1">
      <c r="C245" s="61" t="n"/>
    </row>
    <row r="246" outlineLevel="1">
      <c r="C246" s="102" t="inlineStr">
        <is>
          <t xml:space="preserve">ОБОРУДОВАНИЕ </t>
        </is>
      </c>
      <c r="D246" s="103" t="n"/>
      <c r="E246" s="104" t="inlineStr">
        <is>
          <t>до 75</t>
        </is>
      </c>
      <c r="F246" s="104" t="inlineStr">
        <is>
          <t>75-114</t>
        </is>
      </c>
      <c r="G246" s="104" t="inlineStr">
        <is>
          <t>115-149</t>
        </is>
      </c>
      <c r="H246" s="104" t="inlineStr">
        <is>
          <t>150-189</t>
        </is>
      </c>
      <c r="I246" s="104" t="inlineStr">
        <is>
          <t>190-224</t>
        </is>
      </c>
      <c r="J246" s="104" t="inlineStr">
        <is>
          <t>225 и более</t>
        </is>
      </c>
    </row>
    <row r="247" outlineLevel="1" ht="14.65" customHeight="1">
      <c r="C247" s="105" t="inlineStr">
        <is>
          <t>ОБЪЕМ закупок в тыс. EUR за 6 месяцев</t>
        </is>
      </c>
      <c r="D247" s="106" t="n"/>
      <c r="E247" s="106" t="n"/>
      <c r="F247" s="106" t="n"/>
      <c r="G247" s="106" t="n"/>
      <c r="H247" s="106" t="n"/>
      <c r="I247" s="106" t="n"/>
      <c r="J247" s="106" t="n"/>
    </row>
    <row r="248" outlineLevel="1" ht="14.65" customHeight="1">
      <c r="C248" s="107" t="inlineStr">
        <is>
          <t>Базовое вознаграждение за Дилерский договор</t>
        </is>
      </c>
      <c r="D248" s="108" t="inlineStr">
        <is>
          <t>Скидка %</t>
        </is>
      </c>
      <c r="E248" s="109" t="n">
        <v>6</v>
      </c>
      <c r="F248" s="109" t="n">
        <v>6</v>
      </c>
      <c r="G248" s="109" t="n">
        <v>6</v>
      </c>
      <c r="H248" s="109" t="n">
        <v>6</v>
      </c>
      <c r="I248" s="109" t="n">
        <v>6</v>
      </c>
      <c r="J248" s="109" t="n">
        <v>6</v>
      </c>
    </row>
    <row r="249" outlineLevel="1" ht="25.9" customHeight="1">
      <c r="C249" s="110" t="inlineStr">
        <is>
          <t>Наличие сервисного центра и гарантийное обслуживание</t>
        </is>
      </c>
      <c r="D249" s="108" t="inlineStr">
        <is>
          <t>Скидка %</t>
        </is>
      </c>
      <c r="E249" s="109" t="n">
        <v>1</v>
      </c>
      <c r="F249" s="109" t="n">
        <v>1</v>
      </c>
      <c r="G249" s="109" t="n">
        <v>1</v>
      </c>
      <c r="H249" s="109" t="n">
        <v>1</v>
      </c>
      <c r="I249" s="109" t="n">
        <v>1</v>
      </c>
      <c r="J249" s="109" t="n">
        <v>1</v>
      </c>
    </row>
    <row r="250" outlineLevel="1" ht="14.65" customHeight="1">
      <c r="C250" s="111" t="inlineStr">
        <is>
          <t>Объем закупок МП</t>
        </is>
      </c>
      <c r="D250" s="112" t="inlineStr">
        <is>
          <t>Скидка %</t>
        </is>
      </c>
      <c r="E250" s="113" t="n">
        <v>7</v>
      </c>
      <c r="F250" s="113" t="n">
        <v>9</v>
      </c>
      <c r="G250" s="113" t="n">
        <v>10</v>
      </c>
      <c r="H250" s="113" t="n">
        <v>11</v>
      </c>
      <c r="I250" s="113" t="n">
        <v>12</v>
      </c>
      <c r="J250" s="113" t="n">
        <v>13</v>
      </c>
    </row>
    <row r="251" outlineLevel="1" ht="14.65" customHeight="1">
      <c r="C251" s="114" t="inlineStr">
        <is>
          <t>ИТОГО</t>
        </is>
      </c>
      <c r="D251" s="115" t="n"/>
      <c r="E251" s="116">
        <f>SUM(E248:E250)</f>
        <v>14</v>
      </c>
      <c r="F251" s="117">
        <f>SUM(F248:F250)</f>
        <v>16</v>
      </c>
      <c r="G251" s="117">
        <f>SUM(G248:G250)</f>
        <v>17</v>
      </c>
      <c r="H251" s="118">
        <f>SUM(H248:H250)</f>
        <v>18</v>
      </c>
      <c r="I251" s="117">
        <f>SUM(I248:I250)</f>
        <v>19</v>
      </c>
      <c r="J251" s="117">
        <f>SUM(J248:J250)</f>
        <v>20</v>
      </c>
    </row>
    <row r="252" outlineLevel="1" ht="14.65" customHeight="1">
      <c r="C252" s="61" t="n"/>
    </row>
    <row r="253" outlineLevel="1" ht="25.9" customHeight="1">
      <c r="C253" s="103" t="inlineStr">
        <is>
          <t>РАСХОДНЫЕ МАТЕРИАЛЫ ОБЪЕМ закупок в тыс. EUR за 3 месяца (квартал)</t>
        </is>
      </c>
      <c r="D253" s="119" t="n"/>
      <c r="E253" s="120" t="inlineStr">
        <is>
          <t>до 24</t>
        </is>
      </c>
      <c r="F253" s="120" t="inlineStr">
        <is>
          <t>25-34</t>
        </is>
      </c>
      <c r="G253" s="120" t="inlineStr">
        <is>
          <t>35-44</t>
        </is>
      </c>
      <c r="H253" s="120" t="inlineStr">
        <is>
          <t>45-54</t>
        </is>
      </c>
      <c r="I253" s="120" t="inlineStr">
        <is>
          <t>55-64</t>
        </is>
      </c>
      <c r="J253" s="120" t="inlineStr">
        <is>
          <t>65 и более</t>
        </is>
      </c>
    </row>
    <row r="254" outlineLevel="1" ht="38.65" customHeight="1">
      <c r="C254" s="111" t="inlineStr">
        <is>
          <t>Объем закупок РМ</t>
        </is>
      </c>
      <c r="D254" s="112" t="inlineStr">
        <is>
          <t>Скидка будущего периода, %</t>
        </is>
      </c>
      <c r="E254" s="113" t="n">
        <v>0</v>
      </c>
      <c r="F254" s="113" t="n">
        <v>1</v>
      </c>
      <c r="G254" s="113" t="n">
        <v>2</v>
      </c>
      <c r="H254" s="113" t="n">
        <v>3</v>
      </c>
      <c r="I254" s="113" t="n">
        <v>4</v>
      </c>
      <c r="J254" s="113" t="n">
        <v>5</v>
      </c>
    </row>
    <row r="255" outlineLevel="1" ht="14.65" customHeight="1">
      <c r="C255" s="61" t="n"/>
    </row>
    <row r="256" outlineLevel="1" ht="14.65" customHeight="1">
      <c r="C256" s="121" t="inlineStr">
        <is>
          <t>ЗАПЧАСТИ Отгрузки за 12 месяцев ФГ</t>
        </is>
      </c>
      <c r="D256" s="122" t="inlineStr">
        <is>
          <t>EUR</t>
        </is>
      </c>
      <c r="E256" s="122" t="inlineStr">
        <is>
          <t>EUR</t>
        </is>
      </c>
      <c r="F256" s="122" t="inlineStr">
        <is>
          <t>% скидки</t>
        </is>
      </c>
    </row>
    <row r="257" outlineLevel="1" ht="14.65" customHeight="1">
      <c r="C257" s="123" t="inlineStr">
        <is>
          <t>отгрузки в диапазоне</t>
        </is>
      </c>
      <c r="D257" s="117" t="n">
        <v>0</v>
      </c>
      <c r="E257" s="124" t="n">
        <v>7000</v>
      </c>
      <c r="F257" s="125" t="n">
        <v>0.1</v>
      </c>
    </row>
    <row r="258" outlineLevel="1" ht="14.65" customHeight="1">
      <c r="C258" s="123" t="inlineStr">
        <is>
          <t>отгрузки в диапазоне</t>
        </is>
      </c>
      <c r="D258" s="117" t="n">
        <v>7001</v>
      </c>
      <c r="E258" s="124" t="n">
        <v>19000</v>
      </c>
      <c r="F258" s="125" t="n">
        <v>0.11</v>
      </c>
    </row>
    <row r="259" outlineLevel="1" ht="14.65" customHeight="1">
      <c r="C259" s="123" t="inlineStr">
        <is>
          <t>отгрузки в диапазоне</t>
        </is>
      </c>
      <c r="D259" s="124" t="n">
        <v>19001</v>
      </c>
      <c r="E259" s="124" t="n">
        <v>24000</v>
      </c>
      <c r="F259" s="125" t="n">
        <v>0.13</v>
      </c>
    </row>
    <row r="260" outlineLevel="1" ht="14.65" customHeight="1">
      <c r="C260" s="123" t="inlineStr">
        <is>
          <t>отгрузки в диапазоне</t>
        </is>
      </c>
      <c r="D260" s="124" t="n">
        <v>24001</v>
      </c>
      <c r="E260" s="124" t="n">
        <v>28000</v>
      </c>
      <c r="F260" s="125" t="n">
        <v>0.14</v>
      </c>
    </row>
    <row r="261" outlineLevel="1" ht="14.65" customHeight="1">
      <c r="C261" s="123" t="inlineStr">
        <is>
          <t>отгрузки в диапазоне</t>
        </is>
      </c>
      <c r="D261" s="124" t="n">
        <v>28001</v>
      </c>
      <c r="E261" s="124" t="n">
        <v>40000</v>
      </c>
      <c r="F261" s="125" t="n">
        <v>0.15</v>
      </c>
    </row>
    <row r="262" outlineLevel="1" ht="14.65" customHeight="1">
      <c r="C262" s="123" t="inlineStr">
        <is>
          <t>отгрузки в диапазоне</t>
        </is>
      </c>
      <c r="D262" s="124" t="n">
        <v>40001</v>
      </c>
      <c r="E262" s="124" t="n">
        <v>48000</v>
      </c>
      <c r="F262" s="126" t="n">
        <v>0.16</v>
      </c>
    </row>
    <row r="263" outlineLevel="1" ht="14.65" customHeight="1">
      <c r="C263" s="123" t="inlineStr">
        <is>
          <t>отгрузки в диапазоне</t>
        </is>
      </c>
      <c r="D263" s="124" t="n">
        <v>48001</v>
      </c>
      <c r="E263" s="124" t="n">
        <v>60000</v>
      </c>
      <c r="F263" s="125" t="n">
        <v>0.17</v>
      </c>
    </row>
    <row r="264" outlineLevel="1" ht="14.65" customHeight="1">
      <c r="C264" s="123" t="inlineStr">
        <is>
          <t>отгрузки в диапазоне</t>
        </is>
      </c>
      <c r="D264" s="127" t="n">
        <v>60001</v>
      </c>
      <c r="E264" s="128" t="n">
        <v>75000</v>
      </c>
      <c r="F264" s="129" t="n">
        <v>0.18</v>
      </c>
    </row>
    <row r="265" outlineLevel="1" ht="14.65" customHeight="1">
      <c r="C265" s="130" t="inlineStr">
        <is>
          <t>отгрузки в диапазоне</t>
        </is>
      </c>
      <c r="D265" s="128" t="n">
        <v>75001</v>
      </c>
      <c r="E265" s="128" t="n">
        <v>90000</v>
      </c>
      <c r="F265" s="131" t="n">
        <v>0.19</v>
      </c>
    </row>
    <row r="266" outlineLevel="1" ht="14.65" customHeight="1">
      <c r="C266" s="130" t="inlineStr">
        <is>
          <t>отгрузки в диапазоне</t>
        </is>
      </c>
      <c r="D266" s="128" t="n">
        <v>90001</v>
      </c>
      <c r="E266" s="127" t="n">
        <v>105000</v>
      </c>
      <c r="F266" s="131" t="n">
        <v>0.2</v>
      </c>
    </row>
    <row r="267" outlineLevel="1" ht="14.65" customHeight="1">
      <c r="C267" s="130" t="inlineStr">
        <is>
          <t>отгрузки в диапазоне</t>
        </is>
      </c>
      <c r="D267" s="128" t="n">
        <v>105001</v>
      </c>
      <c r="E267" s="128" t="n">
        <v>115000</v>
      </c>
      <c r="F267" s="131" t="n">
        <v>0.21</v>
      </c>
    </row>
    <row r="268" outlineLevel="1" ht="14.65" customHeight="1">
      <c r="C268" s="130" t="inlineStr">
        <is>
          <t>отгрузки в диапазоне</t>
        </is>
      </c>
      <c r="D268" s="128" t="n">
        <v>115001</v>
      </c>
      <c r="E268" s="128" t="n">
        <v>0</v>
      </c>
      <c r="F268" s="131" t="n">
        <v>0.22</v>
      </c>
    </row>
    <row r="271" ht="20" customHeight="1">
      <c r="A271" s="9" t="inlineStr">
        <is>
          <t>### ДИЛЕР 7/18 • VitLine, Казахстан • Заруб (отчётность за полугодие) • вкладка «VitLine» • исходные строки 1–34 (A1:O34)</t>
        </is>
      </c>
      <c r="B271" s="31" t="n"/>
      <c r="C271" s="31" t="n"/>
      <c r="D271" s="31" t="n"/>
      <c r="E271" s="31" t="n"/>
      <c r="F271" s="31" t="n"/>
      <c r="G271" s="31" t="n"/>
      <c r="H271" s="31" t="n"/>
      <c r="I271" s="31" t="n"/>
      <c r="J271" s="31" t="n"/>
      <c r="K271" s="31" t="n"/>
      <c r="L271" s="31" t="n"/>
      <c r="M271" s="31" t="n"/>
      <c r="N271" s="31" t="n"/>
      <c r="O271" s="31" t="n"/>
    </row>
    <row r="272" outlineLevel="1"/>
    <row r="273" outlineLevel="1" ht="14.65" customHeight="1"/>
    <row r="274" outlineLevel="1" ht="48" customHeight="1">
      <c r="C274" s="32" t="inlineStr">
        <is>
          <t> </t>
        </is>
      </c>
      <c r="D274" s="33" t="inlineStr">
        <is>
          <t>Выручка 2024</t>
        </is>
      </c>
      <c r="E274" s="33" t="inlineStr">
        <is>
          <t>Выручка 2025</t>
        </is>
      </c>
      <c r="F274" s="33" t="inlineStr">
        <is>
          <t>План 2026</t>
        </is>
      </c>
      <c r="G274" s="34" t="inlineStr">
        <is>
          <t>Прирост П/Ф</t>
        </is>
      </c>
      <c r="H274" s="35" t="inlineStr">
        <is>
          <t>Размер бонуса по итогам 2026 г</t>
        </is>
      </c>
      <c r="I274" s="36" t="inlineStr">
        <is>
          <t>Скидка в 1 кв. 2026 ф.г.*</t>
        </is>
      </c>
    </row>
    <row r="275" outlineLevel="1" ht="24.95" customHeight="1">
      <c r="C275" s="37" t="inlineStr">
        <is>
          <t>VitLine, Казахстан</t>
        </is>
      </c>
      <c r="D275" s="38" t="n">
        <v>1010089</v>
      </c>
      <c r="E275" s="38" t="n">
        <v>1013606</v>
      </c>
      <c r="F275" s="38">
        <f>SUM(F276:F278)</f>
        <v>1315000</v>
      </c>
      <c r="G275" s="39">
        <f>F275/E275-1</f>
        <v>0.2973482793116853</v>
      </c>
      <c r="H275" s="40" t="n"/>
      <c r="I275" s="41" t="n"/>
    </row>
    <row r="276" outlineLevel="1" ht="30.75" customHeight="1">
      <c r="C276" s="43" t="inlineStr">
        <is>
          <t>Сервис</t>
        </is>
      </c>
      <c r="D276" s="44" t="n">
        <v>131600</v>
      </c>
      <c r="E276" s="44" t="n">
        <v>99727</v>
      </c>
      <c r="F276" s="45" t="n">
        <v>100000</v>
      </c>
      <c r="G276" s="46" t="n"/>
      <c r="H276" s="47" t="n">
        <v>0.01</v>
      </c>
      <c r="I276" s="48" t="n">
        <v>0.19</v>
      </c>
    </row>
    <row r="277" outlineLevel="1" ht="30.75" customHeight="1">
      <c r="C277" s="49" t="inlineStr">
        <is>
          <t>Оборудование</t>
        </is>
      </c>
      <c r="D277" s="45" t="n">
        <v>65169</v>
      </c>
      <c r="E277" s="45" t="n">
        <v>126990</v>
      </c>
      <c r="F277" s="44" t="n">
        <v>315000</v>
      </c>
      <c r="G277" s="46" t="n"/>
      <c r="H277" s="47" t="n">
        <v>0.015</v>
      </c>
      <c r="I277" s="50" t="n">
        <v>0.18</v>
      </c>
      <c r="J277" s="132" t="inlineStr">
        <is>
          <t>только продажи Дистрибутора без учета прямых продаж КОМПО</t>
        </is>
      </c>
      <c r="O277" s="42" t="n"/>
    </row>
    <row r="278" outlineLevel="1" ht="30.75" customHeight="1">
      <c r="C278" s="51" t="inlineStr">
        <is>
          <t>Расходные материалы</t>
        </is>
      </c>
      <c r="D278" s="52" t="n">
        <v>813320</v>
      </c>
      <c r="E278" s="52" t="n">
        <v>786889</v>
      </c>
      <c r="F278" s="52" t="n">
        <v>900000</v>
      </c>
      <c r="G278" s="53" t="n"/>
      <c r="H278" s="54" t="n">
        <v>0.005</v>
      </c>
      <c r="I278" s="133" t="n">
        <v>0.15</v>
      </c>
      <c r="J278" s="134" t="inlineStr">
        <is>
          <t>индивидуальная скидка</t>
        </is>
      </c>
    </row>
    <row r="279" outlineLevel="1" ht="39.75" customHeight="1">
      <c r="C279" s="56" t="inlineStr">
        <is>
          <t>* - скидка согласно правил работы ТПС на 2026 ф.г. Действует с момента подписания плана</t>
        </is>
      </c>
      <c r="D279" s="57" t="n"/>
      <c r="E279" s="57" t="n"/>
      <c r="F279" s="57" t="n"/>
      <c r="G279" s="57" t="n"/>
      <c r="H279" s="57" t="n"/>
      <c r="I279" s="58" t="n"/>
    </row>
    <row r="280" outlineLevel="1" ht="58.5" customHeight="1">
      <c r="C280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280" s="60" t="n"/>
      <c r="E280" s="60" t="n"/>
      <c r="F280" s="60" t="n"/>
      <c r="G280" s="60" t="n"/>
      <c r="H280" s="60" t="n"/>
    </row>
    <row r="281" outlineLevel="1">
      <c r="C281" s="135" t="inlineStr">
        <is>
          <t xml:space="preserve">3.1.1. Система предоставления скидок </t>
        </is>
      </c>
    </row>
    <row r="282" outlineLevel="1" ht="14.65" customHeight="1">
      <c r="C282" s="61" t="n"/>
    </row>
    <row r="283" outlineLevel="1">
      <c r="C283" s="102" t="inlineStr">
        <is>
          <t xml:space="preserve">ОБОРУДОВАНИЕ </t>
        </is>
      </c>
      <c r="D283" s="103" t="n"/>
      <c r="E283" s="104" t="inlineStr">
        <is>
          <t>до 75</t>
        </is>
      </c>
      <c r="F283" s="104" t="inlineStr">
        <is>
          <t>75-114</t>
        </is>
      </c>
      <c r="G283" s="104" t="inlineStr">
        <is>
          <t>115-149</t>
        </is>
      </c>
      <c r="H283" s="104" t="inlineStr">
        <is>
          <t>150-189</t>
        </is>
      </c>
      <c r="I283" s="104" t="inlineStr">
        <is>
          <t>190-224</t>
        </is>
      </c>
      <c r="J283" s="104" t="inlineStr">
        <is>
          <t>225 и более</t>
        </is>
      </c>
    </row>
    <row r="284" outlineLevel="1" ht="25.9" customHeight="1">
      <c r="C284" s="105" t="inlineStr">
        <is>
          <t>ОБЪЕМ закупок в тыс. EUR за 6 месяцев</t>
        </is>
      </c>
      <c r="D284" s="106" t="n"/>
      <c r="E284" s="106" t="n"/>
      <c r="F284" s="106" t="n"/>
      <c r="G284" s="106" t="n"/>
      <c r="H284" s="106" t="n"/>
      <c r="I284" s="106" t="n"/>
      <c r="J284" s="106" t="n"/>
    </row>
    <row r="285" outlineLevel="1" ht="20.1" customHeight="1">
      <c r="C285" s="107" t="inlineStr">
        <is>
          <t>Базовое вознаграждение за Дилерский договор</t>
        </is>
      </c>
      <c r="D285" s="108" t="inlineStr">
        <is>
          <t>Скидка %</t>
        </is>
      </c>
      <c r="E285" s="109" t="n">
        <v>6</v>
      </c>
      <c r="F285" s="109" t="n">
        <v>6</v>
      </c>
      <c r="G285" s="109" t="n">
        <v>6</v>
      </c>
      <c r="H285" s="109" t="n">
        <v>6</v>
      </c>
      <c r="I285" s="109" t="n">
        <v>6</v>
      </c>
      <c r="J285" s="109" t="n">
        <v>6</v>
      </c>
    </row>
    <row r="286" outlineLevel="1" ht="27" customHeight="1">
      <c r="C286" s="110" t="inlineStr">
        <is>
          <t>Наличие сервисного центра и гарантийное обслуживание</t>
        </is>
      </c>
      <c r="D286" s="108" t="inlineStr">
        <is>
          <t>Скидка %</t>
        </is>
      </c>
      <c r="E286" s="109" t="n">
        <v>1</v>
      </c>
      <c r="F286" s="109" t="n">
        <v>1</v>
      </c>
      <c r="G286" s="109" t="n">
        <v>1</v>
      </c>
      <c r="H286" s="109" t="n">
        <v>1</v>
      </c>
      <c r="I286" s="109" t="n">
        <v>1</v>
      </c>
      <c r="J286" s="109" t="n">
        <v>1</v>
      </c>
    </row>
    <row r="287" outlineLevel="1" ht="20.1" customHeight="1">
      <c r="C287" s="111" t="inlineStr">
        <is>
          <t>Объем закупок МП</t>
        </is>
      </c>
      <c r="D287" s="112" t="inlineStr">
        <is>
          <t>Скидка %</t>
        </is>
      </c>
      <c r="E287" s="113" t="n">
        <v>7</v>
      </c>
      <c r="F287" s="113" t="n">
        <v>9</v>
      </c>
      <c r="G287" s="113" t="n">
        <v>10</v>
      </c>
      <c r="H287" s="113" t="n">
        <v>11</v>
      </c>
      <c r="I287" s="113" t="n">
        <v>12</v>
      </c>
      <c r="J287" s="113" t="n">
        <v>13</v>
      </c>
    </row>
    <row r="288" outlineLevel="1" ht="14.65" customHeight="1">
      <c r="C288" s="114" t="inlineStr">
        <is>
          <t>ИТОГО</t>
        </is>
      </c>
      <c r="D288" s="115" t="n"/>
      <c r="E288" s="116">
        <f>SUM(E285:E287)</f>
        <v>14</v>
      </c>
      <c r="F288" s="117">
        <f>SUM(F285:F287)</f>
        <v>16</v>
      </c>
      <c r="G288" s="117">
        <f>SUM(G285:G287)</f>
        <v>17</v>
      </c>
      <c r="H288" s="118">
        <f>SUM(H285:H287)</f>
        <v>18</v>
      </c>
      <c r="I288" s="117">
        <f>SUM(I285:I287)</f>
        <v>19</v>
      </c>
      <c r="J288" s="117">
        <f>SUM(J285:J287)</f>
        <v>20</v>
      </c>
    </row>
    <row r="289" outlineLevel="1" ht="14.65" customHeight="1">
      <c r="C289" s="61" t="n"/>
    </row>
    <row r="290" outlineLevel="1" ht="38.65" customHeight="1">
      <c r="C290" s="103" t="inlineStr">
        <is>
          <t>РАСХОДНЫЕ МАТЕРИАЛЫ ОБЪЕМ закупок в тыс. EUR за 3 месяца (квартал)</t>
        </is>
      </c>
      <c r="D290" s="119" t="n"/>
      <c r="E290" s="120" t="inlineStr">
        <is>
          <t>до 24</t>
        </is>
      </c>
      <c r="F290" s="120" t="inlineStr">
        <is>
          <t>25-34</t>
        </is>
      </c>
      <c r="G290" s="120" t="inlineStr">
        <is>
          <t>35-44</t>
        </is>
      </c>
      <c r="H290" s="120" t="inlineStr">
        <is>
          <t>45-54</t>
        </is>
      </c>
      <c r="I290" s="120" t="inlineStr">
        <is>
          <t>55-64</t>
        </is>
      </c>
      <c r="J290" s="120" t="inlineStr">
        <is>
          <t>65 и более</t>
        </is>
      </c>
    </row>
    <row r="291" outlineLevel="1" ht="38.65" customHeight="1">
      <c r="C291" s="111" t="inlineStr">
        <is>
          <t>Объем закупок РМ</t>
        </is>
      </c>
      <c r="D291" s="112" t="inlineStr">
        <is>
          <t>Скидка будущего периода, %</t>
        </is>
      </c>
      <c r="E291" s="113" t="n">
        <v>0</v>
      </c>
      <c r="F291" s="113" t="n">
        <v>1</v>
      </c>
      <c r="G291" s="113" t="n">
        <v>2</v>
      </c>
      <c r="H291" s="113" t="n">
        <v>3</v>
      </c>
      <c r="I291" s="113" t="n">
        <v>4</v>
      </c>
      <c r="J291" s="113" t="n">
        <v>5</v>
      </c>
    </row>
    <row r="292" outlineLevel="1" ht="14.65" customHeight="1">
      <c r="C292" s="61" t="n"/>
    </row>
    <row r="293" outlineLevel="1" ht="14.65" customHeight="1">
      <c r="C293" s="121" t="inlineStr">
        <is>
          <t>ЗАПЧАСТИ Отгрузки за 12 месяцев ФГ</t>
        </is>
      </c>
      <c r="D293" s="122" t="inlineStr">
        <is>
          <t>EUR</t>
        </is>
      </c>
      <c r="E293" s="122" t="inlineStr">
        <is>
          <t>EUR</t>
        </is>
      </c>
      <c r="F293" s="122" t="inlineStr">
        <is>
          <t>% скидки</t>
        </is>
      </c>
    </row>
    <row r="294" outlineLevel="1" ht="14.65" customHeight="1">
      <c r="C294" s="123" t="inlineStr">
        <is>
          <t>отгрузки в диапазоне</t>
        </is>
      </c>
      <c r="D294" s="117" t="n">
        <v>0</v>
      </c>
      <c r="E294" s="124" t="n">
        <v>7000</v>
      </c>
      <c r="F294" s="125" t="n">
        <v>0.1</v>
      </c>
    </row>
    <row r="295" outlineLevel="1" ht="14.65" customHeight="1">
      <c r="C295" s="123" t="inlineStr">
        <is>
          <t>отгрузки в диапазоне</t>
        </is>
      </c>
      <c r="D295" s="117" t="n">
        <v>7001</v>
      </c>
      <c r="E295" s="124" t="n">
        <v>19000</v>
      </c>
      <c r="F295" s="125" t="n">
        <v>0.11</v>
      </c>
    </row>
    <row r="296" outlineLevel="1" ht="14.65" customHeight="1">
      <c r="C296" s="123" t="inlineStr">
        <is>
          <t>отгрузки в диапазоне</t>
        </is>
      </c>
      <c r="D296" s="124" t="n">
        <v>19001</v>
      </c>
      <c r="E296" s="124" t="n">
        <v>24000</v>
      </c>
      <c r="F296" s="125" t="n">
        <v>0.13</v>
      </c>
    </row>
    <row r="297" outlineLevel="1" ht="14.65" customHeight="1">
      <c r="C297" s="123" t="inlineStr">
        <is>
          <t>отгрузки в диапазоне</t>
        </is>
      </c>
      <c r="D297" s="124" t="n">
        <v>24001</v>
      </c>
      <c r="E297" s="124" t="n">
        <v>28000</v>
      </c>
      <c r="F297" s="125" t="n">
        <v>0.14</v>
      </c>
    </row>
    <row r="298" outlineLevel="1" ht="14.65" customHeight="1">
      <c r="C298" s="123" t="inlineStr">
        <is>
          <t>отгрузки в диапазоне</t>
        </is>
      </c>
      <c r="D298" s="124" t="n">
        <v>28001</v>
      </c>
      <c r="E298" s="124" t="n">
        <v>40000</v>
      </c>
      <c r="F298" s="125" t="n">
        <v>0.15</v>
      </c>
    </row>
    <row r="299" outlineLevel="1" ht="14.65" customHeight="1">
      <c r="C299" s="123" t="inlineStr">
        <is>
          <t>отгрузки в диапазоне</t>
        </is>
      </c>
      <c r="D299" s="124" t="n">
        <v>40001</v>
      </c>
      <c r="E299" s="124" t="n">
        <v>48000</v>
      </c>
      <c r="F299" s="125" t="n">
        <v>0.16</v>
      </c>
    </row>
    <row r="300" outlineLevel="1" ht="14.65" customHeight="1">
      <c r="C300" s="123" t="inlineStr">
        <is>
          <t>отгрузки в диапазоне</t>
        </is>
      </c>
      <c r="D300" s="124" t="n">
        <v>48001</v>
      </c>
      <c r="E300" s="124" t="n">
        <v>60000</v>
      </c>
      <c r="F300" s="125" t="n">
        <v>0.17</v>
      </c>
    </row>
    <row r="301" outlineLevel="1" ht="14.65" customHeight="1">
      <c r="C301" s="123" t="inlineStr">
        <is>
          <t>отгрузки в диапазоне</t>
        </is>
      </c>
      <c r="D301" s="127" t="n">
        <v>60001</v>
      </c>
      <c r="E301" s="128" t="n">
        <v>75000</v>
      </c>
      <c r="F301" s="129" t="n">
        <v>0.18</v>
      </c>
    </row>
    <row r="302" outlineLevel="1" ht="14.65" customHeight="1">
      <c r="C302" s="130" t="inlineStr">
        <is>
          <t>отгрузки в диапазоне</t>
        </is>
      </c>
      <c r="D302" s="128" t="n">
        <v>75001</v>
      </c>
      <c r="E302" s="128" t="n">
        <v>90000</v>
      </c>
      <c r="F302" s="136" t="n">
        <v>0.19</v>
      </c>
    </row>
    <row r="303" outlineLevel="1" ht="14.65" customHeight="1">
      <c r="C303" s="130" t="inlineStr">
        <is>
          <t>отгрузки в диапазоне</t>
        </is>
      </c>
      <c r="D303" s="128" t="n">
        <v>90001</v>
      </c>
      <c r="E303" s="127" t="n">
        <v>105000</v>
      </c>
      <c r="F303" s="131" t="n">
        <v>0.2</v>
      </c>
    </row>
    <row r="304" outlineLevel="1" ht="14.65" customHeight="1">
      <c r="C304" s="130" t="inlineStr">
        <is>
          <t>отгрузки в диапазоне</t>
        </is>
      </c>
      <c r="D304" s="128" t="n">
        <v>105001</v>
      </c>
      <c r="E304" s="128" t="n">
        <v>115000</v>
      </c>
      <c r="F304" s="131" t="n">
        <v>0.21</v>
      </c>
    </row>
    <row r="305" outlineLevel="1" ht="14.65" customHeight="1">
      <c r="C305" s="130" t="inlineStr">
        <is>
          <t>отгрузки в диапазоне</t>
        </is>
      </c>
      <c r="D305" s="128" t="n">
        <v>115001</v>
      </c>
      <c r="E305" s="128" t="n">
        <v>0</v>
      </c>
      <c r="F305" s="131" t="n">
        <v>0.22</v>
      </c>
    </row>
    <row r="308" ht="20" customHeight="1">
      <c r="A308" s="9" t="inlineStr">
        <is>
          <t>### ДИЛЕР 8/18 • UNIVERSAL MEAT • Заруб (отчётность за полугодие) • вкладка «Universal meat» • исходные строки 1–35 (A1:J35)</t>
        </is>
      </c>
      <c r="B308" s="31" t="n"/>
      <c r="C308" s="31" t="n"/>
      <c r="D308" s="31" t="n"/>
      <c r="E308" s="31" t="n"/>
      <c r="F308" s="31" t="n"/>
      <c r="G308" s="31" t="n"/>
      <c r="H308" s="31" t="n"/>
      <c r="I308" s="31" t="n"/>
      <c r="J308" s="31" t="n"/>
    </row>
    <row r="309" outlineLevel="1"/>
    <row r="310" outlineLevel="1" ht="14.65" customHeight="1"/>
    <row r="311" outlineLevel="1" ht="38.45" customHeight="1">
      <c r="C311" s="32" t="inlineStr">
        <is>
          <t> </t>
        </is>
      </c>
      <c r="D311" s="33" t="inlineStr">
        <is>
          <t>Выручка 2024</t>
        </is>
      </c>
      <c r="E311" s="33" t="inlineStr">
        <is>
          <t>Выручка 2025</t>
        </is>
      </c>
      <c r="F311" s="33" t="inlineStr">
        <is>
          <t>План 2026</t>
        </is>
      </c>
      <c r="G311" s="34" t="inlineStr">
        <is>
          <t>Прирост П/Ф</t>
        </is>
      </c>
      <c r="H311" s="35" t="inlineStr">
        <is>
          <t>Размер бонуса по итогам 2026 г</t>
        </is>
      </c>
      <c r="I311" s="36" t="inlineStr">
        <is>
          <t>Скидка в 1 кв. 2026 ф.г.*</t>
        </is>
      </c>
    </row>
    <row r="312" outlineLevel="1" ht="24.95" customHeight="1">
      <c r="C312" s="37" t="inlineStr">
        <is>
          <t>UNIVERSAL MEAT</t>
        </is>
      </c>
      <c r="D312" s="38" t="n">
        <v>409425</v>
      </c>
      <c r="E312" s="38" t="n">
        <v>298999</v>
      </c>
      <c r="F312" s="38">
        <f>SUM(F313:F315)</f>
        <v>500000</v>
      </c>
      <c r="G312" s="39">
        <f>F312/E312-1</f>
        <v>0.6722463954728946</v>
      </c>
      <c r="H312" s="40" t="n"/>
      <c r="I312" s="41" t="n"/>
    </row>
    <row r="313" outlineLevel="1" ht="24.95" customHeight="1">
      <c r="C313" s="43" t="inlineStr">
        <is>
          <t>Сервис</t>
        </is>
      </c>
      <c r="D313" s="44" t="n">
        <v>290</v>
      </c>
      <c r="E313" s="44" t="n">
        <v>12622</v>
      </c>
      <c r="F313" s="45" t="n">
        <v>50000</v>
      </c>
      <c r="G313" s="46" t="n"/>
      <c r="H313" s="47" t="n">
        <v>0.01</v>
      </c>
      <c r="I313" s="48" t="n">
        <v>0.15</v>
      </c>
    </row>
    <row r="314" outlineLevel="1" ht="24.95" customHeight="1">
      <c r="C314" s="49" t="inlineStr">
        <is>
          <t>Оборудование</t>
        </is>
      </c>
      <c r="D314" s="45" t="n">
        <v>270070</v>
      </c>
      <c r="E314" s="45" t="n">
        <v>62269</v>
      </c>
      <c r="F314" s="44" t="n">
        <v>200000</v>
      </c>
      <c r="G314" s="46" t="n"/>
      <c r="H314" s="47" t="n">
        <v>0.015</v>
      </c>
      <c r="I314" s="50" t="n">
        <v>0.16</v>
      </c>
    </row>
    <row r="315" outlineLevel="1" ht="24.95" customHeight="1">
      <c r="C315" s="51" t="inlineStr">
        <is>
          <t>Расходные материалы</t>
        </is>
      </c>
      <c r="D315" s="52" t="n">
        <v>139065</v>
      </c>
      <c r="E315" s="52" t="n">
        <v>224108</v>
      </c>
      <c r="F315" s="52" t="n">
        <v>250000</v>
      </c>
      <c r="G315" s="53" t="n"/>
      <c r="H315" s="54" t="n">
        <v>0.005</v>
      </c>
      <c r="I315" s="133" t="inlineStr">
        <is>
          <t>до 10%</t>
        </is>
      </c>
      <c r="J315" s="134" t="inlineStr">
        <is>
          <t>индивидуальная скидка</t>
        </is>
      </c>
    </row>
    <row r="316" outlineLevel="1" ht="26.65" customHeight="1">
      <c r="C316" s="56" t="inlineStr">
        <is>
          <t>* - скидка согласно правил работы ТПС на 2026 ф.г. Действует с момента подписания плана</t>
        </is>
      </c>
      <c r="D316" s="57" t="n"/>
      <c r="E316" s="57" t="n"/>
      <c r="F316" s="57" t="n"/>
      <c r="G316" s="57" t="n"/>
      <c r="H316" s="57" t="n"/>
      <c r="I316" s="58" t="n"/>
    </row>
    <row r="317" outlineLevel="1" ht="50.25" customHeight="1">
      <c r="C317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317" s="60" t="n"/>
      <c r="E317" s="60" t="n"/>
      <c r="F317" s="60" t="n"/>
      <c r="G317" s="60" t="n"/>
      <c r="H317" s="60" t="n"/>
    </row>
    <row r="318" outlineLevel="1"/>
    <row r="319" outlineLevel="1">
      <c r="C319" s="101" t="inlineStr">
        <is>
          <t xml:space="preserve">3.1.1. Система предоставления скидок </t>
        </is>
      </c>
    </row>
    <row r="320" outlineLevel="1" ht="14.65" customHeight="1">
      <c r="C320" s="61" t="n"/>
    </row>
    <row r="321" outlineLevel="1">
      <c r="C321" s="102" t="inlineStr">
        <is>
          <t xml:space="preserve">ОБОРУДОВАНИЕ </t>
        </is>
      </c>
      <c r="D321" s="103" t="n"/>
      <c r="E321" s="104" t="inlineStr">
        <is>
          <t>до 75</t>
        </is>
      </c>
      <c r="F321" s="104" t="inlineStr">
        <is>
          <t>75-114</t>
        </is>
      </c>
      <c r="G321" s="104" t="inlineStr">
        <is>
          <t>115-149</t>
        </is>
      </c>
      <c r="H321" s="104" t="inlineStr">
        <is>
          <t>150-189</t>
        </is>
      </c>
      <c r="I321" s="104" t="inlineStr">
        <is>
          <t>190-224</t>
        </is>
      </c>
      <c r="J321" s="104" t="inlineStr">
        <is>
          <t>225 и более</t>
        </is>
      </c>
    </row>
    <row r="322" outlineLevel="1" ht="14.65" customHeight="1">
      <c r="C322" s="105" t="inlineStr">
        <is>
          <t>ОБЪЕМ закупок в тыс. EUR за 6 месяцев</t>
        </is>
      </c>
      <c r="D322" s="106" t="n"/>
      <c r="E322" s="106" t="n"/>
      <c r="F322" s="106" t="n"/>
      <c r="G322" s="106" t="n"/>
      <c r="H322" s="106" t="n"/>
      <c r="I322" s="106" t="n"/>
      <c r="J322" s="106" t="n"/>
    </row>
    <row r="323" outlineLevel="1" ht="14.65" customHeight="1">
      <c r="C323" s="107" t="inlineStr">
        <is>
          <t>Базовое вознаграждение за Дилерский договор</t>
        </is>
      </c>
      <c r="D323" s="108" t="inlineStr">
        <is>
          <t>Скидка %</t>
        </is>
      </c>
      <c r="E323" s="109" t="n">
        <v>6</v>
      </c>
      <c r="F323" s="109" t="n">
        <v>6</v>
      </c>
      <c r="G323" s="109" t="n">
        <v>6</v>
      </c>
      <c r="H323" s="109" t="n">
        <v>6</v>
      </c>
      <c r="I323" s="109" t="n">
        <v>6</v>
      </c>
      <c r="J323" s="109" t="n">
        <v>6</v>
      </c>
    </row>
    <row r="324" outlineLevel="1" ht="25.9" customHeight="1">
      <c r="C324" s="110" t="inlineStr">
        <is>
          <t>Наличие сервисного центра и гарантийное обслуживание</t>
        </is>
      </c>
      <c r="D324" s="108" t="inlineStr">
        <is>
          <t>Скидка %</t>
        </is>
      </c>
      <c r="E324" s="109" t="n">
        <v>1</v>
      </c>
      <c r="F324" s="109" t="n">
        <v>1</v>
      </c>
      <c r="G324" s="109" t="n">
        <v>1</v>
      </c>
      <c r="H324" s="109" t="n">
        <v>1</v>
      </c>
      <c r="I324" s="109" t="n">
        <v>1</v>
      </c>
      <c r="J324" s="109" t="n">
        <v>1</v>
      </c>
    </row>
    <row r="325" outlineLevel="1" ht="14.65" customHeight="1">
      <c r="C325" s="111" t="inlineStr">
        <is>
          <t>Объем закупок МП</t>
        </is>
      </c>
      <c r="D325" s="112" t="inlineStr">
        <is>
          <t>Скидка %</t>
        </is>
      </c>
      <c r="E325" s="113" t="n">
        <v>7</v>
      </c>
      <c r="F325" s="113" t="n">
        <v>9</v>
      </c>
      <c r="G325" s="113" t="n">
        <v>10</v>
      </c>
      <c r="H325" s="113" t="n">
        <v>11</v>
      </c>
      <c r="I325" s="113" t="n">
        <v>12</v>
      </c>
      <c r="J325" s="113" t="n">
        <v>13</v>
      </c>
    </row>
    <row r="326" outlineLevel="1" ht="14.65" customHeight="1">
      <c r="C326" s="114" t="inlineStr">
        <is>
          <t>ИТОГО</t>
        </is>
      </c>
      <c r="D326" s="115" t="n"/>
      <c r="E326" s="116">
        <f>SUM(E323:E325)</f>
        <v>14</v>
      </c>
      <c r="F326" s="118">
        <f>SUM(F323:F325)</f>
        <v>16</v>
      </c>
      <c r="G326" s="117">
        <f>SUM(G323:G325)</f>
        <v>17</v>
      </c>
      <c r="H326" s="117">
        <f>SUM(H323:H325)</f>
        <v>18</v>
      </c>
      <c r="I326" s="117">
        <f>SUM(I323:I325)</f>
        <v>19</v>
      </c>
      <c r="J326" s="117">
        <f>SUM(J323:J325)</f>
        <v>20</v>
      </c>
    </row>
    <row r="327" outlineLevel="1" ht="14.65" customHeight="1">
      <c r="C327" s="61" t="n"/>
    </row>
    <row r="328" outlineLevel="1" ht="25.9" customHeight="1">
      <c r="C328" s="103" t="inlineStr">
        <is>
          <t>РАСХОДНЫЕ МАТЕРИАЛЫ ОБЪЕМ закупок в тыс. EUR за 3 месяца (квартал)</t>
        </is>
      </c>
      <c r="D328" s="119" t="n"/>
      <c r="E328" s="120" t="inlineStr">
        <is>
          <t>до 24</t>
        </is>
      </c>
      <c r="F328" s="120" t="inlineStr">
        <is>
          <t>25-34</t>
        </is>
      </c>
      <c r="G328" s="120" t="inlineStr">
        <is>
          <t>35-44</t>
        </is>
      </c>
      <c r="H328" s="120" t="inlineStr">
        <is>
          <t>45-54</t>
        </is>
      </c>
      <c r="I328" s="120" t="inlineStr">
        <is>
          <t>55-64</t>
        </is>
      </c>
      <c r="J328" s="120" t="inlineStr">
        <is>
          <t>65 и более</t>
        </is>
      </c>
    </row>
    <row r="329" outlineLevel="1" ht="38.65" customHeight="1">
      <c r="C329" s="111" t="inlineStr">
        <is>
          <t>Объем закупок РМ</t>
        </is>
      </c>
      <c r="D329" s="112" t="inlineStr">
        <is>
          <t>Скидка будущего периода, %</t>
        </is>
      </c>
      <c r="E329" s="113" t="n">
        <v>0</v>
      </c>
      <c r="F329" s="113" t="n">
        <v>1</v>
      </c>
      <c r="G329" s="113" t="n">
        <v>2</v>
      </c>
      <c r="H329" s="113" t="n">
        <v>3</v>
      </c>
      <c r="I329" s="113" t="n">
        <v>4</v>
      </c>
      <c r="J329" s="113" t="n">
        <v>5</v>
      </c>
    </row>
    <row r="330" outlineLevel="1" ht="14.65" customHeight="1">
      <c r="C330" s="61" t="n"/>
    </row>
    <row r="331" outlineLevel="1" ht="14.65" customHeight="1">
      <c r="C331" s="121" t="inlineStr">
        <is>
          <t>ЗАПЧАСТИ Отгрузки за 12 месяцев ФГ</t>
        </is>
      </c>
      <c r="D331" s="122" t="inlineStr">
        <is>
          <t>EUR</t>
        </is>
      </c>
      <c r="E331" s="122" t="inlineStr">
        <is>
          <t>EUR</t>
        </is>
      </c>
      <c r="F331" s="122" t="inlineStr">
        <is>
          <t>% скидки</t>
        </is>
      </c>
    </row>
    <row r="332" outlineLevel="1" ht="14.65" customHeight="1">
      <c r="C332" s="123" t="inlineStr">
        <is>
          <t>отгрузки в диапазоне</t>
        </is>
      </c>
      <c r="D332" s="117" t="n">
        <v>0</v>
      </c>
      <c r="E332" s="124" t="n">
        <v>7000</v>
      </c>
      <c r="F332" s="125" t="n">
        <v>0.1</v>
      </c>
    </row>
    <row r="333" outlineLevel="1" ht="14.65" customHeight="1">
      <c r="C333" s="123" t="inlineStr">
        <is>
          <t>отгрузки в диапазоне</t>
        </is>
      </c>
      <c r="D333" s="117" t="n">
        <v>7001</v>
      </c>
      <c r="E333" s="124" t="n">
        <v>19000</v>
      </c>
      <c r="F333" s="125" t="n">
        <v>0.11</v>
      </c>
    </row>
    <row r="334" outlineLevel="1" ht="14.65" customHeight="1">
      <c r="C334" s="123" t="inlineStr">
        <is>
          <t>отгрузки в диапазоне</t>
        </is>
      </c>
      <c r="D334" s="124" t="n">
        <v>19001</v>
      </c>
      <c r="E334" s="124" t="n">
        <v>24000</v>
      </c>
      <c r="F334" s="125" t="n">
        <v>0.13</v>
      </c>
    </row>
    <row r="335" outlineLevel="1" ht="14.65" customHeight="1">
      <c r="C335" s="123" t="inlineStr">
        <is>
          <t>отгрузки в диапазоне</t>
        </is>
      </c>
      <c r="D335" s="124" t="n">
        <v>24001</v>
      </c>
      <c r="E335" s="124" t="n">
        <v>28000</v>
      </c>
      <c r="F335" s="125" t="n">
        <v>0.14</v>
      </c>
    </row>
    <row r="336" outlineLevel="1" ht="14.65" customHeight="1">
      <c r="C336" s="123" t="inlineStr">
        <is>
          <t>отгрузки в диапазоне</t>
        </is>
      </c>
      <c r="D336" s="124" t="n">
        <v>28001</v>
      </c>
      <c r="E336" s="124" t="n">
        <v>40000</v>
      </c>
      <c r="F336" s="126" t="n">
        <v>0.15</v>
      </c>
    </row>
    <row r="337" outlineLevel="1" ht="14.65" customHeight="1">
      <c r="C337" s="123" t="inlineStr">
        <is>
          <t>отгрузки в диапазоне</t>
        </is>
      </c>
      <c r="D337" s="124" t="n">
        <v>40001</v>
      </c>
      <c r="E337" s="124" t="n">
        <v>48000</v>
      </c>
      <c r="F337" s="125" t="n">
        <v>0.16</v>
      </c>
    </row>
    <row r="338" outlineLevel="1" ht="14.65" customHeight="1">
      <c r="C338" s="123" t="inlineStr">
        <is>
          <t>отгрузки в диапазоне</t>
        </is>
      </c>
      <c r="D338" s="124" t="n">
        <v>48001</v>
      </c>
      <c r="E338" s="124" t="n">
        <v>60000</v>
      </c>
      <c r="F338" s="125" t="n">
        <v>0.17</v>
      </c>
    </row>
    <row r="339" outlineLevel="1" ht="14.65" customHeight="1">
      <c r="C339" s="123" t="inlineStr">
        <is>
          <t>отгрузки в диапазоне</t>
        </is>
      </c>
      <c r="D339" s="127" t="n">
        <v>60001</v>
      </c>
      <c r="E339" s="128" t="n">
        <v>75000</v>
      </c>
      <c r="F339" s="129" t="n">
        <v>0.18</v>
      </c>
    </row>
    <row r="340" outlineLevel="1" ht="14.65" customHeight="1">
      <c r="C340" s="130" t="inlineStr">
        <is>
          <t>отгрузки в диапазоне</t>
        </is>
      </c>
      <c r="D340" s="128" t="n">
        <v>75001</v>
      </c>
      <c r="E340" s="128" t="n">
        <v>90000</v>
      </c>
      <c r="F340" s="131" t="n">
        <v>0.19</v>
      </c>
    </row>
    <row r="341" outlineLevel="1" ht="14.65" customHeight="1">
      <c r="C341" s="130" t="inlineStr">
        <is>
          <t>отгрузки в диапазоне</t>
        </is>
      </c>
      <c r="D341" s="128" t="n">
        <v>90001</v>
      </c>
      <c r="E341" s="127" t="n">
        <v>105000</v>
      </c>
      <c r="F341" s="131" t="n">
        <v>0.2</v>
      </c>
    </row>
    <row r="342" outlineLevel="1" ht="14.65" customHeight="1">
      <c r="C342" s="130" t="inlineStr">
        <is>
          <t>отгрузки в диапазоне</t>
        </is>
      </c>
      <c r="D342" s="128" t="n">
        <v>105001</v>
      </c>
      <c r="E342" s="128" t="n">
        <v>115000</v>
      </c>
      <c r="F342" s="131" t="n">
        <v>0.21</v>
      </c>
    </row>
    <row r="343" outlineLevel="1" ht="14.65" customHeight="1">
      <c r="C343" s="130" t="inlineStr">
        <is>
          <t>отгрузки в диапазоне</t>
        </is>
      </c>
      <c r="D343" s="128" t="n">
        <v>115001</v>
      </c>
      <c r="E343" s="128" t="n">
        <v>0</v>
      </c>
      <c r="F343" s="131" t="n">
        <v>0.22</v>
      </c>
    </row>
    <row r="346" ht="20" customHeight="1">
      <c r="A346" s="9" t="inlineStr">
        <is>
          <t>### ДИЛЕР 9/18 • КОМПО North America Inc • Заруб (отчётность за полугодие) • вкладка «KNA» • исходные строки 1–34 (A1:J34)</t>
        </is>
      </c>
      <c r="B346" s="31" t="n"/>
      <c r="C346" s="31" t="n"/>
      <c r="D346" s="31" t="n"/>
      <c r="E346" s="31" t="n"/>
      <c r="F346" s="31" t="n"/>
      <c r="G346" s="31" t="n"/>
      <c r="H346" s="31" t="n"/>
      <c r="I346" s="31" t="n"/>
      <c r="J346" s="31" t="n"/>
    </row>
    <row r="347" outlineLevel="1"/>
    <row r="348" outlineLevel="1" ht="14.65" customHeight="1"/>
    <row r="349" outlineLevel="1" ht="36.95" customHeight="1">
      <c r="C349" s="32" t="inlineStr">
        <is>
          <t> </t>
        </is>
      </c>
      <c r="D349" s="33" t="inlineStr">
        <is>
          <t>Выручка 2024</t>
        </is>
      </c>
      <c r="E349" s="33" t="inlineStr">
        <is>
          <t>Выручка 2025</t>
        </is>
      </c>
      <c r="F349" s="33" t="inlineStr">
        <is>
          <t>План 2026</t>
        </is>
      </c>
      <c r="G349" s="34" t="inlineStr">
        <is>
          <t>Прирост П/Ф</t>
        </is>
      </c>
      <c r="H349" s="35" t="inlineStr">
        <is>
          <t>Размер бонуса по итогам 2026 г</t>
        </is>
      </c>
      <c r="I349" s="36" t="inlineStr">
        <is>
          <t>Скидка в 1 кв. 2026 ф.г.*</t>
        </is>
      </c>
    </row>
    <row r="350" outlineLevel="1" ht="24.95" customHeight="1">
      <c r="C350" s="37" t="inlineStr">
        <is>
          <t>КОМПО North America Inc</t>
        </is>
      </c>
      <c r="D350" s="38" t="n">
        <v>382736</v>
      </c>
      <c r="E350" s="38" t="n">
        <v>184983</v>
      </c>
      <c r="F350" s="38">
        <f>SUM(F351:F353)</f>
        <v>350000</v>
      </c>
      <c r="G350" s="39">
        <f>F350/E350-1</f>
        <v>0.8920657573939226</v>
      </c>
      <c r="H350" s="40" t="n"/>
      <c r="I350" s="41" t="n"/>
    </row>
    <row r="351" outlineLevel="1" ht="24.95" customHeight="1">
      <c r="C351" s="43" t="inlineStr">
        <is>
          <t>Сервис</t>
        </is>
      </c>
      <c r="D351" s="44" t="n">
        <v>5377</v>
      </c>
      <c r="E351" s="44" t="n">
        <v>-1814</v>
      </c>
      <c r="F351" s="45" t="n">
        <v>50000</v>
      </c>
      <c r="G351" s="46" t="n"/>
      <c r="H351" s="47" t="n">
        <v>0.01</v>
      </c>
      <c r="I351" s="48" t="n">
        <v>0.21</v>
      </c>
      <c r="J351" s="134" t="inlineStr">
        <is>
          <t>индивидуальная скидка</t>
        </is>
      </c>
    </row>
    <row r="352" outlineLevel="1" ht="24.95" customHeight="1">
      <c r="C352" s="49" t="inlineStr">
        <is>
          <t>Оборудование</t>
        </is>
      </c>
      <c r="D352" s="45" t="n">
        <v>141373</v>
      </c>
      <c r="E352" s="45" t="n">
        <v>85983</v>
      </c>
      <c r="F352" s="44" t="n">
        <v>150000</v>
      </c>
      <c r="G352" s="46" t="n"/>
      <c r="H352" s="47" t="n">
        <v>0.015</v>
      </c>
      <c r="I352" s="50" t="n">
        <v>0.22</v>
      </c>
      <c r="J352" s="134" t="inlineStr">
        <is>
          <t>индивидуальная скидка</t>
        </is>
      </c>
    </row>
    <row r="353" outlineLevel="1" ht="24.95" customHeight="1">
      <c r="C353" s="51" t="inlineStr">
        <is>
          <t>Расходные материалы</t>
        </is>
      </c>
      <c r="D353" s="52" t="n">
        <v>235986</v>
      </c>
      <c r="E353" s="52" t="n">
        <v>100814</v>
      </c>
      <c r="F353" s="52" t="n">
        <v>150000</v>
      </c>
      <c r="G353" s="53" t="n"/>
      <c r="H353" s="54" t="n">
        <v>0.005</v>
      </c>
      <c r="I353" s="55" t="n"/>
      <c r="J353" s="134" t="inlineStr">
        <is>
          <t>индивидуальная скидка</t>
        </is>
      </c>
    </row>
    <row r="354" outlineLevel="1" ht="26.65" customHeight="1">
      <c r="C354" s="56" t="inlineStr">
        <is>
          <t>* - скидка согласно правил работы ТПС на 2026 ф.г. Действует с момента подписания плана</t>
        </is>
      </c>
      <c r="D354" s="57" t="n"/>
      <c r="E354" s="57" t="n"/>
      <c r="F354" s="57" t="n"/>
      <c r="G354" s="57" t="n"/>
      <c r="H354" s="58" t="n"/>
    </row>
    <row r="355" outlineLevel="1" ht="63" customHeight="1">
      <c r="C355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355" s="60" t="n"/>
      <c r="E355" s="60" t="n"/>
      <c r="F355" s="60" t="n"/>
      <c r="G355" s="60" t="n"/>
      <c r="H355" s="60" t="n"/>
    </row>
    <row r="356" outlineLevel="1">
      <c r="C356" s="101" t="inlineStr">
        <is>
          <t xml:space="preserve">3.1.1. Система предоставления скидок </t>
        </is>
      </c>
    </row>
    <row r="357" outlineLevel="1" ht="14.65" customHeight="1">
      <c r="C357" s="61" t="n"/>
    </row>
    <row r="358" outlineLevel="1">
      <c r="C358" s="102" t="inlineStr">
        <is>
          <t xml:space="preserve">ОБОРУДОВАНИЕ </t>
        </is>
      </c>
      <c r="D358" s="103" t="n"/>
      <c r="E358" s="104" t="inlineStr">
        <is>
          <t>до 75</t>
        </is>
      </c>
      <c r="F358" s="104" t="inlineStr">
        <is>
          <t>75-114</t>
        </is>
      </c>
      <c r="G358" s="104" t="inlineStr">
        <is>
          <t>115-149</t>
        </is>
      </c>
      <c r="H358" s="104" t="inlineStr">
        <is>
          <t>150-189</t>
        </is>
      </c>
      <c r="I358" s="104" t="inlineStr">
        <is>
          <t>190-224</t>
        </is>
      </c>
      <c r="J358" s="104" t="inlineStr">
        <is>
          <t>225 и более</t>
        </is>
      </c>
    </row>
    <row r="359" outlineLevel="1" ht="14.65" customHeight="1">
      <c r="C359" s="105" t="inlineStr">
        <is>
          <t>ОБЪЕМ закупок в тыс. EUR за 6 месяцев</t>
        </is>
      </c>
      <c r="D359" s="106" t="n"/>
      <c r="E359" s="106" t="n"/>
      <c r="F359" s="106" t="n"/>
      <c r="G359" s="106" t="n"/>
      <c r="H359" s="106" t="n"/>
      <c r="I359" s="106" t="n"/>
      <c r="J359" s="106" t="n"/>
    </row>
    <row r="360" outlineLevel="1" ht="14.65" customHeight="1">
      <c r="C360" s="107" t="inlineStr">
        <is>
          <t>Базовое вознаграждение за Дилерский договор</t>
        </is>
      </c>
      <c r="D360" s="108" t="inlineStr">
        <is>
          <t>Скидка %</t>
        </is>
      </c>
      <c r="E360" s="109" t="n">
        <v>6</v>
      </c>
      <c r="F360" s="109" t="n">
        <v>6</v>
      </c>
      <c r="G360" s="109" t="n">
        <v>6</v>
      </c>
      <c r="H360" s="109" t="n">
        <v>6</v>
      </c>
      <c r="I360" s="109" t="n">
        <v>6</v>
      </c>
      <c r="J360" s="109" t="n">
        <v>6</v>
      </c>
    </row>
    <row r="361" outlineLevel="1" ht="14.65" customHeight="1">
      <c r="C361" s="110" t="inlineStr">
        <is>
          <t>Наличие сервисного центра и гарантийное обслуживание</t>
        </is>
      </c>
      <c r="D361" s="108" t="inlineStr">
        <is>
          <t>Скидка %</t>
        </is>
      </c>
      <c r="E361" s="109" t="n">
        <v>1</v>
      </c>
      <c r="F361" s="109" t="n">
        <v>1</v>
      </c>
      <c r="G361" s="109" t="n">
        <v>1</v>
      </c>
      <c r="H361" s="109" t="n">
        <v>1</v>
      </c>
      <c r="I361" s="109" t="n">
        <v>1</v>
      </c>
      <c r="J361" s="109" t="n">
        <v>1</v>
      </c>
    </row>
    <row r="362" outlineLevel="1" ht="14.65" customHeight="1">
      <c r="C362" s="111" t="inlineStr">
        <is>
          <t>Объем закупок МП</t>
        </is>
      </c>
      <c r="D362" s="112" t="inlineStr">
        <is>
          <t>Скидка %</t>
        </is>
      </c>
      <c r="E362" s="113" t="n">
        <v>0</v>
      </c>
      <c r="F362" s="113" t="n">
        <v>9</v>
      </c>
      <c r="G362" s="113" t="n">
        <v>10</v>
      </c>
      <c r="H362" s="113" t="n">
        <v>11</v>
      </c>
      <c r="I362" s="113" t="n">
        <v>12</v>
      </c>
      <c r="J362" s="113" t="n">
        <v>13</v>
      </c>
    </row>
    <row r="363" outlineLevel="1" ht="14.65" customHeight="1">
      <c r="C363" s="114" t="inlineStr">
        <is>
          <t>ИТОГО</t>
        </is>
      </c>
      <c r="D363" s="115" t="n"/>
      <c r="E363" s="116">
        <f>SUM(E360:E362)</f>
        <v>7</v>
      </c>
      <c r="F363" s="117">
        <f>SUM(F360:F362)</f>
        <v>16</v>
      </c>
      <c r="G363" s="117">
        <f>SUM(G360:G362)</f>
        <v>17</v>
      </c>
      <c r="H363" s="117">
        <f>SUM(H360:H362)</f>
        <v>18</v>
      </c>
      <c r="I363" s="117">
        <f>SUM(I360:I362)</f>
        <v>19</v>
      </c>
      <c r="J363" s="117">
        <f>SUM(J360:J362)</f>
        <v>20</v>
      </c>
    </row>
    <row r="364" outlineLevel="1" ht="14.65" customHeight="1">
      <c r="C364" s="61" t="n"/>
    </row>
    <row r="365" outlineLevel="1" ht="25.9" customHeight="1">
      <c r="C365" s="103" t="inlineStr">
        <is>
          <t>РАСХОДНЫЕ МАТЕРИАЛЫ ОБЪЕМ закупок в тыс. EUR за 3 месяца (квартал)</t>
        </is>
      </c>
      <c r="D365" s="119" t="n"/>
      <c r="E365" s="120" t="inlineStr">
        <is>
          <t>до 24</t>
        </is>
      </c>
      <c r="F365" s="120" t="inlineStr">
        <is>
          <t>25-34</t>
        </is>
      </c>
      <c r="G365" s="120" t="inlineStr">
        <is>
          <t>35-44</t>
        </is>
      </c>
      <c r="H365" s="120" t="inlineStr">
        <is>
          <t>45-54</t>
        </is>
      </c>
      <c r="I365" s="120" t="inlineStr">
        <is>
          <t>55-64</t>
        </is>
      </c>
      <c r="J365" s="120" t="inlineStr">
        <is>
          <t>65 и более</t>
        </is>
      </c>
    </row>
    <row r="366" outlineLevel="1" ht="25.9" customHeight="1">
      <c r="C366" s="111" t="inlineStr">
        <is>
          <t>Объем закупок РМ</t>
        </is>
      </c>
      <c r="D366" s="112" t="inlineStr">
        <is>
          <t>Скидка будущего периода, %</t>
        </is>
      </c>
      <c r="E366" s="113" t="n">
        <v>0</v>
      </c>
      <c r="F366" s="113" t="n">
        <v>1</v>
      </c>
      <c r="G366" s="113" t="n">
        <v>2</v>
      </c>
      <c r="H366" s="113" t="n">
        <v>3</v>
      </c>
      <c r="I366" s="113" t="n">
        <v>4</v>
      </c>
      <c r="J366" s="113" t="n">
        <v>5</v>
      </c>
    </row>
    <row r="367" outlineLevel="1" ht="14.65" customHeight="1">
      <c r="C367" s="61" t="n"/>
    </row>
    <row r="368" outlineLevel="1" ht="14.65" customHeight="1">
      <c r="C368" s="121" t="inlineStr">
        <is>
          <t>ЗАПЧАСТИ Отгрузки за 12 месяцев ФГ</t>
        </is>
      </c>
      <c r="D368" s="122" t="inlineStr">
        <is>
          <t>EUR</t>
        </is>
      </c>
      <c r="E368" s="122" t="inlineStr">
        <is>
          <t>EUR</t>
        </is>
      </c>
      <c r="F368" s="122" t="inlineStr">
        <is>
          <t>% скидки</t>
        </is>
      </c>
    </row>
    <row r="369" outlineLevel="1" ht="14.65" customHeight="1">
      <c r="C369" s="123" t="inlineStr">
        <is>
          <t>отгрузки в диапазоне</t>
        </is>
      </c>
      <c r="D369" s="117" t="n">
        <v>0</v>
      </c>
      <c r="E369" s="124" t="n">
        <v>7000</v>
      </c>
      <c r="F369" s="125" t="n">
        <v>0.1</v>
      </c>
    </row>
    <row r="370" outlineLevel="1" ht="14.65" customHeight="1">
      <c r="C370" s="123" t="inlineStr">
        <is>
          <t>отгрузки в диапазоне</t>
        </is>
      </c>
      <c r="D370" s="117" t="n">
        <v>7001</v>
      </c>
      <c r="E370" s="124" t="n">
        <v>19000</v>
      </c>
      <c r="F370" s="125" t="n">
        <v>0.11</v>
      </c>
    </row>
    <row r="371" outlineLevel="1" ht="14.65" customHeight="1">
      <c r="C371" s="123" t="inlineStr">
        <is>
          <t>отгрузки в диапазоне</t>
        </is>
      </c>
      <c r="D371" s="124" t="n">
        <v>19001</v>
      </c>
      <c r="E371" s="124" t="n">
        <v>24000</v>
      </c>
      <c r="F371" s="125" t="n">
        <v>0.13</v>
      </c>
    </row>
    <row r="372" outlineLevel="1" ht="14.65" customHeight="1">
      <c r="C372" s="123" t="inlineStr">
        <is>
          <t>отгрузки в диапазоне</t>
        </is>
      </c>
      <c r="D372" s="124" t="n">
        <v>24001</v>
      </c>
      <c r="E372" s="124" t="n">
        <v>28000</v>
      </c>
      <c r="F372" s="125" t="n">
        <v>0.14</v>
      </c>
    </row>
    <row r="373" outlineLevel="1" ht="14.65" customHeight="1">
      <c r="C373" s="123" t="inlineStr">
        <is>
          <t>отгрузки в диапазоне</t>
        </is>
      </c>
      <c r="D373" s="124" t="n">
        <v>28001</v>
      </c>
      <c r="E373" s="124" t="n">
        <v>40000</v>
      </c>
      <c r="F373" s="125" t="n">
        <v>0.15</v>
      </c>
    </row>
    <row r="374" outlineLevel="1" ht="14.65" customHeight="1">
      <c r="C374" s="123" t="inlineStr">
        <is>
          <t>отгрузки в диапазоне</t>
        </is>
      </c>
      <c r="D374" s="124" t="n">
        <v>40001</v>
      </c>
      <c r="E374" s="124" t="n">
        <v>48000</v>
      </c>
      <c r="F374" s="125" t="n">
        <v>0.16</v>
      </c>
    </row>
    <row r="375" outlineLevel="1" ht="14.65" customHeight="1">
      <c r="C375" s="123" t="inlineStr">
        <is>
          <t>отгрузки в диапазоне</t>
        </is>
      </c>
      <c r="D375" s="124" t="n">
        <v>48001</v>
      </c>
      <c r="E375" s="124" t="n">
        <v>60000</v>
      </c>
      <c r="F375" s="125" t="n">
        <v>0.17</v>
      </c>
    </row>
    <row r="376" outlineLevel="1" ht="14.65" customHeight="1">
      <c r="C376" s="123" t="inlineStr">
        <is>
          <t>отгрузки в диапазоне</t>
        </is>
      </c>
      <c r="D376" s="127" t="n">
        <v>60001</v>
      </c>
      <c r="E376" s="128" t="n">
        <v>75000</v>
      </c>
      <c r="F376" s="129" t="n">
        <v>0.18</v>
      </c>
    </row>
    <row r="377" outlineLevel="1" ht="14.65" customHeight="1">
      <c r="C377" s="130" t="inlineStr">
        <is>
          <t>отгрузки в диапазоне</t>
        </is>
      </c>
      <c r="D377" s="128" t="n">
        <v>75001</v>
      </c>
      <c r="E377" s="128" t="n">
        <v>90000</v>
      </c>
      <c r="F377" s="131" t="n">
        <v>0.19</v>
      </c>
    </row>
    <row r="378" outlineLevel="1" ht="14.65" customHeight="1">
      <c r="C378" s="130" t="inlineStr">
        <is>
          <t>отгрузки в диапазоне</t>
        </is>
      </c>
      <c r="D378" s="128" t="n">
        <v>90001</v>
      </c>
      <c r="E378" s="127" t="n">
        <v>105000</v>
      </c>
      <c r="F378" s="131" t="n">
        <v>0.2</v>
      </c>
    </row>
    <row r="379" outlineLevel="1" ht="14.65" customHeight="1">
      <c r="C379" s="130" t="inlineStr">
        <is>
          <t>отгрузки в диапазоне</t>
        </is>
      </c>
      <c r="D379" s="128" t="n">
        <v>105001</v>
      </c>
      <c r="E379" s="128" t="n">
        <v>115000</v>
      </c>
      <c r="F379" s="131" t="n">
        <v>0.21</v>
      </c>
    </row>
    <row r="380" outlineLevel="1" ht="14.65" customHeight="1">
      <c r="C380" s="130" t="inlineStr">
        <is>
          <t>отгрузки в диапазоне</t>
        </is>
      </c>
      <c r="D380" s="128" t="n">
        <v>115001</v>
      </c>
      <c r="E380" s="128" t="n">
        <v>0</v>
      </c>
      <c r="F380" s="131" t="n">
        <v>0.22</v>
      </c>
    </row>
    <row r="383" ht="20" customHeight="1">
      <c r="A383" s="9" t="inlineStr">
        <is>
          <t>### ДИЛЕР 10/18 • LUCKY &amp; S CO, Сербия • Заруб (отчётность за полугодие) • вкладка «LUCKY &amp; S CO» • исходные строки 1–35 (A1:J35)</t>
        </is>
      </c>
      <c r="B383" s="31" t="n"/>
      <c r="C383" s="31" t="n"/>
      <c r="D383" s="31" t="n"/>
      <c r="E383" s="31" t="n"/>
      <c r="F383" s="31" t="n"/>
      <c r="G383" s="31" t="n"/>
      <c r="H383" s="31" t="n"/>
      <c r="I383" s="31" t="n"/>
      <c r="J383" s="31" t="n"/>
    </row>
    <row r="384" outlineLevel="1"/>
    <row r="385" outlineLevel="1" ht="14.65" customHeight="1"/>
    <row r="386" outlineLevel="1" ht="42" customHeight="1">
      <c r="C386" s="32" t="inlineStr">
        <is>
          <t> </t>
        </is>
      </c>
      <c r="D386" s="33" t="inlineStr">
        <is>
          <t>Выручка 2024</t>
        </is>
      </c>
      <c r="E386" s="33" t="inlineStr">
        <is>
          <t>Выручка 2025</t>
        </is>
      </c>
      <c r="F386" s="33" t="inlineStr">
        <is>
          <t>План 2026</t>
        </is>
      </c>
      <c r="G386" s="34" t="inlineStr">
        <is>
          <t>Прирост П/Ф</t>
        </is>
      </c>
      <c r="H386" s="35" t="inlineStr">
        <is>
          <t>Размер бонуса по итогам 2026 г</t>
        </is>
      </c>
      <c r="I386" s="36" t="inlineStr">
        <is>
          <t>Скидка в 1 кв. 2026 ф.г.*</t>
        </is>
      </c>
    </row>
    <row r="387" outlineLevel="1" ht="24.95" customHeight="1">
      <c r="C387" s="37" t="inlineStr">
        <is>
          <t>LUCKY &amp; S CO, Сербия</t>
        </is>
      </c>
      <c r="D387" s="38" t="n">
        <v>238898</v>
      </c>
      <c r="E387" s="38" t="n">
        <v>442043</v>
      </c>
      <c r="F387" s="38">
        <f>SUM(F388:F390)</f>
        <v>600000</v>
      </c>
      <c r="G387" s="39">
        <f>F387/E387-1</f>
        <v>0.35733401501663864</v>
      </c>
      <c r="H387" s="40" t="n"/>
      <c r="I387" s="41" t="n"/>
    </row>
    <row r="388" outlineLevel="1" ht="24.95" customHeight="1">
      <c r="C388" s="43" t="inlineStr">
        <is>
          <t>Сервис</t>
        </is>
      </c>
      <c r="D388" s="44" t="n">
        <v>16760</v>
      </c>
      <c r="E388" s="137" t="n">
        <v>23314</v>
      </c>
      <c r="F388" s="45" t="n">
        <v>50000</v>
      </c>
      <c r="G388" s="46" t="n"/>
      <c r="H388" s="47" t="n">
        <v>0.01</v>
      </c>
      <c r="I388" s="48" t="n">
        <v>0.13</v>
      </c>
    </row>
    <row r="389" outlineLevel="1" ht="24.95" customHeight="1">
      <c r="C389" s="49" t="inlineStr">
        <is>
          <t>Оборудование</t>
        </is>
      </c>
      <c r="D389" s="45" t="n">
        <v>136476</v>
      </c>
      <c r="E389" s="45" t="n">
        <v>307394</v>
      </c>
      <c r="F389" s="44" t="n">
        <v>400000</v>
      </c>
      <c r="G389" s="46" t="n"/>
      <c r="H389" s="47" t="n">
        <v>0.015</v>
      </c>
      <c r="I389" s="50" t="n">
        <v>0.2</v>
      </c>
    </row>
    <row r="390" outlineLevel="1" ht="24.95" customHeight="1">
      <c r="C390" s="51" t="inlineStr">
        <is>
          <t>Расходные материалы</t>
        </is>
      </c>
      <c r="D390" s="52" t="n">
        <v>85662</v>
      </c>
      <c r="E390" s="52" t="n">
        <v>111828</v>
      </c>
      <c r="F390" s="52" t="n">
        <v>150000</v>
      </c>
      <c r="G390" s="53" t="n"/>
      <c r="H390" s="54" t="n">
        <v>0.005</v>
      </c>
      <c r="I390" s="55" t="n"/>
      <c r="J390" s="134" t="inlineStr">
        <is>
          <t>индивидуальная скидка</t>
        </is>
      </c>
    </row>
    <row r="391" outlineLevel="1" ht="26.65" customHeight="1">
      <c r="C391" s="56" t="inlineStr">
        <is>
          <t>* - скидка согласно правил работы ТПС на 2026 ф.г. Действует с момента подписания плана</t>
        </is>
      </c>
      <c r="D391" s="57" t="n"/>
      <c r="E391" s="57" t="n"/>
      <c r="F391" s="57" t="n"/>
      <c r="G391" s="57" t="n"/>
      <c r="H391" s="58" t="n"/>
    </row>
    <row r="392" outlineLevel="1" ht="60.75" customHeight="1">
      <c r="C392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392" s="60" t="n"/>
      <c r="E392" s="60" t="n"/>
      <c r="F392" s="60" t="n"/>
      <c r="G392" s="60" t="n"/>
      <c r="H392" s="60" t="n"/>
    </row>
    <row r="393" outlineLevel="1"/>
    <row r="394" outlineLevel="1">
      <c r="C394" s="101" t="inlineStr">
        <is>
          <t xml:space="preserve">3.1.1. Система предоставления скидок </t>
        </is>
      </c>
    </row>
    <row r="395" outlineLevel="1" ht="14.65" customHeight="1">
      <c r="C395" s="61" t="n"/>
    </row>
    <row r="396" outlineLevel="1">
      <c r="C396" s="102" t="inlineStr">
        <is>
          <t xml:space="preserve">ОБОРУДОВАНИЕ </t>
        </is>
      </c>
      <c r="D396" s="103" t="n"/>
      <c r="E396" s="104" t="inlineStr">
        <is>
          <t>до 75</t>
        </is>
      </c>
      <c r="F396" s="104" t="inlineStr">
        <is>
          <t>75-114</t>
        </is>
      </c>
      <c r="G396" s="104" t="inlineStr">
        <is>
          <t>115-149</t>
        </is>
      </c>
      <c r="H396" s="104" t="inlineStr">
        <is>
          <t>150-189</t>
        </is>
      </c>
      <c r="I396" s="104" t="inlineStr">
        <is>
          <t>190-224</t>
        </is>
      </c>
      <c r="J396" s="104" t="inlineStr">
        <is>
          <t>225 и более</t>
        </is>
      </c>
    </row>
    <row r="397" outlineLevel="1" ht="14.65" customHeight="1">
      <c r="C397" s="105" t="inlineStr">
        <is>
          <t>ОБЪЕМ закупок в тыс. EUR за 6 месяцев</t>
        </is>
      </c>
      <c r="D397" s="106" t="n"/>
      <c r="E397" s="106" t="n"/>
      <c r="F397" s="106" t="n"/>
      <c r="G397" s="106" t="n"/>
      <c r="H397" s="106" t="n"/>
      <c r="I397" s="106" t="n"/>
      <c r="J397" s="106" t="n"/>
    </row>
    <row r="398" outlineLevel="1" ht="14.65" customHeight="1">
      <c r="C398" s="107" t="inlineStr">
        <is>
          <t>Базовое вознаграждение за Дилерский договор</t>
        </is>
      </c>
      <c r="D398" s="108" t="inlineStr">
        <is>
          <t>Скидка %</t>
        </is>
      </c>
      <c r="E398" s="109" t="n">
        <v>6</v>
      </c>
      <c r="F398" s="109" t="n">
        <v>6</v>
      </c>
      <c r="G398" s="109" t="n">
        <v>6</v>
      </c>
      <c r="H398" s="109" t="n">
        <v>6</v>
      </c>
      <c r="I398" s="109" t="n">
        <v>6</v>
      </c>
      <c r="J398" s="109" t="n">
        <v>6</v>
      </c>
    </row>
    <row r="399" outlineLevel="1" ht="14.65" customHeight="1">
      <c r="C399" s="110" t="inlineStr">
        <is>
          <t>Наличие сервисного центра и гарантийное обслуживание</t>
        </is>
      </c>
      <c r="D399" s="108" t="inlineStr">
        <is>
          <t>Скидка %</t>
        </is>
      </c>
      <c r="E399" s="109" t="n">
        <v>1</v>
      </c>
      <c r="F399" s="109" t="n">
        <v>1</v>
      </c>
      <c r="G399" s="109" t="n">
        <v>1</v>
      </c>
      <c r="H399" s="109" t="n">
        <v>1</v>
      </c>
      <c r="I399" s="109" t="n">
        <v>1</v>
      </c>
      <c r="J399" s="109" t="n">
        <v>1</v>
      </c>
    </row>
    <row r="400" outlineLevel="1" ht="14.65" customHeight="1">
      <c r="C400" s="111" t="inlineStr">
        <is>
          <t>Объем закупок МП</t>
        </is>
      </c>
      <c r="D400" s="112" t="inlineStr">
        <is>
          <t>Скидка %</t>
        </is>
      </c>
      <c r="E400" s="113" t="n">
        <v>7</v>
      </c>
      <c r="F400" s="113" t="n">
        <v>9</v>
      </c>
      <c r="G400" s="113" t="n">
        <v>10</v>
      </c>
      <c r="H400" s="113" t="n">
        <v>11</v>
      </c>
      <c r="I400" s="113" t="n">
        <v>12</v>
      </c>
      <c r="J400" s="113" t="n">
        <v>13</v>
      </c>
    </row>
    <row r="401" outlineLevel="1" ht="14.65" customHeight="1">
      <c r="C401" s="114" t="inlineStr">
        <is>
          <t>ИТОГО</t>
        </is>
      </c>
      <c r="D401" s="115" t="n"/>
      <c r="E401" s="116">
        <f>SUM(E398:E400)</f>
        <v>14</v>
      </c>
      <c r="F401" s="117">
        <f>SUM(F398:F400)</f>
        <v>16</v>
      </c>
      <c r="G401" s="117">
        <f>SUM(G398:G400)</f>
        <v>17</v>
      </c>
      <c r="H401" s="117">
        <f>SUM(H398:H400)</f>
        <v>18</v>
      </c>
      <c r="I401" s="117">
        <f>SUM(I398:I400)</f>
        <v>19</v>
      </c>
      <c r="J401" s="118">
        <f>SUM(J398:J400)</f>
        <v>20</v>
      </c>
    </row>
    <row r="402" outlineLevel="1" ht="14.65" customHeight="1">
      <c r="C402" s="61" t="n"/>
    </row>
    <row r="403" outlineLevel="1" ht="25.9" customHeight="1">
      <c r="C403" s="103" t="inlineStr">
        <is>
          <t>РАСХОДНЫЕ МАТЕРИАЛЫ ОБЪЕМ закупок в тыс. EUR за 3 месяца (квартал)</t>
        </is>
      </c>
      <c r="D403" s="119" t="n"/>
      <c r="E403" s="120" t="inlineStr">
        <is>
          <t>до 24</t>
        </is>
      </c>
      <c r="F403" s="120" t="inlineStr">
        <is>
          <t>25-34</t>
        </is>
      </c>
      <c r="G403" s="120" t="inlineStr">
        <is>
          <t>35-44</t>
        </is>
      </c>
      <c r="H403" s="120" t="inlineStr">
        <is>
          <t>45-54</t>
        </is>
      </c>
      <c r="I403" s="120" t="inlineStr">
        <is>
          <t>55-64</t>
        </is>
      </c>
      <c r="J403" s="120" t="inlineStr">
        <is>
          <t>65 и более</t>
        </is>
      </c>
    </row>
    <row r="404" outlineLevel="1" ht="38.65" customHeight="1">
      <c r="C404" s="111" t="inlineStr">
        <is>
          <t>Объем закупок РМ</t>
        </is>
      </c>
      <c r="D404" s="112" t="inlineStr">
        <is>
          <t>Скидка будущего периода, %</t>
        </is>
      </c>
      <c r="E404" s="113" t="n">
        <v>0</v>
      </c>
      <c r="F404" s="113" t="n">
        <v>1</v>
      </c>
      <c r="G404" s="113" t="n">
        <v>2</v>
      </c>
      <c r="H404" s="113" t="n">
        <v>3</v>
      </c>
      <c r="I404" s="113" t="n">
        <v>4</v>
      </c>
      <c r="J404" s="113" t="n">
        <v>5</v>
      </c>
    </row>
    <row r="405" outlineLevel="1" ht="14.65" customHeight="1">
      <c r="C405" s="61" t="n"/>
    </row>
    <row r="406" outlineLevel="1" ht="14.65" customHeight="1">
      <c r="C406" s="121" t="inlineStr">
        <is>
          <t>ЗАПЧАСТИ Отгрузки за 12 месяцев ФГ</t>
        </is>
      </c>
      <c r="D406" s="122" t="inlineStr">
        <is>
          <t>EUR</t>
        </is>
      </c>
      <c r="E406" s="122" t="inlineStr">
        <is>
          <t>EUR</t>
        </is>
      </c>
      <c r="F406" s="122" t="inlineStr">
        <is>
          <t>% скидки</t>
        </is>
      </c>
    </row>
    <row r="407" outlineLevel="1" ht="14.65" customHeight="1">
      <c r="C407" s="123" t="inlineStr">
        <is>
          <t>отгрузки в диапазоне</t>
        </is>
      </c>
      <c r="D407" s="117" t="n">
        <v>0</v>
      </c>
      <c r="E407" s="124" t="n">
        <v>7000</v>
      </c>
      <c r="F407" s="125" t="n">
        <v>0.1</v>
      </c>
    </row>
    <row r="408" outlineLevel="1" ht="14.65" customHeight="1">
      <c r="C408" s="123" t="inlineStr">
        <is>
          <t>отгрузки в диапазоне</t>
        </is>
      </c>
      <c r="D408" s="117" t="n">
        <v>7001</v>
      </c>
      <c r="E408" s="124" t="n">
        <v>19000</v>
      </c>
      <c r="F408" s="125" t="n">
        <v>0.11</v>
      </c>
    </row>
    <row r="409" outlineLevel="1" ht="14.65" customHeight="1">
      <c r="C409" s="123" t="inlineStr">
        <is>
          <t>отгрузки в диапазоне</t>
        </is>
      </c>
      <c r="D409" s="124" t="n">
        <v>19001</v>
      </c>
      <c r="E409" s="124" t="n">
        <v>24000</v>
      </c>
      <c r="F409" s="126" t="n">
        <v>0.13</v>
      </c>
    </row>
    <row r="410" outlineLevel="1" ht="14.65" customHeight="1">
      <c r="C410" s="123" t="inlineStr">
        <is>
          <t>отгрузки в диапазоне</t>
        </is>
      </c>
      <c r="D410" s="124" t="n">
        <v>24001</v>
      </c>
      <c r="E410" s="124" t="n">
        <v>28000</v>
      </c>
      <c r="F410" s="125" t="n">
        <v>0.14</v>
      </c>
    </row>
    <row r="411" outlineLevel="1" ht="14.65" customHeight="1">
      <c r="C411" s="123" t="inlineStr">
        <is>
          <t>отгрузки в диапазоне</t>
        </is>
      </c>
      <c r="D411" s="124" t="n">
        <v>28001</v>
      </c>
      <c r="E411" s="124" t="n">
        <v>40000</v>
      </c>
      <c r="F411" s="125" t="n">
        <v>0.15</v>
      </c>
    </row>
    <row r="412" outlineLevel="1" ht="14.65" customHeight="1">
      <c r="C412" s="123" t="inlineStr">
        <is>
          <t>отгрузки в диапазоне</t>
        </is>
      </c>
      <c r="D412" s="124" t="n">
        <v>40001</v>
      </c>
      <c r="E412" s="124" t="n">
        <v>48000</v>
      </c>
      <c r="F412" s="125" t="n">
        <v>0.16</v>
      </c>
    </row>
    <row r="413" outlineLevel="1" ht="14.65" customHeight="1">
      <c r="C413" s="123" t="inlineStr">
        <is>
          <t>отгрузки в диапазоне</t>
        </is>
      </c>
      <c r="D413" s="124" t="n">
        <v>48001</v>
      </c>
      <c r="E413" s="124" t="n">
        <v>60000</v>
      </c>
      <c r="F413" s="125" t="n">
        <v>0.17</v>
      </c>
    </row>
    <row r="414" outlineLevel="1" ht="14.65" customHeight="1">
      <c r="C414" s="123" t="inlineStr">
        <is>
          <t>отгрузки в диапазоне</t>
        </is>
      </c>
      <c r="D414" s="127" t="n">
        <v>60001</v>
      </c>
      <c r="E414" s="128" t="n">
        <v>75000</v>
      </c>
      <c r="F414" s="129" t="n">
        <v>0.18</v>
      </c>
    </row>
    <row r="415" outlineLevel="1" ht="14.65" customHeight="1">
      <c r="C415" s="130" t="inlineStr">
        <is>
          <t>отгрузки в диапазоне</t>
        </is>
      </c>
      <c r="D415" s="128" t="n">
        <v>75001</v>
      </c>
      <c r="E415" s="128" t="n">
        <v>90000</v>
      </c>
      <c r="F415" s="131" t="n">
        <v>0.19</v>
      </c>
    </row>
    <row r="416" outlineLevel="1" ht="14.65" customHeight="1">
      <c r="C416" s="130" t="inlineStr">
        <is>
          <t>отгрузки в диапазоне</t>
        </is>
      </c>
      <c r="D416" s="128" t="n">
        <v>90001</v>
      </c>
      <c r="E416" s="127" t="n">
        <v>105000</v>
      </c>
      <c r="F416" s="131" t="n">
        <v>0.2</v>
      </c>
    </row>
    <row r="417" outlineLevel="1" ht="14.65" customHeight="1">
      <c r="C417" s="130" t="inlineStr">
        <is>
          <t>отгрузки в диапазоне</t>
        </is>
      </c>
      <c r="D417" s="128" t="n">
        <v>105001</v>
      </c>
      <c r="E417" s="128" t="n">
        <v>115000</v>
      </c>
      <c r="F417" s="131" t="n">
        <v>0.21</v>
      </c>
    </row>
    <row r="418" outlineLevel="1" ht="14.65" customHeight="1">
      <c r="C418" s="130" t="inlineStr">
        <is>
          <t>отгрузки в диапазоне</t>
        </is>
      </c>
      <c r="D418" s="128" t="n">
        <v>115001</v>
      </c>
      <c r="E418" s="128" t="n">
        <v>0</v>
      </c>
      <c r="F418" s="131" t="n">
        <v>0.22</v>
      </c>
    </row>
    <row r="421" ht="20" customHeight="1">
      <c r="A421" s="9" t="inlineStr">
        <is>
          <t>### ДИЛЕР 11/18 • Сейитлиев Мердан Иламанович, Туркменистан • Заруб (отчётность за полугодие) • вкладка «Сейитлиев» • исходные строки 1–35 (A1:M35)</t>
        </is>
      </c>
      <c r="B421" s="31" t="n"/>
      <c r="C421" s="31" t="n"/>
      <c r="D421" s="31" t="n"/>
      <c r="E421" s="31" t="n"/>
      <c r="F421" s="31" t="n"/>
      <c r="G421" s="31" t="n"/>
      <c r="H421" s="31" t="n"/>
      <c r="I421" s="31" t="n"/>
      <c r="J421" s="31" t="n"/>
      <c r="K421" s="31" t="n"/>
      <c r="L421" s="31" t="n"/>
      <c r="M421" s="31" t="n"/>
    </row>
    <row r="422" outlineLevel="1"/>
    <row r="423" outlineLevel="1" ht="14.65" customHeight="1"/>
    <row r="424" outlineLevel="1" ht="45.95" customHeight="1">
      <c r="C424" s="32" t="inlineStr">
        <is>
          <t> </t>
        </is>
      </c>
      <c r="D424" s="33" t="inlineStr">
        <is>
          <t>Выручка 2024</t>
        </is>
      </c>
      <c r="E424" s="33" t="inlineStr">
        <is>
          <t>Выручка 2025</t>
        </is>
      </c>
      <c r="F424" s="33" t="inlineStr">
        <is>
          <t>План 2026</t>
        </is>
      </c>
      <c r="G424" s="34" t="inlineStr">
        <is>
          <t>Прирост П/Ф</t>
        </is>
      </c>
      <c r="H424" s="35" t="inlineStr">
        <is>
          <t>Размер бонуса по итогам 2026 г</t>
        </is>
      </c>
      <c r="I424" s="36" t="inlineStr">
        <is>
          <t>Скидка в 1 кв. 2026 ф.г.*</t>
        </is>
      </c>
    </row>
    <row r="425" outlineLevel="1" ht="24.95" customHeight="1">
      <c r="C425" s="37" t="inlineStr">
        <is>
          <t>Сейитлиев Мердан Иламанович, Туркменистан</t>
        </is>
      </c>
      <c r="D425" s="38" t="n">
        <v>358495</v>
      </c>
      <c r="E425" s="38" t="n">
        <v>516525</v>
      </c>
      <c r="F425" s="38">
        <f>SUM(F426:F428)</f>
        <v>685000</v>
      </c>
      <c r="G425" s="39">
        <f>F425/E425-1</f>
        <v>0.32617007889259964</v>
      </c>
      <c r="H425" s="40" t="n"/>
      <c r="I425" s="41" t="n"/>
    </row>
    <row r="426" outlineLevel="1" ht="24.95" customHeight="1">
      <c r="C426" s="43" t="inlineStr">
        <is>
          <t>Сервис</t>
        </is>
      </c>
      <c r="D426" s="44" t="n">
        <v>25898</v>
      </c>
      <c r="E426" s="137" t="n">
        <v>33608</v>
      </c>
      <c r="F426" s="45" t="n">
        <v>50000</v>
      </c>
      <c r="G426" s="46" t="n"/>
      <c r="H426" s="47" t="n">
        <v>0.01</v>
      </c>
      <c r="I426" s="48" t="n">
        <v>0.15</v>
      </c>
    </row>
    <row r="427" outlineLevel="1" ht="24.95" customHeight="1">
      <c r="C427" s="49" t="inlineStr">
        <is>
          <t>Оборудование</t>
        </is>
      </c>
      <c r="D427" s="45" t="n">
        <v>26255</v>
      </c>
      <c r="E427" s="45" t="n">
        <v>53960</v>
      </c>
      <c r="F427" s="44" t="n">
        <v>75000</v>
      </c>
      <c r="G427" s="46" t="n"/>
      <c r="H427" s="47" t="n">
        <v>0.015</v>
      </c>
      <c r="I427" s="50" t="n">
        <v>0.16</v>
      </c>
      <c r="M427" s="42" t="n"/>
    </row>
    <row r="428" outlineLevel="1" ht="24.95" customHeight="1">
      <c r="C428" s="51" t="inlineStr">
        <is>
          <t>Расходные материалы</t>
        </is>
      </c>
      <c r="D428" s="52" t="n">
        <v>306342</v>
      </c>
      <c r="E428" s="52" t="n">
        <v>436021</v>
      </c>
      <c r="F428" s="52" t="n">
        <v>560000</v>
      </c>
      <c r="G428" s="53" t="n"/>
      <c r="H428" s="54" t="n">
        <v>0.005</v>
      </c>
      <c r="I428" s="55" t="n">
        <v>0.05</v>
      </c>
    </row>
    <row r="429" outlineLevel="1" ht="26.65" customHeight="1">
      <c r="C429" s="56" t="inlineStr">
        <is>
          <t>* - скидка согласно правил работы ТПС на 2026 ф.г. Действует с момента подписания плана</t>
        </is>
      </c>
      <c r="D429" s="57" t="n"/>
      <c r="E429" s="57" t="n"/>
      <c r="F429" s="57" t="n"/>
      <c r="G429" s="57" t="n"/>
      <c r="H429" s="58" t="n"/>
    </row>
    <row r="430" outlineLevel="1" ht="51.75" customHeight="1">
      <c r="C430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430" s="60" t="n"/>
      <c r="E430" s="60" t="n"/>
      <c r="F430" s="60" t="n"/>
      <c r="G430" s="60" t="n"/>
      <c r="H430" s="60" t="n"/>
    </row>
    <row r="431" outlineLevel="1"/>
    <row r="432" outlineLevel="1">
      <c r="C432" s="101" t="inlineStr">
        <is>
          <t xml:space="preserve">3.1.1. Система предоставления скидок </t>
        </is>
      </c>
    </row>
    <row r="433" outlineLevel="1" ht="14.65" customHeight="1">
      <c r="C433" s="61" t="n"/>
    </row>
    <row r="434" outlineLevel="1">
      <c r="C434" s="102" t="inlineStr">
        <is>
          <t xml:space="preserve">ОБОРУДОВАНИЕ </t>
        </is>
      </c>
      <c r="D434" s="103" t="n"/>
      <c r="E434" s="104" t="inlineStr">
        <is>
          <t>до 75</t>
        </is>
      </c>
      <c r="F434" s="104" t="inlineStr">
        <is>
          <t>75-114</t>
        </is>
      </c>
      <c r="G434" s="104" t="inlineStr">
        <is>
          <t>115-149</t>
        </is>
      </c>
      <c r="H434" s="104" t="inlineStr">
        <is>
          <t>150-189</t>
        </is>
      </c>
      <c r="I434" s="104" t="inlineStr">
        <is>
          <t>190-224</t>
        </is>
      </c>
      <c r="J434" s="138" t="inlineStr">
        <is>
          <t>225 и более</t>
        </is>
      </c>
    </row>
    <row r="435" outlineLevel="1" ht="14.65" customHeight="1">
      <c r="C435" s="105" t="inlineStr">
        <is>
          <t>ОБЪЕМ закупок в тыс. EUR за 6 месяцев</t>
        </is>
      </c>
      <c r="D435" s="106" t="n"/>
      <c r="E435" s="106" t="n"/>
      <c r="F435" s="106" t="n"/>
      <c r="G435" s="106" t="n"/>
      <c r="H435" s="106" t="n"/>
      <c r="I435" s="106" t="n"/>
      <c r="J435" s="106" t="n"/>
    </row>
    <row r="436" outlineLevel="1" ht="14.65" customHeight="1">
      <c r="C436" s="107" t="inlineStr">
        <is>
          <t>Базовое вознаграждение за Дилерский договор</t>
        </is>
      </c>
      <c r="D436" s="108" t="inlineStr">
        <is>
          <t>Скидка %</t>
        </is>
      </c>
      <c r="E436" s="109" t="n">
        <v>6</v>
      </c>
      <c r="F436" s="109" t="n">
        <v>6</v>
      </c>
      <c r="G436" s="109" t="n">
        <v>6</v>
      </c>
      <c r="H436" s="109" t="n">
        <v>6</v>
      </c>
      <c r="I436" s="109" t="n">
        <v>6</v>
      </c>
      <c r="J436" s="139" t="n">
        <v>6</v>
      </c>
    </row>
    <row r="437" outlineLevel="1" ht="14.65" customHeight="1">
      <c r="C437" s="110" t="inlineStr">
        <is>
          <t>Наличие сервисного центра и гарантийное обслуживание</t>
        </is>
      </c>
      <c r="D437" s="108" t="inlineStr">
        <is>
          <t>Скидка %</t>
        </is>
      </c>
      <c r="E437" s="109" t="n">
        <v>1</v>
      </c>
      <c r="F437" s="109" t="n">
        <v>1</v>
      </c>
      <c r="G437" s="109" t="n">
        <v>1</v>
      </c>
      <c r="H437" s="109" t="n">
        <v>1</v>
      </c>
      <c r="I437" s="109" t="n">
        <v>1</v>
      </c>
      <c r="J437" s="139" t="n">
        <v>1</v>
      </c>
    </row>
    <row r="438" outlineLevel="1" ht="14.65" customHeight="1">
      <c r="C438" s="111" t="inlineStr">
        <is>
          <t>Объем закупок МП</t>
        </is>
      </c>
      <c r="D438" s="112" t="inlineStr">
        <is>
          <t>Скидка %</t>
        </is>
      </c>
      <c r="E438" s="113" t="n">
        <v>7</v>
      </c>
      <c r="F438" s="113" t="n">
        <v>9</v>
      </c>
      <c r="G438" s="113" t="n">
        <v>10</v>
      </c>
      <c r="H438" s="113" t="n">
        <v>11</v>
      </c>
      <c r="I438" s="113" t="n">
        <v>12</v>
      </c>
      <c r="J438" s="140" t="n">
        <v>13</v>
      </c>
    </row>
    <row r="439" outlineLevel="1" ht="14.65" customHeight="1">
      <c r="C439" s="114" t="inlineStr">
        <is>
          <t>ИТОГО</t>
        </is>
      </c>
      <c r="D439" s="115" t="n"/>
      <c r="E439" s="116">
        <f>SUM(E436:E438)</f>
        <v>14</v>
      </c>
      <c r="F439" s="118">
        <f>SUM(F436:F438)</f>
        <v>16</v>
      </c>
      <c r="G439" s="117">
        <f>SUM(G436:G438)</f>
        <v>17</v>
      </c>
      <c r="H439" s="117">
        <f>SUM(H436:H438)</f>
        <v>18</v>
      </c>
      <c r="I439" s="117">
        <f>SUM(I436:I438)</f>
        <v>19</v>
      </c>
      <c r="J439" s="141">
        <f>SUM(J436:J438)</f>
        <v>20</v>
      </c>
    </row>
    <row r="440" outlineLevel="1" ht="14.65" customHeight="1">
      <c r="C440" s="61" t="n"/>
    </row>
    <row r="441" outlineLevel="1" ht="25.9" customHeight="1">
      <c r="C441" s="103" t="inlineStr">
        <is>
          <t>РАСХОДНЫЕ МАТЕРИАЛЫ ОБЪЕМ закупок в тыс. EUR за 3 месяца (квартал)</t>
        </is>
      </c>
      <c r="D441" s="119" t="n"/>
      <c r="E441" s="120" t="inlineStr">
        <is>
          <t>до 24</t>
        </is>
      </c>
      <c r="F441" s="120" t="inlineStr">
        <is>
          <t>25-34</t>
        </is>
      </c>
      <c r="G441" s="120" t="inlineStr">
        <is>
          <t>35-44</t>
        </is>
      </c>
      <c r="H441" s="120" t="inlineStr">
        <is>
          <t>45-54</t>
        </is>
      </c>
      <c r="I441" s="120" t="inlineStr">
        <is>
          <t>55-64</t>
        </is>
      </c>
      <c r="J441" s="142" t="inlineStr">
        <is>
          <t>65 и более</t>
        </is>
      </c>
    </row>
    <row r="442" outlineLevel="1" ht="38.65" customHeight="1">
      <c r="C442" s="111" t="inlineStr">
        <is>
          <t>Объем закупок РМ</t>
        </is>
      </c>
      <c r="D442" s="112" t="inlineStr">
        <is>
          <t>Скидка будущего периода, %</t>
        </is>
      </c>
      <c r="E442" s="113" t="n">
        <v>0</v>
      </c>
      <c r="F442" s="113" t="n">
        <v>1</v>
      </c>
      <c r="G442" s="113" t="n">
        <v>2</v>
      </c>
      <c r="H442" s="113" t="n">
        <v>3</v>
      </c>
      <c r="I442" s="113" t="n">
        <v>4</v>
      </c>
      <c r="J442" s="143" t="n">
        <v>5</v>
      </c>
    </row>
    <row r="443" outlineLevel="1" ht="14.65" customHeight="1">
      <c r="C443" s="61" t="n"/>
    </row>
    <row r="444" outlineLevel="1" ht="14.65" customHeight="1">
      <c r="C444" s="121" t="inlineStr">
        <is>
          <t>ЗАПЧАСТИ Отгрузки за 12 месяцев ФГ</t>
        </is>
      </c>
      <c r="D444" s="122" t="inlineStr">
        <is>
          <t>EUR</t>
        </is>
      </c>
      <c r="E444" s="122" t="inlineStr">
        <is>
          <t>EUR</t>
        </is>
      </c>
      <c r="F444" s="122" t="inlineStr">
        <is>
          <t>% скидки</t>
        </is>
      </c>
    </row>
    <row r="445" outlineLevel="1" ht="14.65" customHeight="1">
      <c r="C445" s="123" t="inlineStr">
        <is>
          <t>отгрузки в диапазоне</t>
        </is>
      </c>
      <c r="D445" s="117" t="n">
        <v>0</v>
      </c>
      <c r="E445" s="124" t="n">
        <v>7000</v>
      </c>
      <c r="F445" s="125" t="n">
        <v>0.1</v>
      </c>
    </row>
    <row r="446" outlineLevel="1" ht="14.65" customHeight="1">
      <c r="C446" s="123" t="inlineStr">
        <is>
          <t>отгрузки в диапазоне</t>
        </is>
      </c>
      <c r="D446" s="117" t="n">
        <v>7001</v>
      </c>
      <c r="E446" s="124" t="n">
        <v>19000</v>
      </c>
      <c r="F446" s="125" t="n">
        <v>0.11</v>
      </c>
    </row>
    <row r="447" outlineLevel="1" ht="14.65" customHeight="1">
      <c r="C447" s="123" t="inlineStr">
        <is>
          <t>отгрузки в диапазоне</t>
        </is>
      </c>
      <c r="D447" s="124" t="n">
        <v>19001</v>
      </c>
      <c r="E447" s="124" t="n">
        <v>24000</v>
      </c>
      <c r="F447" s="125" t="n">
        <v>0.13</v>
      </c>
    </row>
    <row r="448" outlineLevel="1" ht="14.65" customHeight="1">
      <c r="C448" s="123" t="inlineStr">
        <is>
          <t>отгрузки в диапазоне</t>
        </is>
      </c>
      <c r="D448" s="124" t="n">
        <v>24001</v>
      </c>
      <c r="E448" s="124" t="n">
        <v>28000</v>
      </c>
      <c r="F448" s="125" t="n">
        <v>0.14</v>
      </c>
    </row>
    <row r="449" outlineLevel="1" ht="14.65" customHeight="1">
      <c r="C449" s="123" t="inlineStr">
        <is>
          <t>отгрузки в диапазоне</t>
        </is>
      </c>
      <c r="D449" s="124" t="n">
        <v>28001</v>
      </c>
      <c r="E449" s="124" t="n">
        <v>40000</v>
      </c>
      <c r="F449" s="126" t="n">
        <v>0.15</v>
      </c>
    </row>
    <row r="450" outlineLevel="1" ht="14.65" customHeight="1">
      <c r="C450" s="123" t="inlineStr">
        <is>
          <t>отгрузки в диапазоне</t>
        </is>
      </c>
      <c r="D450" s="124" t="n">
        <v>40001</v>
      </c>
      <c r="E450" s="124" t="n">
        <v>48000</v>
      </c>
      <c r="F450" s="125" t="n">
        <v>0.16</v>
      </c>
    </row>
    <row r="451" outlineLevel="1" ht="14.65" customHeight="1">
      <c r="C451" s="123" t="inlineStr">
        <is>
          <t>отгрузки в диапазоне</t>
        </is>
      </c>
      <c r="D451" s="124" t="n">
        <v>48001</v>
      </c>
      <c r="E451" s="124" t="n">
        <v>60000</v>
      </c>
      <c r="F451" s="125" t="n">
        <v>0.17</v>
      </c>
    </row>
    <row r="452" outlineLevel="1" ht="14.65" customHeight="1">
      <c r="C452" s="123" t="inlineStr">
        <is>
          <t>отгрузки в диапазоне</t>
        </is>
      </c>
      <c r="D452" s="127" t="n">
        <v>60001</v>
      </c>
      <c r="E452" s="128" t="n">
        <v>75000</v>
      </c>
      <c r="F452" s="129" t="n">
        <v>0.18</v>
      </c>
    </row>
    <row r="453" outlineLevel="1" ht="14.65" customHeight="1">
      <c r="C453" s="130" t="inlineStr">
        <is>
          <t>отгрузки в диапазоне</t>
        </is>
      </c>
      <c r="D453" s="128" t="n">
        <v>75001</v>
      </c>
      <c r="E453" s="128" t="n">
        <v>90000</v>
      </c>
      <c r="F453" s="131" t="n">
        <v>0.19</v>
      </c>
    </row>
    <row r="454" outlineLevel="1" ht="14.65" customHeight="1">
      <c r="C454" s="130" t="inlineStr">
        <is>
          <t>отгрузки в диапазоне</t>
        </is>
      </c>
      <c r="D454" s="128" t="n">
        <v>90001</v>
      </c>
      <c r="E454" s="127" t="n">
        <v>105000</v>
      </c>
      <c r="F454" s="131" t="n">
        <v>0.2</v>
      </c>
    </row>
    <row r="455" outlineLevel="1" ht="14.65" customHeight="1">
      <c r="C455" s="130" t="inlineStr">
        <is>
          <t>отгрузки в диапазоне</t>
        </is>
      </c>
      <c r="D455" s="128" t="n">
        <v>105001</v>
      </c>
      <c r="E455" s="128" t="n">
        <v>115000</v>
      </c>
      <c r="F455" s="131" t="n">
        <v>0.21</v>
      </c>
    </row>
    <row r="456" outlineLevel="1" ht="14.65" customHeight="1">
      <c r="C456" s="130" t="inlineStr">
        <is>
          <t>отгрузки в диапазоне</t>
        </is>
      </c>
      <c r="D456" s="128" t="n">
        <v>115001</v>
      </c>
      <c r="E456" s="128" t="n">
        <v>0</v>
      </c>
      <c r="F456" s="131" t="n">
        <v>0.22</v>
      </c>
    </row>
    <row r="459" ht="20" customHeight="1">
      <c r="A459" s="9" t="inlineStr">
        <is>
          <t>### ДИЛЕР 12/18 • Ingreda, Молдова • Заруб (отчётность за полугодие) • вкладка «Ingreda» • исходные строки 1–35 (A1:L35)</t>
        </is>
      </c>
      <c r="B459" s="31" t="n"/>
      <c r="C459" s="31" t="n"/>
      <c r="D459" s="31" t="n"/>
      <c r="E459" s="31" t="n"/>
      <c r="F459" s="31" t="n"/>
      <c r="G459" s="31" t="n"/>
      <c r="H459" s="31" t="n"/>
      <c r="I459" s="31" t="n"/>
      <c r="J459" s="31" t="n"/>
      <c r="K459" s="31" t="n"/>
      <c r="L459" s="31" t="n"/>
    </row>
    <row r="460" outlineLevel="1"/>
    <row r="461" outlineLevel="1" ht="14.65" customHeight="1"/>
    <row r="462" outlineLevel="1" ht="48.95" customHeight="1">
      <c r="C462" s="32" t="inlineStr">
        <is>
          <t> </t>
        </is>
      </c>
      <c r="D462" s="33" t="inlineStr">
        <is>
          <t>Выручка 2024</t>
        </is>
      </c>
      <c r="E462" s="33" t="inlineStr">
        <is>
          <t>Выручка 2025</t>
        </is>
      </c>
      <c r="F462" s="33" t="inlineStr">
        <is>
          <t>План 2026</t>
        </is>
      </c>
      <c r="G462" s="34" t="inlineStr">
        <is>
          <t>Прирост П/Ф</t>
        </is>
      </c>
      <c r="H462" s="35" t="inlineStr">
        <is>
          <t>Размер бонуса по итогам 2026 г</t>
        </is>
      </c>
      <c r="I462" s="36" t="inlineStr">
        <is>
          <t>Скидка в 1 кв. 2026 ф.г.*</t>
        </is>
      </c>
    </row>
    <row r="463" outlineLevel="1" ht="24.95" customHeight="1">
      <c r="C463" s="37" t="inlineStr">
        <is>
          <t>Ingreda, Молдова</t>
        </is>
      </c>
      <c r="D463" s="38" t="n">
        <v>176093</v>
      </c>
      <c r="E463" s="38" t="n">
        <v>115940</v>
      </c>
      <c r="F463" s="38">
        <f>SUM(F464:F466)</f>
        <v>205000</v>
      </c>
      <c r="G463" s="39">
        <f>F463/E463-1</f>
        <v>0.7681559427289977</v>
      </c>
      <c r="H463" s="40" t="n"/>
      <c r="I463" s="41" t="n"/>
    </row>
    <row r="464" outlineLevel="1" ht="24.95" customHeight="1">
      <c r="C464" s="43" t="inlineStr">
        <is>
          <t>Сервис</t>
        </is>
      </c>
      <c r="D464" s="44" t="n">
        <v>6887</v>
      </c>
      <c r="E464" s="44" t="n">
        <v>3788</v>
      </c>
      <c r="F464" s="45" t="n">
        <v>0</v>
      </c>
      <c r="G464" s="46" t="n"/>
      <c r="H464" s="47" t="n">
        <v>0.01</v>
      </c>
      <c r="I464" s="48" t="n">
        <v>0.1</v>
      </c>
    </row>
    <row r="465" outlineLevel="1" ht="24.95" customHeight="1">
      <c r="C465" s="49" t="inlineStr">
        <is>
          <t>Оборудование</t>
        </is>
      </c>
      <c r="D465" s="45" t="n">
        <v>31297</v>
      </c>
      <c r="E465" s="45" t="n"/>
      <c r="F465" s="44" t="n">
        <v>75000</v>
      </c>
      <c r="G465" s="46" t="n"/>
      <c r="H465" s="47" t="n">
        <v>0.015</v>
      </c>
      <c r="I465" s="50" t="n">
        <v>0.16</v>
      </c>
      <c r="L465" s="144" t="n"/>
    </row>
    <row r="466" outlineLevel="1" ht="24.95" customHeight="1">
      <c r="C466" s="51" t="inlineStr">
        <is>
          <t>Расходные материалы</t>
        </is>
      </c>
      <c r="D466" s="52" t="n">
        <v>137909</v>
      </c>
      <c r="E466" s="52" t="n">
        <v>112152</v>
      </c>
      <c r="F466" s="52" t="n">
        <v>130000</v>
      </c>
      <c r="G466" s="53" t="n"/>
      <c r="H466" s="54" t="n">
        <v>0.005</v>
      </c>
      <c r="I466" s="55" t="n"/>
    </row>
    <row r="467" outlineLevel="1" ht="26.65" customHeight="1">
      <c r="C467" s="56" t="inlineStr">
        <is>
          <t>* - скидка согласно правил работы ТПС на 2026 ф.г. Действует с момента подписания плана</t>
        </is>
      </c>
      <c r="D467" s="57" t="n"/>
      <c r="E467" s="57" t="n"/>
      <c r="F467" s="57" t="n"/>
      <c r="G467" s="57" t="n"/>
      <c r="H467" s="58" t="n"/>
    </row>
    <row r="468" outlineLevel="1" ht="48.75" customHeight="1">
      <c r="C468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468" s="60" t="n"/>
      <c r="E468" s="60" t="n"/>
      <c r="F468" s="60" t="n"/>
      <c r="G468" s="60" t="n"/>
      <c r="H468" s="60" t="n"/>
    </row>
    <row r="469" outlineLevel="1"/>
    <row r="470" outlineLevel="1">
      <c r="C470" s="101" t="inlineStr">
        <is>
          <t xml:space="preserve">3.1.1. Система предоставления скидок </t>
        </is>
      </c>
    </row>
    <row r="471" outlineLevel="1" ht="14.65" customHeight="1">
      <c r="C471" s="61" t="n"/>
    </row>
    <row r="472" outlineLevel="1">
      <c r="C472" s="102" t="inlineStr">
        <is>
          <t xml:space="preserve">ОБОРУДОВАНИЕ </t>
        </is>
      </c>
      <c r="D472" s="103" t="n"/>
      <c r="E472" s="104" t="inlineStr">
        <is>
          <t>до 75</t>
        </is>
      </c>
      <c r="F472" s="104" t="inlineStr">
        <is>
          <t>75-114</t>
        </is>
      </c>
      <c r="G472" s="104" t="inlineStr">
        <is>
          <t>115-149</t>
        </is>
      </c>
      <c r="H472" s="104" t="inlineStr">
        <is>
          <t>150-189</t>
        </is>
      </c>
      <c r="I472" s="104" t="inlineStr">
        <is>
          <t>190-224</t>
        </is>
      </c>
      <c r="J472" s="104" t="inlineStr">
        <is>
          <t>225 и более</t>
        </is>
      </c>
    </row>
    <row r="473" outlineLevel="1" ht="14.65" customHeight="1">
      <c r="C473" s="105" t="inlineStr">
        <is>
          <t>ОБЪЕМ закупок в тыс. EUR за 6 месяцев</t>
        </is>
      </c>
      <c r="D473" s="106" t="n"/>
      <c r="E473" s="106" t="n"/>
      <c r="F473" s="106" t="n"/>
      <c r="G473" s="106" t="n"/>
      <c r="H473" s="106" t="n"/>
      <c r="I473" s="106" t="n"/>
      <c r="J473" s="106" t="n"/>
    </row>
    <row r="474" outlineLevel="1" ht="14.65" customHeight="1">
      <c r="C474" s="107" t="inlineStr">
        <is>
          <t>Базовое вознаграждение за Дилерский договор</t>
        </is>
      </c>
      <c r="D474" s="108" t="inlineStr">
        <is>
          <t>Скидка %</t>
        </is>
      </c>
      <c r="E474" s="109" t="n">
        <v>6</v>
      </c>
      <c r="F474" s="109" t="n">
        <v>6</v>
      </c>
      <c r="G474" s="109" t="n">
        <v>6</v>
      </c>
      <c r="H474" s="109" t="n">
        <v>6</v>
      </c>
      <c r="I474" s="109" t="n">
        <v>6</v>
      </c>
      <c r="J474" s="109" t="n">
        <v>6</v>
      </c>
    </row>
    <row r="475" outlineLevel="1" ht="14.65" customHeight="1">
      <c r="C475" s="110" t="inlineStr">
        <is>
          <t>Наличие сервисного центра и гарантийное обслуживание</t>
        </is>
      </c>
      <c r="D475" s="108" t="inlineStr">
        <is>
          <t>Скидка %</t>
        </is>
      </c>
      <c r="E475" s="109" t="n">
        <v>1</v>
      </c>
      <c r="F475" s="109" t="n">
        <v>1</v>
      </c>
      <c r="G475" s="109" t="n">
        <v>1</v>
      </c>
      <c r="H475" s="109" t="n">
        <v>1</v>
      </c>
      <c r="I475" s="109" t="n">
        <v>1</v>
      </c>
      <c r="J475" s="109" t="n">
        <v>1</v>
      </c>
    </row>
    <row r="476" outlineLevel="1" ht="14.65" customHeight="1">
      <c r="C476" s="111" t="inlineStr">
        <is>
          <t>Объем закупок МП</t>
        </is>
      </c>
      <c r="D476" s="112" t="inlineStr">
        <is>
          <t>Скидка %</t>
        </is>
      </c>
      <c r="E476" s="113" t="n">
        <v>7</v>
      </c>
      <c r="F476" s="113" t="n">
        <v>9</v>
      </c>
      <c r="G476" s="113" t="n">
        <v>10</v>
      </c>
      <c r="H476" s="113" t="n">
        <v>11</v>
      </c>
      <c r="I476" s="113" t="n">
        <v>12</v>
      </c>
      <c r="J476" s="113" t="n">
        <v>13</v>
      </c>
    </row>
    <row r="477" outlineLevel="1" ht="14.65" customHeight="1">
      <c r="C477" s="114" t="inlineStr">
        <is>
          <t>ИТОГО</t>
        </is>
      </c>
      <c r="D477" s="115" t="n"/>
      <c r="E477" s="116">
        <f>SUM(E474:E476)</f>
        <v>14</v>
      </c>
      <c r="F477" s="117">
        <f>SUM(F474:F476)</f>
        <v>16</v>
      </c>
      <c r="G477" s="117">
        <f>SUM(G474:G476)</f>
        <v>17</v>
      </c>
      <c r="H477" s="117">
        <f>SUM(H474:H476)</f>
        <v>18</v>
      </c>
      <c r="I477" s="117">
        <f>SUM(I474:I476)</f>
        <v>19</v>
      </c>
      <c r="J477" s="117">
        <f>SUM(J474:J476)</f>
        <v>20</v>
      </c>
    </row>
    <row r="478" outlineLevel="1" ht="14.65" customHeight="1">
      <c r="C478" s="61" t="n"/>
    </row>
    <row r="479" outlineLevel="1" ht="25.9" customHeight="1">
      <c r="C479" s="103" t="inlineStr">
        <is>
          <t>РАСХОДНЫЕ МАТЕРИАЛЫ ОБЪЕМ закупок в тыс. EUR за 3 месяца (квартал)</t>
        </is>
      </c>
      <c r="D479" s="119" t="n"/>
      <c r="E479" s="120" t="inlineStr">
        <is>
          <t>до 24</t>
        </is>
      </c>
      <c r="F479" s="120" t="inlineStr">
        <is>
          <t>25-34</t>
        </is>
      </c>
      <c r="G479" s="120" t="inlineStr">
        <is>
          <t>35-44</t>
        </is>
      </c>
      <c r="H479" s="120" t="inlineStr">
        <is>
          <t>45-54</t>
        </is>
      </c>
      <c r="I479" s="120" t="inlineStr">
        <is>
          <t>55-64</t>
        </is>
      </c>
      <c r="J479" s="120" t="inlineStr">
        <is>
          <t>65 и более</t>
        </is>
      </c>
    </row>
    <row r="480" outlineLevel="1" ht="35.1" customHeight="1">
      <c r="C480" s="111" t="inlineStr">
        <is>
          <t>Объем закупок РМ</t>
        </is>
      </c>
      <c r="D480" s="112" t="inlineStr">
        <is>
          <t>Скидка будущего периода, %</t>
        </is>
      </c>
      <c r="E480" s="113" t="n">
        <v>0</v>
      </c>
      <c r="F480" s="113" t="n">
        <v>1</v>
      </c>
      <c r="G480" s="113" t="n">
        <v>2</v>
      </c>
      <c r="H480" s="113" t="n">
        <v>3</v>
      </c>
      <c r="I480" s="113" t="n">
        <v>4</v>
      </c>
      <c r="J480" s="113" t="n">
        <v>5</v>
      </c>
    </row>
    <row r="481" outlineLevel="1" ht="14.65" customHeight="1">
      <c r="C481" s="61" t="n"/>
    </row>
    <row r="482" outlineLevel="1" ht="14.65" customHeight="1">
      <c r="C482" s="121" t="inlineStr">
        <is>
          <t>ЗАПЧАСТИ Отгрузки за 12 месяцев ФГ</t>
        </is>
      </c>
      <c r="D482" s="122" t="inlineStr">
        <is>
          <t>EUR</t>
        </is>
      </c>
      <c r="E482" s="122" t="inlineStr">
        <is>
          <t>EUR</t>
        </is>
      </c>
      <c r="F482" s="122" t="inlineStr">
        <is>
          <t>% скидки</t>
        </is>
      </c>
    </row>
    <row r="483" outlineLevel="1" ht="14.65" customHeight="1">
      <c r="C483" s="123" t="inlineStr">
        <is>
          <t>отгрузки в диапазоне</t>
        </is>
      </c>
      <c r="D483" s="117" t="n">
        <v>0</v>
      </c>
      <c r="E483" s="124" t="n">
        <v>7000</v>
      </c>
      <c r="F483" s="125" t="n">
        <v>0.1</v>
      </c>
    </row>
    <row r="484" outlineLevel="1" ht="14.65" customHeight="1">
      <c r="C484" s="123" t="inlineStr">
        <is>
          <t>отгрузки в диапазоне</t>
        </is>
      </c>
      <c r="D484" s="117" t="n">
        <v>7001</v>
      </c>
      <c r="E484" s="124" t="n">
        <v>19000</v>
      </c>
      <c r="F484" s="125" t="n">
        <v>0.11</v>
      </c>
    </row>
    <row r="485" outlineLevel="1" ht="14.65" customHeight="1">
      <c r="C485" s="123" t="inlineStr">
        <is>
          <t>отгрузки в диапазоне</t>
        </is>
      </c>
      <c r="D485" s="124" t="n">
        <v>19001</v>
      </c>
      <c r="E485" s="124" t="n">
        <v>24000</v>
      </c>
      <c r="F485" s="125" t="n">
        <v>0.13</v>
      </c>
    </row>
    <row r="486" outlineLevel="1" ht="14.65" customHeight="1">
      <c r="C486" s="123" t="inlineStr">
        <is>
          <t>отгрузки в диапазоне</t>
        </is>
      </c>
      <c r="D486" s="124" t="n">
        <v>24001</v>
      </c>
      <c r="E486" s="124" t="n">
        <v>28000</v>
      </c>
      <c r="F486" s="125" t="n">
        <v>0.14</v>
      </c>
    </row>
    <row r="487" outlineLevel="1" ht="14.65" customHeight="1">
      <c r="C487" s="123" t="inlineStr">
        <is>
          <t>отгрузки в диапазоне</t>
        </is>
      </c>
      <c r="D487" s="124" t="n">
        <v>28001</v>
      </c>
      <c r="E487" s="124" t="n">
        <v>40000</v>
      </c>
      <c r="F487" s="125" t="n">
        <v>0.15</v>
      </c>
    </row>
    <row r="488" outlineLevel="1" ht="14.65" customHeight="1">
      <c r="C488" s="123" t="inlineStr">
        <is>
          <t>отгрузки в диапазоне</t>
        </is>
      </c>
      <c r="D488" s="124" t="n">
        <v>40001</v>
      </c>
      <c r="E488" s="124" t="n">
        <v>48000</v>
      </c>
      <c r="F488" s="125" t="n">
        <v>0.16</v>
      </c>
    </row>
    <row r="489" outlineLevel="1" ht="14.65" customHeight="1">
      <c r="C489" s="123" t="inlineStr">
        <is>
          <t>отгрузки в диапазоне</t>
        </is>
      </c>
      <c r="D489" s="124" t="n">
        <v>48001</v>
      </c>
      <c r="E489" s="124" t="n">
        <v>60000</v>
      </c>
      <c r="F489" s="125" t="n">
        <v>0.17</v>
      </c>
    </row>
    <row r="490" outlineLevel="1" ht="14.65" customHeight="1">
      <c r="C490" s="123" t="inlineStr">
        <is>
          <t>отгрузки в диапазоне</t>
        </is>
      </c>
      <c r="D490" s="127" t="n">
        <v>60001</v>
      </c>
      <c r="E490" s="128" t="n">
        <v>75000</v>
      </c>
      <c r="F490" s="129" t="n">
        <v>0.18</v>
      </c>
    </row>
    <row r="491" outlineLevel="1" ht="14.65" customHeight="1">
      <c r="C491" s="130" t="inlineStr">
        <is>
          <t>отгрузки в диапазоне</t>
        </is>
      </c>
      <c r="D491" s="128" t="n">
        <v>75001</v>
      </c>
      <c r="E491" s="128" t="n">
        <v>90000</v>
      </c>
      <c r="F491" s="131" t="n">
        <v>0.19</v>
      </c>
    </row>
    <row r="492" outlineLevel="1" ht="14.65" customHeight="1">
      <c r="C492" s="130" t="inlineStr">
        <is>
          <t>отгрузки в диапазоне</t>
        </is>
      </c>
      <c r="D492" s="128" t="n">
        <v>90001</v>
      </c>
      <c r="E492" s="127" t="n">
        <v>105000</v>
      </c>
      <c r="F492" s="131" t="n">
        <v>0.2</v>
      </c>
    </row>
    <row r="493" outlineLevel="1" ht="14.65" customHeight="1">
      <c r="C493" s="130" t="inlineStr">
        <is>
          <t>отгрузки в диапазоне</t>
        </is>
      </c>
      <c r="D493" s="128" t="n">
        <v>105001</v>
      </c>
      <c r="E493" s="128" t="n">
        <v>115000</v>
      </c>
      <c r="F493" s="131" t="n">
        <v>0.21</v>
      </c>
    </row>
    <row r="494" outlineLevel="1" ht="14.65" customHeight="1">
      <c r="C494" s="130" t="inlineStr">
        <is>
          <t>отгрузки в диапазоне</t>
        </is>
      </c>
      <c r="D494" s="128" t="n">
        <v>115001</v>
      </c>
      <c r="E494" s="128" t="n">
        <v>0</v>
      </c>
      <c r="F494" s="131" t="n">
        <v>0.22</v>
      </c>
    </row>
    <row r="497" ht="20" customHeight="1">
      <c r="A497" s="9" t="inlineStr">
        <is>
          <t>### ДИЛЕР 13/18 • CLIPSOMAC, Алжир • Заруб (отчётность за полугодие) • вкладка «CLIPSOMAC» • в исходном файле была скрыта • исходные строки 1–31 (A1:J31)</t>
        </is>
      </c>
      <c r="B497" s="31" t="n"/>
      <c r="C497" s="31" t="n"/>
      <c r="D497" s="31" t="n"/>
      <c r="E497" s="31" t="n"/>
      <c r="F497" s="31" t="n"/>
      <c r="G497" s="31" t="n"/>
      <c r="H497" s="31" t="n"/>
      <c r="I497" s="31" t="n"/>
      <c r="J497" s="31" t="n"/>
    </row>
    <row r="498" outlineLevel="1"/>
    <row r="499" outlineLevel="1" ht="14.65" customHeight="1"/>
    <row r="500" outlineLevel="1" ht="28.5" customHeight="1">
      <c r="C500" s="145" t="inlineStr">
        <is>
          <t> </t>
        </is>
      </c>
      <c r="D500" s="146" t="inlineStr">
        <is>
          <t>Выручка 2023</t>
        </is>
      </c>
      <c r="E500" s="146" t="inlineStr">
        <is>
          <t>Выручка 2024</t>
        </is>
      </c>
      <c r="F500" s="146" t="inlineStr">
        <is>
          <t>План 2025</t>
        </is>
      </c>
      <c r="G500" s="147" t="inlineStr">
        <is>
          <t>Прирост П/Ф</t>
        </is>
      </c>
      <c r="H500" s="148" t="inlineStr">
        <is>
          <t>Скидка в 1 кв. 2025 ф.г.*</t>
        </is>
      </c>
    </row>
    <row r="501" outlineLevel="1" ht="24.95" customHeight="1">
      <c r="C501" s="149" t="inlineStr">
        <is>
          <t>CLIPSOMAC, Алжир</t>
        </is>
      </c>
      <c r="D501" s="150" t="n">
        <v>275045.51</v>
      </c>
      <c r="E501" s="150" t="n">
        <v>162908.8199999999</v>
      </c>
      <c r="F501" s="150">
        <f>E503*3</f>
        <v>338375.4599999999</v>
      </c>
      <c r="G501" s="151">
        <f>F501/E501-1</f>
        <v>1.0770849607774462</v>
      </c>
      <c r="H501" s="152" t="n"/>
    </row>
    <row r="502" outlineLevel="1" ht="24.95" customHeight="1">
      <c r="C502" s="153" t="inlineStr">
        <is>
          <t>Оборудование</t>
        </is>
      </c>
      <c r="D502" s="154" t="n"/>
      <c r="E502" s="154" t="n">
        <v>50117</v>
      </c>
      <c r="F502" s="155" t="n"/>
      <c r="G502" s="46" t="n"/>
      <c r="H502" s="156" t="n">
        <v>0.16</v>
      </c>
    </row>
    <row r="503" outlineLevel="1" ht="24.95" customHeight="1">
      <c r="C503" s="157" t="inlineStr">
        <is>
          <t>Расходные материалы</t>
        </is>
      </c>
      <c r="D503" s="158" t="n">
        <v>275045.51</v>
      </c>
      <c r="E503" s="158" t="n">
        <v>112791.82</v>
      </c>
      <c r="F503" s="159">
        <f>E503*3</f>
        <v>338375.4599999999</v>
      </c>
      <c r="G503" s="46" t="n"/>
      <c r="H503" s="160" t="n"/>
    </row>
    <row r="504" outlineLevel="1" ht="16.15" customHeight="1">
      <c r="C504" s="161" t="inlineStr">
        <is>
          <t>* - скидка согласно правил работы ТПС на 2025 ф.г.</t>
        </is>
      </c>
      <c r="D504" s="162" t="n"/>
      <c r="E504" s="162" t="n"/>
      <c r="F504" s="162" t="n"/>
      <c r="G504" s="162" t="n"/>
      <c r="H504" s="163" t="n"/>
    </row>
    <row r="505" outlineLevel="1" ht="15.75" customHeight="1">
      <c r="C505" s="164" t="inlineStr">
        <is>
          <t>! При выполнении годового план продаж (по курсу продаж в евро), ретробонус составляет 1% от совокупного объема продаж</t>
        </is>
      </c>
      <c r="D505" s="60" t="n"/>
      <c r="E505" s="60" t="n"/>
      <c r="F505" s="60" t="n"/>
      <c r="G505" s="60" t="n"/>
      <c r="H505" s="60" t="n"/>
    </row>
    <row r="506" outlineLevel="1"/>
    <row r="507" outlineLevel="1" ht="15.4" customHeight="1">
      <c r="C507" s="165" t="inlineStr">
        <is>
          <t xml:space="preserve">3.1.1. Система предоставления скидок </t>
        </is>
      </c>
    </row>
    <row r="508" outlineLevel="1" ht="18" customHeight="1">
      <c r="C508" s="166" t="n"/>
    </row>
    <row r="509" outlineLevel="1">
      <c r="C509" s="167" t="inlineStr">
        <is>
          <t xml:space="preserve">ОБОРУДОВАНИЕ </t>
        </is>
      </c>
      <c r="D509" s="168" t="n"/>
      <c r="E509" s="138" t="inlineStr">
        <is>
          <t>до 75</t>
        </is>
      </c>
      <c r="F509" s="138" t="inlineStr">
        <is>
          <t>75-114</t>
        </is>
      </c>
      <c r="G509" s="138" t="inlineStr">
        <is>
          <t>115-149</t>
        </is>
      </c>
      <c r="H509" s="138" t="inlineStr">
        <is>
          <t>150-189</t>
        </is>
      </c>
      <c r="I509" s="138" t="inlineStr">
        <is>
          <t>190-224</t>
        </is>
      </c>
      <c r="J509" s="138" t="inlineStr">
        <is>
          <t>225 и более</t>
        </is>
      </c>
    </row>
    <row r="510" outlineLevel="1" ht="14.65" customHeight="1">
      <c r="C510" s="169" t="inlineStr">
        <is>
          <t>ОБЪЕМ закупок в тыс. EUR за 6 месяцев</t>
        </is>
      </c>
      <c r="D510" s="106" t="n"/>
      <c r="E510" s="106" t="n"/>
      <c r="F510" s="106" t="n"/>
      <c r="G510" s="106" t="n"/>
      <c r="H510" s="106" t="n"/>
      <c r="I510" s="106" t="n"/>
      <c r="J510" s="106" t="n"/>
    </row>
    <row r="511" outlineLevel="1" ht="14.65" customHeight="1">
      <c r="C511" s="170" t="inlineStr">
        <is>
          <t>Базовое вознаграждение за Дилерский договор</t>
        </is>
      </c>
      <c r="D511" s="171" t="inlineStr">
        <is>
          <t>Скидка %</t>
        </is>
      </c>
      <c r="E511" s="139" t="n">
        <v>6</v>
      </c>
      <c r="F511" s="139" t="n">
        <v>6</v>
      </c>
      <c r="G511" s="139" t="n">
        <v>6</v>
      </c>
      <c r="H511" s="139" t="n">
        <v>6</v>
      </c>
      <c r="I511" s="139" t="n">
        <v>6</v>
      </c>
      <c r="J511" s="139" t="n">
        <v>6</v>
      </c>
    </row>
    <row r="512" outlineLevel="1" ht="14.65" customHeight="1">
      <c r="C512" s="172" t="inlineStr">
        <is>
          <t>Наличие сервисного центра и гарантийное обслуживание</t>
        </is>
      </c>
      <c r="D512" s="171" t="inlineStr">
        <is>
          <t>Скидка %</t>
        </is>
      </c>
      <c r="E512" s="139" t="n">
        <v>1</v>
      </c>
      <c r="F512" s="139" t="n">
        <v>1</v>
      </c>
      <c r="G512" s="139" t="n">
        <v>1</v>
      </c>
      <c r="H512" s="139" t="n">
        <v>1</v>
      </c>
      <c r="I512" s="139" t="n">
        <v>1</v>
      </c>
      <c r="J512" s="139" t="n">
        <v>1</v>
      </c>
    </row>
    <row r="513" outlineLevel="1" ht="14.65" customHeight="1">
      <c r="C513" s="173" t="inlineStr">
        <is>
          <t>Объем закупок МП</t>
        </is>
      </c>
      <c r="D513" s="174" t="inlineStr">
        <is>
          <t>Скидка %</t>
        </is>
      </c>
      <c r="E513" s="140" t="n">
        <v>0</v>
      </c>
      <c r="F513" s="140" t="n">
        <v>9</v>
      </c>
      <c r="G513" s="140" t="n">
        <v>10</v>
      </c>
      <c r="H513" s="140" t="n">
        <v>11</v>
      </c>
      <c r="I513" s="140" t="n">
        <v>12</v>
      </c>
      <c r="J513" s="140" t="n">
        <v>13</v>
      </c>
    </row>
    <row r="514" outlineLevel="1" ht="14.65" customHeight="1">
      <c r="C514" s="175" t="inlineStr">
        <is>
          <t>ИТОГО</t>
        </is>
      </c>
      <c r="D514" s="176" t="n"/>
      <c r="E514" s="177" t="n">
        <v>14</v>
      </c>
      <c r="F514" s="141" t="n">
        <v>16</v>
      </c>
      <c r="G514" s="141" t="n">
        <v>17</v>
      </c>
      <c r="H514" s="141" t="n">
        <v>18</v>
      </c>
      <c r="I514" s="141" t="n">
        <v>19</v>
      </c>
      <c r="J514" s="141" t="n">
        <v>20</v>
      </c>
    </row>
    <row r="515" outlineLevel="1" ht="18" customHeight="1">
      <c r="C515" s="166" t="n"/>
    </row>
    <row r="516" outlineLevel="1" ht="23.65" customHeight="1">
      <c r="C516" s="168" t="inlineStr">
        <is>
          <t>РАСХОДНЫЕ МАТЕРИАЛЫ ОБЪЕМ закупок в тыс. EUR за 3 месяца (квартал)</t>
        </is>
      </c>
      <c r="D516" s="178" t="n"/>
      <c r="E516" s="142" t="inlineStr">
        <is>
          <t>до 24</t>
        </is>
      </c>
      <c r="F516" s="142" t="inlineStr">
        <is>
          <t>25-34</t>
        </is>
      </c>
      <c r="G516" s="142" t="inlineStr">
        <is>
          <t>35-44</t>
        </is>
      </c>
      <c r="H516" s="142" t="inlineStr">
        <is>
          <t>45-54</t>
        </is>
      </c>
      <c r="I516" s="142" t="inlineStr">
        <is>
          <t>55-64</t>
        </is>
      </c>
      <c r="J516" s="142" t="inlineStr">
        <is>
          <t>65 и более</t>
        </is>
      </c>
    </row>
    <row r="517" outlineLevel="1" ht="23.65" customHeight="1">
      <c r="C517" s="173" t="inlineStr">
        <is>
          <t>Объем закупок РМ</t>
        </is>
      </c>
      <c r="D517" s="174" t="inlineStr">
        <is>
          <t>Скидка будущего периода, %</t>
        </is>
      </c>
      <c r="E517" s="140" t="n">
        <v>0</v>
      </c>
      <c r="F517" s="140" t="n">
        <v>1</v>
      </c>
      <c r="G517" s="140" t="n">
        <v>2</v>
      </c>
      <c r="H517" s="140" t="n">
        <v>3</v>
      </c>
      <c r="I517" s="140" t="n">
        <v>4</v>
      </c>
      <c r="J517" s="140" t="n">
        <v>5</v>
      </c>
    </row>
    <row r="518" outlineLevel="1" ht="18" customHeight="1">
      <c r="C518" s="166" t="n"/>
    </row>
    <row r="519" outlineLevel="1" ht="14.65" customHeight="1">
      <c r="C519" s="179" t="inlineStr">
        <is>
          <t>ЗАПЧАСТИ Отгрузки за 6 месяцев ФГ</t>
        </is>
      </c>
      <c r="D519" s="180" t="inlineStr">
        <is>
          <t>EUR</t>
        </is>
      </c>
      <c r="E519" s="180" t="inlineStr">
        <is>
          <t>EUR</t>
        </is>
      </c>
      <c r="F519" s="180" t="inlineStr">
        <is>
          <t>% скидки</t>
        </is>
      </c>
    </row>
    <row r="520" outlineLevel="1" ht="14.65" customHeight="1">
      <c r="C520" s="181" t="inlineStr">
        <is>
          <t>отгрузки в диапазоне</t>
        </is>
      </c>
      <c r="D520" s="141" t="n">
        <v>0</v>
      </c>
      <c r="E520" s="182" t="n">
        <v>1625</v>
      </c>
      <c r="F520" s="183" t="n">
        <v>0.05</v>
      </c>
    </row>
    <row r="521" outlineLevel="1" ht="14.65" customHeight="1">
      <c r="C521" s="181" t="inlineStr">
        <is>
          <t>отгрузки в диапазоне</t>
        </is>
      </c>
      <c r="D521" s="182" t="n">
        <v>1625</v>
      </c>
      <c r="E521" s="182" t="n">
        <v>4375</v>
      </c>
      <c r="F521" s="183" t="n">
        <v>0.07000000000000001</v>
      </c>
    </row>
    <row r="522" outlineLevel="1" ht="14.65" customHeight="1">
      <c r="C522" s="181" t="inlineStr">
        <is>
          <t>отгрузки в диапазоне</t>
        </is>
      </c>
      <c r="D522" s="182" t="n">
        <v>4375</v>
      </c>
      <c r="E522" s="182" t="n">
        <v>8750</v>
      </c>
      <c r="F522" s="183" t="n">
        <v>0.09</v>
      </c>
    </row>
    <row r="523" outlineLevel="1" ht="14.65" customHeight="1">
      <c r="C523" s="181" t="inlineStr">
        <is>
          <t>отгрузки в диапазоне</t>
        </is>
      </c>
      <c r="D523" s="182" t="n">
        <v>8750</v>
      </c>
      <c r="E523" s="182" t="n">
        <v>16875</v>
      </c>
      <c r="F523" s="183" t="n">
        <v>0.11</v>
      </c>
    </row>
    <row r="524" outlineLevel="1" ht="14.65" customHeight="1">
      <c r="C524" s="181" t="inlineStr">
        <is>
          <t>отгрузки в диапазоне</t>
        </is>
      </c>
      <c r="D524" s="182" t="n">
        <v>16875</v>
      </c>
      <c r="E524" s="182" t="n">
        <v>33125</v>
      </c>
      <c r="F524" s="183" t="n">
        <v>0.13</v>
      </c>
    </row>
    <row r="525" outlineLevel="1" ht="14.65" customHeight="1">
      <c r="C525" s="181" t="inlineStr">
        <is>
          <t>отгрузки в диапазоне</t>
        </is>
      </c>
      <c r="D525" s="182" t="n">
        <v>33125</v>
      </c>
      <c r="E525" s="182" t="n">
        <v>50000</v>
      </c>
      <c r="F525" s="183" t="n">
        <v>0.15</v>
      </c>
    </row>
    <row r="526" outlineLevel="1" ht="14.65" customHeight="1">
      <c r="C526" s="181" t="inlineStr">
        <is>
          <t>отгрузки в диапазоне</t>
        </is>
      </c>
      <c r="D526" s="182" t="n">
        <v>50000</v>
      </c>
      <c r="E526" s="182" t="n">
        <v>87500</v>
      </c>
      <c r="F526" s="183" t="n">
        <v>0.17</v>
      </c>
    </row>
    <row r="527" outlineLevel="1" ht="14.65" customHeight="1">
      <c r="C527" s="181" t="inlineStr">
        <is>
          <t>отгрузки в диапазоне</t>
        </is>
      </c>
      <c r="D527" s="182" t="n">
        <v>87500</v>
      </c>
      <c r="E527" s="141" t="n">
        <v>0</v>
      </c>
      <c r="F527" s="183" t="n">
        <v>0.19</v>
      </c>
    </row>
    <row r="528" outlineLevel="1" ht="17.65" customHeight="1">
      <c r="C528" s="166" t="n"/>
    </row>
    <row r="531" ht="20" customHeight="1">
      <c r="A531" s="9" t="inlineStr">
        <is>
          <t>### ДИЛЕР 14/18 • Tida Tech, Таиланд • Заруб (отчётность за полугодие) • вкладка «Tida Tech» • в исходном файле была скрыта • исходные строки 1–32 (A1:J32)</t>
        </is>
      </c>
      <c r="B531" s="31" t="n"/>
      <c r="C531" s="31" t="n"/>
      <c r="D531" s="31" t="n"/>
      <c r="E531" s="31" t="n"/>
      <c r="F531" s="31" t="n"/>
      <c r="G531" s="31" t="n"/>
      <c r="H531" s="31" t="n"/>
      <c r="I531" s="31" t="n"/>
      <c r="J531" s="31" t="n"/>
    </row>
    <row r="532" outlineLevel="1"/>
    <row r="533" outlineLevel="1" ht="14.65" customHeight="1"/>
    <row r="534" outlineLevel="1" ht="28.5" customHeight="1">
      <c r="C534" s="145" t="inlineStr">
        <is>
          <t> </t>
        </is>
      </c>
      <c r="D534" s="146" t="inlineStr">
        <is>
          <t>Выручка 2023</t>
        </is>
      </c>
      <c r="E534" s="146" t="inlineStr">
        <is>
          <t>Выручка 2024</t>
        </is>
      </c>
      <c r="F534" s="146" t="inlineStr">
        <is>
          <t>План 2025</t>
        </is>
      </c>
      <c r="G534" s="147" t="inlineStr">
        <is>
          <t>Прирост П/Ф</t>
        </is>
      </c>
      <c r="H534" s="148" t="inlineStr">
        <is>
          <t>Скидка в 1 кв. 2025 ф.г.*</t>
        </is>
      </c>
    </row>
    <row r="535" outlineLevel="1" ht="24.95" customHeight="1">
      <c r="C535" s="149" t="inlineStr">
        <is>
          <t>Tida Tech, Таиланд</t>
        </is>
      </c>
      <c r="D535" s="150" t="n">
        <v>66798.84000000001</v>
      </c>
      <c r="E535" s="150" t="n">
        <v>57870.02999999998</v>
      </c>
      <c r="F535" s="150" t="n">
        <v>75000</v>
      </c>
      <c r="G535" s="184">
        <f>F535/E535-1</f>
        <v>0.2960076225984334</v>
      </c>
      <c r="H535" s="152" t="n"/>
    </row>
    <row r="536" outlineLevel="1" ht="24.95" customHeight="1">
      <c r="C536" s="153" t="inlineStr">
        <is>
          <t>Запасные части</t>
        </is>
      </c>
      <c r="D536" s="154" t="n">
        <v>10809.45</v>
      </c>
      <c r="E536" s="154" t="n">
        <v>2367.36</v>
      </c>
      <c r="F536" s="155">
        <f>F535*E536/E535</f>
        <v>3068.1166054346268</v>
      </c>
      <c r="G536" s="46" t="n"/>
      <c r="H536" s="156" t="n">
        <v>0.1</v>
      </c>
    </row>
    <row r="537" outlineLevel="1" ht="24.95" customHeight="1">
      <c r="C537" s="185" t="inlineStr">
        <is>
          <t>Оборудование</t>
        </is>
      </c>
      <c r="D537" s="155" t="n"/>
      <c r="E537" s="155" t="n">
        <v>4573.84</v>
      </c>
      <c r="F537" s="154">
        <f>F535*E537/E535</f>
        <v>5927.731504545619</v>
      </c>
      <c r="G537" s="46" t="n"/>
      <c r="H537" s="186" t="n">
        <v>0.16</v>
      </c>
    </row>
    <row r="538" outlineLevel="1" ht="24.95" customHeight="1">
      <c r="C538" s="187" t="inlineStr">
        <is>
          <t>Расходные материалы</t>
        </is>
      </c>
      <c r="D538" s="188" t="n">
        <v>55989.39000000001</v>
      </c>
      <c r="E538" s="188" t="n">
        <v>50928.82999999999</v>
      </c>
      <c r="F538" s="188">
        <f>F535*E538/E535</f>
        <v>66004.15189001977</v>
      </c>
      <c r="G538" s="53" t="n"/>
      <c r="H538" s="189" t="n"/>
    </row>
    <row r="539" outlineLevel="1" ht="16.15" customHeight="1">
      <c r="C539" s="190" t="inlineStr">
        <is>
          <t>* - скидка согласно правил работы ТПС на 2025 ф.г.</t>
        </is>
      </c>
      <c r="D539" s="191" t="n"/>
      <c r="E539" s="191" t="n"/>
      <c r="F539" s="191" t="n"/>
      <c r="G539" s="191" t="n"/>
      <c r="H539" s="192" t="n"/>
    </row>
    <row r="540" outlineLevel="1" ht="15.75" customHeight="1">
      <c r="C540" s="164" t="inlineStr">
        <is>
          <t>! При выполнении годового план продаж (по курсу продаж в евро), ретробонус составляет 1% от совокупного объема продаж</t>
        </is>
      </c>
      <c r="D540" s="60" t="n"/>
      <c r="E540" s="60" t="n"/>
      <c r="F540" s="60" t="n"/>
      <c r="G540" s="60" t="n"/>
      <c r="H540" s="60" t="n"/>
    </row>
    <row r="541" outlineLevel="1"/>
    <row r="542" outlineLevel="1" ht="15.4" customHeight="1">
      <c r="C542" s="165" t="inlineStr">
        <is>
          <t xml:space="preserve">3.1.1. Система предоставления скидок </t>
        </is>
      </c>
    </row>
    <row r="543" outlineLevel="1" ht="18" customHeight="1">
      <c r="C543" s="166" t="n"/>
    </row>
    <row r="544" outlineLevel="1">
      <c r="C544" s="167" t="inlineStr">
        <is>
          <t xml:space="preserve">ОБОРУДОВАНИЕ </t>
        </is>
      </c>
      <c r="D544" s="168" t="n"/>
      <c r="E544" s="138" t="inlineStr">
        <is>
          <t>до 75</t>
        </is>
      </c>
      <c r="F544" s="138" t="inlineStr">
        <is>
          <t>75-114</t>
        </is>
      </c>
      <c r="G544" s="138" t="inlineStr">
        <is>
          <t>115-149</t>
        </is>
      </c>
      <c r="H544" s="138" t="inlineStr">
        <is>
          <t>150-189</t>
        </is>
      </c>
      <c r="I544" s="138" t="inlineStr">
        <is>
          <t>190-224</t>
        </is>
      </c>
      <c r="J544" s="138" t="inlineStr">
        <is>
          <t>225 и более</t>
        </is>
      </c>
    </row>
    <row r="545" outlineLevel="1" ht="14.65" customHeight="1">
      <c r="C545" s="169" t="inlineStr">
        <is>
          <t>ОБЪЕМ закупок в тыс. EUR за 6 месяцев</t>
        </is>
      </c>
      <c r="D545" s="106" t="n"/>
      <c r="E545" s="106" t="n"/>
      <c r="F545" s="106" t="n"/>
      <c r="G545" s="106" t="n"/>
      <c r="H545" s="106" t="n"/>
      <c r="I545" s="106" t="n"/>
      <c r="J545" s="106" t="n"/>
    </row>
    <row r="546" outlineLevel="1" ht="14.65" customHeight="1">
      <c r="C546" s="170" t="inlineStr">
        <is>
          <t>Базовое вознаграждение за Дилерский договор</t>
        </is>
      </c>
      <c r="D546" s="171" t="inlineStr">
        <is>
          <t>Скидка %</t>
        </is>
      </c>
      <c r="E546" s="139" t="n">
        <v>6</v>
      </c>
      <c r="F546" s="139" t="n">
        <v>6</v>
      </c>
      <c r="G546" s="139" t="n">
        <v>6</v>
      </c>
      <c r="H546" s="139" t="n">
        <v>6</v>
      </c>
      <c r="I546" s="139" t="n">
        <v>6</v>
      </c>
      <c r="J546" s="139" t="n">
        <v>6</v>
      </c>
    </row>
    <row r="547" outlineLevel="1" ht="14.65" customHeight="1">
      <c r="C547" s="172" t="inlineStr">
        <is>
          <t>Наличие сервисного центра и гарантийное обслуживание</t>
        </is>
      </c>
      <c r="D547" s="171" t="inlineStr">
        <is>
          <t>Скидка %</t>
        </is>
      </c>
      <c r="E547" s="139" t="n">
        <v>1</v>
      </c>
      <c r="F547" s="139" t="n">
        <v>1</v>
      </c>
      <c r="G547" s="139" t="n">
        <v>1</v>
      </c>
      <c r="H547" s="139" t="n">
        <v>1</v>
      </c>
      <c r="I547" s="139" t="n">
        <v>1</v>
      </c>
      <c r="J547" s="139" t="n">
        <v>1</v>
      </c>
    </row>
    <row r="548" outlineLevel="1" ht="14.65" customHeight="1">
      <c r="C548" s="173" t="inlineStr">
        <is>
          <t>Объем закупок МП</t>
        </is>
      </c>
      <c r="D548" s="174" t="inlineStr">
        <is>
          <t>Скидка %</t>
        </is>
      </c>
      <c r="E548" s="140" t="n">
        <v>0</v>
      </c>
      <c r="F548" s="140" t="n">
        <v>9</v>
      </c>
      <c r="G548" s="140" t="n">
        <v>10</v>
      </c>
      <c r="H548" s="140" t="n">
        <v>11</v>
      </c>
      <c r="I548" s="140" t="n">
        <v>12</v>
      </c>
      <c r="J548" s="140" t="n">
        <v>13</v>
      </c>
    </row>
    <row r="549" outlineLevel="1" ht="14.65" customHeight="1">
      <c r="C549" s="175" t="inlineStr">
        <is>
          <t>ИТОГО</t>
        </is>
      </c>
      <c r="D549" s="176" t="n"/>
      <c r="E549" s="177" t="n">
        <v>14</v>
      </c>
      <c r="F549" s="141" t="n">
        <v>16</v>
      </c>
      <c r="G549" s="141" t="n">
        <v>17</v>
      </c>
      <c r="H549" s="141" t="n">
        <v>18</v>
      </c>
      <c r="I549" s="141" t="n">
        <v>19</v>
      </c>
      <c r="J549" s="141" t="n">
        <v>20</v>
      </c>
    </row>
    <row r="550" outlineLevel="1" ht="18" customHeight="1">
      <c r="C550" s="166" t="n"/>
    </row>
    <row r="551" outlineLevel="1" ht="23.65" customHeight="1">
      <c r="C551" s="168" t="inlineStr">
        <is>
          <t>РАСХОДНЫЕ МАТЕРИАЛЫ ОБЪЕМ закупок в тыс. EUR за 3 месяца (квартал)</t>
        </is>
      </c>
      <c r="D551" s="178" t="n"/>
      <c r="E551" s="142" t="inlineStr">
        <is>
          <t>до 24</t>
        </is>
      </c>
      <c r="F551" s="142" t="inlineStr">
        <is>
          <t>25-34</t>
        </is>
      </c>
      <c r="G551" s="142" t="inlineStr">
        <is>
          <t>35-44</t>
        </is>
      </c>
      <c r="H551" s="142" t="inlineStr">
        <is>
          <t>45-54</t>
        </is>
      </c>
      <c r="I551" s="142" t="inlineStr">
        <is>
          <t>55-64</t>
        </is>
      </c>
      <c r="J551" s="142" t="inlineStr">
        <is>
          <t>65 и более</t>
        </is>
      </c>
    </row>
    <row r="552" outlineLevel="1" ht="23.65" customHeight="1">
      <c r="C552" s="173" t="inlineStr">
        <is>
          <t>Объем закупок РМ</t>
        </is>
      </c>
      <c r="D552" s="174" t="inlineStr">
        <is>
          <t>Скидка будущего периода, %</t>
        </is>
      </c>
      <c r="E552" s="140" t="n">
        <v>0</v>
      </c>
      <c r="F552" s="140" t="n">
        <v>1</v>
      </c>
      <c r="G552" s="140" t="n">
        <v>2</v>
      </c>
      <c r="H552" s="140" t="n">
        <v>3</v>
      </c>
      <c r="I552" s="140" t="n">
        <v>4</v>
      </c>
      <c r="J552" s="140" t="n">
        <v>5</v>
      </c>
    </row>
    <row r="553" outlineLevel="1" ht="18" customHeight="1">
      <c r="C553" s="166" t="n"/>
    </row>
    <row r="554" outlineLevel="1" ht="14.65" customHeight="1">
      <c r="C554" s="179" t="inlineStr">
        <is>
          <t>ЗАПЧАСТИ Отгрузки за 6 месяцев ФГ</t>
        </is>
      </c>
      <c r="D554" s="180" t="inlineStr">
        <is>
          <t>EUR</t>
        </is>
      </c>
      <c r="E554" s="180" t="inlineStr">
        <is>
          <t>EUR</t>
        </is>
      </c>
      <c r="F554" s="180" t="inlineStr">
        <is>
          <t>% скидки</t>
        </is>
      </c>
    </row>
    <row r="555" outlineLevel="1" ht="14.65" customHeight="1">
      <c r="C555" s="181" t="inlineStr">
        <is>
          <t>отгрузки в диапазоне</t>
        </is>
      </c>
      <c r="D555" s="141" t="n">
        <v>0</v>
      </c>
      <c r="E555" s="182" t="n">
        <v>1625</v>
      </c>
      <c r="F555" s="183" t="n">
        <v>0.05</v>
      </c>
    </row>
    <row r="556" outlineLevel="1" ht="14.65" customHeight="1">
      <c r="C556" s="181" t="inlineStr">
        <is>
          <t>отгрузки в диапазоне</t>
        </is>
      </c>
      <c r="D556" s="182" t="n">
        <v>1625</v>
      </c>
      <c r="E556" s="182" t="n">
        <v>4375</v>
      </c>
      <c r="F556" s="183" t="n">
        <v>0.07000000000000001</v>
      </c>
    </row>
    <row r="557" outlineLevel="1" ht="14.65" customHeight="1">
      <c r="C557" s="181" t="inlineStr">
        <is>
          <t>отгрузки в диапазоне</t>
        </is>
      </c>
      <c r="D557" s="182" t="n">
        <v>4375</v>
      </c>
      <c r="E557" s="182" t="n">
        <v>8750</v>
      </c>
      <c r="F557" s="183" t="n">
        <v>0.09</v>
      </c>
    </row>
    <row r="558" outlineLevel="1" ht="14.65" customHeight="1">
      <c r="C558" s="181" t="inlineStr">
        <is>
          <t>отгрузки в диапазоне</t>
        </is>
      </c>
      <c r="D558" s="182" t="n">
        <v>8750</v>
      </c>
      <c r="E558" s="182" t="n">
        <v>16875</v>
      </c>
      <c r="F558" s="183" t="n">
        <v>0.11</v>
      </c>
    </row>
    <row r="559" outlineLevel="1" ht="14.65" customHeight="1">
      <c r="C559" s="181" t="inlineStr">
        <is>
          <t>отгрузки в диапазоне</t>
        </is>
      </c>
      <c r="D559" s="182" t="n">
        <v>16875</v>
      </c>
      <c r="E559" s="182" t="n">
        <v>33125</v>
      </c>
      <c r="F559" s="183" t="n">
        <v>0.13</v>
      </c>
    </row>
    <row r="560" outlineLevel="1" ht="14.65" customHeight="1">
      <c r="C560" s="181" t="inlineStr">
        <is>
          <t>отгрузки в диапазоне</t>
        </is>
      </c>
      <c r="D560" s="182" t="n">
        <v>33125</v>
      </c>
      <c r="E560" s="182" t="n">
        <v>50000</v>
      </c>
      <c r="F560" s="183" t="n">
        <v>0.15</v>
      </c>
    </row>
    <row r="561" outlineLevel="1" ht="14.65" customHeight="1">
      <c r="C561" s="181" t="inlineStr">
        <is>
          <t>отгрузки в диапазоне</t>
        </is>
      </c>
      <c r="D561" s="182" t="n">
        <v>50000</v>
      </c>
      <c r="E561" s="182" t="n">
        <v>87500</v>
      </c>
      <c r="F561" s="183" t="n">
        <v>0.17</v>
      </c>
    </row>
    <row r="562" outlineLevel="1" ht="14.65" customHeight="1">
      <c r="C562" s="181" t="inlineStr">
        <is>
          <t>отгрузки в диапазоне</t>
        </is>
      </c>
      <c r="D562" s="182" t="n">
        <v>87500</v>
      </c>
      <c r="E562" s="141" t="n">
        <v>0</v>
      </c>
      <c r="F562" s="183" t="n">
        <v>0.19</v>
      </c>
    </row>
    <row r="563" outlineLevel="1" ht="17.65" customHeight="1">
      <c r="C563" s="166" t="n"/>
    </row>
    <row r="566" ht="20" customHeight="1">
      <c r="A566" s="9" t="inlineStr">
        <is>
          <t>### ДИЛЕР 15/18 • Ari Makina, Турция • Заруб (отчётность за полугодие) • вкладка «Ari Makina» • в исходном файле была скрыта • исходные строки 1–31 (A1:J31)</t>
        </is>
      </c>
      <c r="B566" s="31" t="n"/>
      <c r="C566" s="31" t="n"/>
      <c r="D566" s="31" t="n"/>
      <c r="E566" s="31" t="n"/>
      <c r="F566" s="31" t="n"/>
      <c r="G566" s="31" t="n"/>
      <c r="H566" s="31" t="n"/>
      <c r="I566" s="31" t="n"/>
      <c r="J566" s="31" t="n"/>
    </row>
    <row r="567" outlineLevel="1"/>
    <row r="568" outlineLevel="1" ht="14.65" customHeight="1"/>
    <row r="569" outlineLevel="1" ht="28.5" customHeight="1">
      <c r="C569" s="145" t="inlineStr">
        <is>
          <t> </t>
        </is>
      </c>
      <c r="D569" s="146" t="inlineStr">
        <is>
          <t>Выручка 2023</t>
        </is>
      </c>
      <c r="E569" s="146" t="inlineStr">
        <is>
          <t>Выручка 2024</t>
        </is>
      </c>
      <c r="F569" s="146" t="inlineStr">
        <is>
          <t>План 2025</t>
        </is>
      </c>
      <c r="G569" s="147" t="inlineStr">
        <is>
          <t>Прирост П/Ф</t>
        </is>
      </c>
      <c r="H569" s="148" t="inlineStr">
        <is>
          <t>Скидка в 1 кв. 2025 ф.г.*</t>
        </is>
      </c>
    </row>
    <row r="570" outlineLevel="1" ht="24.95" customHeight="1">
      <c r="C570" s="149" t="inlineStr">
        <is>
          <t>Ari Makina, Турция</t>
        </is>
      </c>
      <c r="D570" s="150" t="n">
        <v>37122.21</v>
      </c>
      <c r="E570" s="150" t="n">
        <v>33756</v>
      </c>
      <c r="F570" s="150" t="n">
        <v>75000</v>
      </c>
      <c r="G570" s="151">
        <f>F570/E570-1</f>
        <v>1.2218272307145397</v>
      </c>
      <c r="H570" s="152" t="n"/>
    </row>
    <row r="571" outlineLevel="1" ht="24.95" customHeight="1">
      <c r="C571" s="153" t="inlineStr">
        <is>
          <t>Оборудование</t>
        </is>
      </c>
      <c r="D571" s="154" t="n">
        <v>36733</v>
      </c>
      <c r="E571" s="154" t="n">
        <v>33756</v>
      </c>
      <c r="F571" s="155" t="n">
        <v>75000</v>
      </c>
      <c r="G571" s="46" t="n"/>
      <c r="H571" s="156" t="n">
        <v>0.16</v>
      </c>
    </row>
    <row r="572" outlineLevel="1" ht="24.95" customHeight="1">
      <c r="C572" s="157" t="inlineStr">
        <is>
          <t>Расходные материалы</t>
        </is>
      </c>
      <c r="D572" s="158" t="n">
        <v>389.21</v>
      </c>
      <c r="E572" s="158" t="n"/>
      <c r="F572" s="159" t="n"/>
      <c r="G572" s="46" t="n"/>
      <c r="H572" s="160" t="n"/>
    </row>
    <row r="573" outlineLevel="1" ht="16.15" customHeight="1">
      <c r="C573" s="161" t="inlineStr">
        <is>
          <t>* - скидка согласно правил работы ТПС на 2025 ф.г.</t>
        </is>
      </c>
      <c r="D573" s="162" t="n"/>
      <c r="E573" s="162" t="n"/>
      <c r="F573" s="162" t="n"/>
      <c r="G573" s="162" t="n"/>
      <c r="H573" s="163" t="n"/>
    </row>
    <row r="574" outlineLevel="1" ht="15.75" customHeight="1">
      <c r="C574" s="164" t="inlineStr">
        <is>
          <t>! При выполнении годового план продаж (по курсу продаж в евро), ретробонус составляет 1% от совокупного объема продаж</t>
        </is>
      </c>
      <c r="D574" s="60" t="n"/>
      <c r="E574" s="60" t="n"/>
      <c r="F574" s="60" t="n"/>
      <c r="G574" s="60" t="n"/>
      <c r="H574" s="60" t="n"/>
    </row>
    <row r="575" outlineLevel="1"/>
    <row r="576" outlineLevel="1" ht="15.4" customHeight="1">
      <c r="C576" s="165" t="inlineStr">
        <is>
          <t xml:space="preserve">3.1.1. Система предоставления скидок </t>
        </is>
      </c>
    </row>
    <row r="577" outlineLevel="1" ht="18" customHeight="1">
      <c r="C577" s="166" t="n"/>
    </row>
    <row r="578" outlineLevel="1">
      <c r="C578" s="167" t="inlineStr">
        <is>
          <t xml:space="preserve">ОБОРУДОВАНИЕ </t>
        </is>
      </c>
      <c r="D578" s="168" t="n"/>
      <c r="E578" s="138" t="inlineStr">
        <is>
          <t>до 75</t>
        </is>
      </c>
      <c r="F578" s="138" t="inlineStr">
        <is>
          <t>75-114</t>
        </is>
      </c>
      <c r="G578" s="138" t="inlineStr">
        <is>
          <t>115-149</t>
        </is>
      </c>
      <c r="H578" s="138" t="inlineStr">
        <is>
          <t>150-189</t>
        </is>
      </c>
      <c r="I578" s="138" t="inlineStr">
        <is>
          <t>190-224</t>
        </is>
      </c>
      <c r="J578" s="138" t="inlineStr">
        <is>
          <t>225 и более</t>
        </is>
      </c>
    </row>
    <row r="579" outlineLevel="1" ht="14.65" customHeight="1">
      <c r="C579" s="169" t="inlineStr">
        <is>
          <t>ОБЪЕМ закупок в тыс. EUR за 6 месяцев</t>
        </is>
      </c>
      <c r="D579" s="106" t="n"/>
      <c r="E579" s="106" t="n"/>
      <c r="F579" s="106" t="n"/>
      <c r="G579" s="106" t="n"/>
      <c r="H579" s="106" t="n"/>
      <c r="I579" s="106" t="n"/>
      <c r="J579" s="106" t="n"/>
    </row>
    <row r="580" outlineLevel="1" ht="14.65" customHeight="1">
      <c r="C580" s="170" t="inlineStr">
        <is>
          <t>Базовое вознаграждение за Дилерский договор</t>
        </is>
      </c>
      <c r="D580" s="171" t="inlineStr">
        <is>
          <t>Скидка %</t>
        </is>
      </c>
      <c r="E580" s="139" t="n">
        <v>6</v>
      </c>
      <c r="F580" s="139" t="n">
        <v>6</v>
      </c>
      <c r="G580" s="139" t="n">
        <v>6</v>
      </c>
      <c r="H580" s="139" t="n">
        <v>6</v>
      </c>
      <c r="I580" s="139" t="n">
        <v>6</v>
      </c>
      <c r="J580" s="139" t="n">
        <v>6</v>
      </c>
    </row>
    <row r="581" outlineLevel="1" ht="14.65" customHeight="1">
      <c r="C581" s="172" t="inlineStr">
        <is>
          <t>Наличие сервисного центра и гарантийное обслуживание</t>
        </is>
      </c>
      <c r="D581" s="171" t="inlineStr">
        <is>
          <t>Скидка %</t>
        </is>
      </c>
      <c r="E581" s="139" t="n">
        <v>1</v>
      </c>
      <c r="F581" s="139" t="n">
        <v>1</v>
      </c>
      <c r="G581" s="139" t="n">
        <v>1</v>
      </c>
      <c r="H581" s="139" t="n">
        <v>1</v>
      </c>
      <c r="I581" s="139" t="n">
        <v>1</v>
      </c>
      <c r="J581" s="139" t="n">
        <v>1</v>
      </c>
    </row>
    <row r="582" outlineLevel="1" ht="14.65" customHeight="1">
      <c r="C582" s="173" t="inlineStr">
        <is>
          <t>Объем закупок МП</t>
        </is>
      </c>
      <c r="D582" s="174" t="inlineStr">
        <is>
          <t>Скидка %</t>
        </is>
      </c>
      <c r="E582" s="140" t="n">
        <v>0</v>
      </c>
      <c r="F582" s="140" t="n">
        <v>9</v>
      </c>
      <c r="G582" s="140" t="n">
        <v>10</v>
      </c>
      <c r="H582" s="140" t="n">
        <v>11</v>
      </c>
      <c r="I582" s="140" t="n">
        <v>12</v>
      </c>
      <c r="J582" s="140" t="n">
        <v>13</v>
      </c>
    </row>
    <row r="583" outlineLevel="1" ht="14.65" customHeight="1">
      <c r="C583" s="175" t="inlineStr">
        <is>
          <t>ИТОГО</t>
        </is>
      </c>
      <c r="D583" s="176" t="n"/>
      <c r="E583" s="177" t="n">
        <v>14</v>
      </c>
      <c r="F583" s="141" t="n">
        <v>16</v>
      </c>
      <c r="G583" s="141" t="n">
        <v>17</v>
      </c>
      <c r="H583" s="141" t="n">
        <v>18</v>
      </c>
      <c r="I583" s="141" t="n">
        <v>19</v>
      </c>
      <c r="J583" s="141" t="n">
        <v>20</v>
      </c>
    </row>
    <row r="584" outlineLevel="1" ht="18" customHeight="1">
      <c r="C584" s="166" t="n"/>
    </row>
    <row r="585" outlineLevel="1" ht="23.65" customHeight="1">
      <c r="C585" s="168" t="inlineStr">
        <is>
          <t>РАСХОДНЫЕ МАТЕРИАЛЫ ОБЪЕМ закупок в тыс. EUR за 3 месяца (квартал)</t>
        </is>
      </c>
      <c r="D585" s="178" t="n"/>
      <c r="E585" s="142" t="inlineStr">
        <is>
          <t>до 24</t>
        </is>
      </c>
      <c r="F585" s="142" t="inlineStr">
        <is>
          <t>25-34</t>
        </is>
      </c>
      <c r="G585" s="142" t="inlineStr">
        <is>
          <t>35-44</t>
        </is>
      </c>
      <c r="H585" s="142" t="inlineStr">
        <is>
          <t>45-54</t>
        </is>
      </c>
      <c r="I585" s="142" t="inlineStr">
        <is>
          <t>55-64</t>
        </is>
      </c>
      <c r="J585" s="142" t="inlineStr">
        <is>
          <t>65 и более</t>
        </is>
      </c>
    </row>
    <row r="586" outlineLevel="1" ht="23.65" customHeight="1">
      <c r="C586" s="173" t="inlineStr">
        <is>
          <t>Объем закупок РМ</t>
        </is>
      </c>
      <c r="D586" s="174" t="inlineStr">
        <is>
          <t>Скидка будущего периода, %</t>
        </is>
      </c>
      <c r="E586" s="140" t="n">
        <v>0</v>
      </c>
      <c r="F586" s="140" t="n">
        <v>1</v>
      </c>
      <c r="G586" s="140" t="n">
        <v>2</v>
      </c>
      <c r="H586" s="140" t="n">
        <v>3</v>
      </c>
      <c r="I586" s="140" t="n">
        <v>4</v>
      </c>
      <c r="J586" s="140" t="n">
        <v>5</v>
      </c>
    </row>
    <row r="587" outlineLevel="1" ht="18" customHeight="1">
      <c r="C587" s="166" t="n"/>
    </row>
    <row r="588" outlineLevel="1" ht="14.65" customHeight="1">
      <c r="C588" s="179" t="inlineStr">
        <is>
          <t>ЗАПЧАСТИ Отгрузки за 6 месяцев ФГ</t>
        </is>
      </c>
      <c r="D588" s="180" t="inlineStr">
        <is>
          <t>EUR</t>
        </is>
      </c>
      <c r="E588" s="180" t="inlineStr">
        <is>
          <t>EUR</t>
        </is>
      </c>
      <c r="F588" s="180" t="inlineStr">
        <is>
          <t>% скидки</t>
        </is>
      </c>
    </row>
    <row r="589" outlineLevel="1" ht="14.65" customHeight="1">
      <c r="C589" s="181" t="inlineStr">
        <is>
          <t>отгрузки в диапазоне</t>
        </is>
      </c>
      <c r="D589" s="141" t="n">
        <v>0</v>
      </c>
      <c r="E589" s="182" t="n">
        <v>1625</v>
      </c>
      <c r="F589" s="183" t="n">
        <v>0.05</v>
      </c>
    </row>
    <row r="590" outlineLevel="1" ht="14.65" customHeight="1">
      <c r="C590" s="181" t="inlineStr">
        <is>
          <t>отгрузки в диапазоне</t>
        </is>
      </c>
      <c r="D590" s="182" t="n">
        <v>1625</v>
      </c>
      <c r="E590" s="182" t="n">
        <v>4375</v>
      </c>
      <c r="F590" s="183" t="n">
        <v>0.07000000000000001</v>
      </c>
    </row>
    <row r="591" outlineLevel="1" ht="14.65" customHeight="1">
      <c r="C591" s="181" t="inlineStr">
        <is>
          <t>отгрузки в диапазоне</t>
        </is>
      </c>
      <c r="D591" s="182" t="n">
        <v>4375</v>
      </c>
      <c r="E591" s="182" t="n">
        <v>8750</v>
      </c>
      <c r="F591" s="183" t="n">
        <v>0.09</v>
      </c>
    </row>
    <row r="592" outlineLevel="1" ht="14.65" customHeight="1">
      <c r="C592" s="181" t="inlineStr">
        <is>
          <t>отгрузки в диапазоне</t>
        </is>
      </c>
      <c r="D592" s="182" t="n">
        <v>8750</v>
      </c>
      <c r="E592" s="182" t="n">
        <v>16875</v>
      </c>
      <c r="F592" s="183" t="n">
        <v>0.11</v>
      </c>
    </row>
    <row r="593" outlineLevel="1" ht="14.65" customHeight="1">
      <c r="C593" s="181" t="inlineStr">
        <is>
          <t>отгрузки в диапазоне</t>
        </is>
      </c>
      <c r="D593" s="182" t="n">
        <v>16875</v>
      </c>
      <c r="E593" s="182" t="n">
        <v>33125</v>
      </c>
      <c r="F593" s="183" t="n">
        <v>0.13</v>
      </c>
    </row>
    <row r="594" outlineLevel="1" ht="14.65" customHeight="1">
      <c r="C594" s="181" t="inlineStr">
        <is>
          <t>отгрузки в диапазоне</t>
        </is>
      </c>
      <c r="D594" s="182" t="n">
        <v>33125</v>
      </c>
      <c r="E594" s="182" t="n">
        <v>50000</v>
      </c>
      <c r="F594" s="183" t="n">
        <v>0.15</v>
      </c>
    </row>
    <row r="595" outlineLevel="1" ht="14.65" customHeight="1">
      <c r="C595" s="181" t="inlineStr">
        <is>
          <t>отгрузки в диапазоне</t>
        </is>
      </c>
      <c r="D595" s="182" t="n">
        <v>50000</v>
      </c>
      <c r="E595" s="182" t="n">
        <v>87500</v>
      </c>
      <c r="F595" s="183" t="n">
        <v>0.17</v>
      </c>
    </row>
    <row r="596" outlineLevel="1" ht="14.65" customHeight="1">
      <c r="C596" s="181" t="inlineStr">
        <is>
          <t>отгрузки в диапазоне</t>
        </is>
      </c>
      <c r="D596" s="182" t="n">
        <v>87500</v>
      </c>
      <c r="E596" s="141" t="n">
        <v>0</v>
      </c>
      <c r="F596" s="183" t="n">
        <v>0.19</v>
      </c>
    </row>
    <row r="597" outlineLevel="1" ht="17.65" customHeight="1">
      <c r="C597" s="166" t="n"/>
    </row>
    <row r="600" ht="20" customHeight="1">
      <c r="A600" s="9" t="inlineStr">
        <is>
          <t>### ДИЛЕР 16/18 • Кабири Хучанд ООО, Таджикистан • Заруб (отчётность за полугодие) • вкладка «Кабири Хучанд ООО» • исходные строки 1–35 (A1:J35)</t>
        </is>
      </c>
      <c r="B600" s="31" t="n"/>
      <c r="C600" s="31" t="n"/>
      <c r="D600" s="31" t="n"/>
      <c r="E600" s="31" t="n"/>
      <c r="F600" s="31" t="n"/>
      <c r="G600" s="31" t="n"/>
      <c r="H600" s="31" t="n"/>
      <c r="I600" s="31" t="n"/>
      <c r="J600" s="31" t="n"/>
    </row>
    <row r="601" outlineLevel="1"/>
    <row r="602" outlineLevel="1" ht="14.65" customHeight="1"/>
    <row r="603" outlineLevel="1" ht="44.1" customHeight="1">
      <c r="C603" s="32" t="inlineStr">
        <is>
          <t> </t>
        </is>
      </c>
      <c r="D603" s="33" t="inlineStr">
        <is>
          <t>Выручка 2024</t>
        </is>
      </c>
      <c r="E603" s="33" t="inlineStr">
        <is>
          <t>Выручка 2025</t>
        </is>
      </c>
      <c r="F603" s="33" t="inlineStr">
        <is>
          <t>План 2026</t>
        </is>
      </c>
      <c r="G603" s="34" t="inlineStr">
        <is>
          <t>Прирост П/Ф</t>
        </is>
      </c>
      <c r="H603" s="35" t="inlineStr">
        <is>
          <t>Размер бонуса по итогам 2026 г</t>
        </is>
      </c>
      <c r="I603" s="36" t="inlineStr">
        <is>
          <t>Скидка в 1 кв. 2026 ф.г.*</t>
        </is>
      </c>
    </row>
    <row r="604" outlineLevel="1" ht="24.95" customHeight="1">
      <c r="C604" s="37" t="inlineStr">
        <is>
          <t>Кабири Хучанд ООО, Таджикистан</t>
        </is>
      </c>
      <c r="D604" s="38" t="n">
        <v>48597</v>
      </c>
      <c r="E604" s="38" t="n">
        <v>58272</v>
      </c>
      <c r="F604" s="38">
        <f>SUM(F605:F607)</f>
        <v>150000</v>
      </c>
      <c r="G604" s="39">
        <f>F604/E604-1</f>
        <v>1.574135090609555</v>
      </c>
      <c r="H604" s="40" t="n"/>
      <c r="I604" s="41" t="n"/>
    </row>
    <row r="605" outlineLevel="1" ht="24.95" customHeight="1">
      <c r="C605" s="43" t="inlineStr">
        <is>
          <t>Сервис</t>
        </is>
      </c>
      <c r="D605" s="44" t="n">
        <v>3147</v>
      </c>
      <c r="E605" s="44" t="n">
        <v>5453</v>
      </c>
      <c r="F605" s="45" t="n">
        <v>0</v>
      </c>
      <c r="G605" s="46" t="n"/>
      <c r="H605" s="47" t="n">
        <v>0.01</v>
      </c>
      <c r="I605" s="48" t="n">
        <v>0.1</v>
      </c>
    </row>
    <row r="606" outlineLevel="1" ht="24.95" customHeight="1">
      <c r="C606" s="49" t="inlineStr">
        <is>
          <t>Оборудование</t>
        </is>
      </c>
      <c r="D606" s="45" t="n">
        <v>25838</v>
      </c>
      <c r="E606" s="45" t="n">
        <v>28315</v>
      </c>
      <c r="F606" s="44" t="n">
        <v>75000</v>
      </c>
      <c r="G606" s="46" t="n"/>
      <c r="H606" s="47" t="n">
        <v>0.015</v>
      </c>
      <c r="I606" s="50" t="n">
        <v>0.16</v>
      </c>
    </row>
    <row r="607" outlineLevel="1" ht="24.95" customHeight="1">
      <c r="C607" s="51" t="inlineStr">
        <is>
          <t>Расходные материалы</t>
        </is>
      </c>
      <c r="D607" s="52" t="n">
        <v>19612</v>
      </c>
      <c r="E607" s="52" t="n">
        <v>24504</v>
      </c>
      <c r="F607" s="52" t="n">
        <v>75000</v>
      </c>
      <c r="G607" s="53" t="n"/>
      <c r="H607" s="54" t="n">
        <v>0.005</v>
      </c>
      <c r="I607" s="55" t="n"/>
    </row>
    <row r="608" outlineLevel="1" ht="26.65" customHeight="1">
      <c r="C608" s="56" t="inlineStr">
        <is>
          <t>* - скидка согласно правил работы ТПС на 2026 ф.г. Действует с момента подписания плана</t>
        </is>
      </c>
      <c r="D608" s="57" t="n"/>
      <c r="E608" s="57" t="n"/>
      <c r="F608" s="57" t="n"/>
      <c r="G608" s="57" t="n"/>
      <c r="H608" s="58" t="n"/>
    </row>
    <row r="609" outlineLevel="1" ht="56.25" customHeight="1">
      <c r="C609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609" s="60" t="n"/>
      <c r="E609" s="60" t="n"/>
      <c r="F609" s="60" t="n"/>
      <c r="G609" s="60" t="n"/>
      <c r="H609" s="60" t="n"/>
    </row>
    <row r="610" outlineLevel="1"/>
    <row r="611" outlineLevel="1">
      <c r="C611" s="101" t="inlineStr">
        <is>
          <t xml:space="preserve">3.1.1. Система предоставления скидок </t>
        </is>
      </c>
    </row>
    <row r="612" outlineLevel="1" ht="14.65" customHeight="1">
      <c r="C612" s="61" t="n"/>
    </row>
    <row r="613" outlineLevel="1">
      <c r="C613" s="102" t="inlineStr">
        <is>
          <t xml:space="preserve">ОБОРУДОВАНИЕ </t>
        </is>
      </c>
      <c r="D613" s="103" t="n"/>
      <c r="E613" s="104" t="inlineStr">
        <is>
          <t>до 75</t>
        </is>
      </c>
      <c r="F613" s="104" t="inlineStr">
        <is>
          <t>75-114</t>
        </is>
      </c>
      <c r="G613" s="104" t="inlineStr">
        <is>
          <t>115-149</t>
        </is>
      </c>
      <c r="H613" s="104" t="inlineStr">
        <is>
          <t>150-189</t>
        </is>
      </c>
      <c r="I613" s="104" t="inlineStr">
        <is>
          <t>190-224</t>
        </is>
      </c>
      <c r="J613" s="104" t="inlineStr">
        <is>
          <t>225 и более</t>
        </is>
      </c>
    </row>
    <row r="614" outlineLevel="1" ht="14.65" customHeight="1">
      <c r="C614" s="105" t="inlineStr">
        <is>
          <t>ОБЪЕМ закупок в тыс. EUR за 6 месяцев</t>
        </is>
      </c>
      <c r="D614" s="106" t="n"/>
      <c r="E614" s="106" t="n"/>
      <c r="F614" s="106" t="n"/>
      <c r="G614" s="106" t="n"/>
      <c r="H614" s="106" t="n"/>
      <c r="I614" s="106" t="n"/>
      <c r="J614" s="106" t="n"/>
    </row>
    <row r="615" outlineLevel="1" ht="14.65" customHeight="1">
      <c r="C615" s="107" t="inlineStr">
        <is>
          <t>Базовое вознаграждение за Дилерский договор</t>
        </is>
      </c>
      <c r="D615" s="108" t="inlineStr">
        <is>
          <t>Скидка %</t>
        </is>
      </c>
      <c r="E615" s="109" t="n">
        <v>6</v>
      </c>
      <c r="F615" s="109" t="n">
        <v>6</v>
      </c>
      <c r="G615" s="109" t="n">
        <v>6</v>
      </c>
      <c r="H615" s="109" t="n">
        <v>6</v>
      </c>
      <c r="I615" s="109" t="n">
        <v>6</v>
      </c>
      <c r="J615" s="109" t="n">
        <v>6</v>
      </c>
    </row>
    <row r="616" outlineLevel="1" ht="14.65" customHeight="1">
      <c r="C616" s="110" t="inlineStr">
        <is>
          <t>Наличие сервисного центра и гарантийное обслуживание</t>
        </is>
      </c>
      <c r="D616" s="108" t="inlineStr">
        <is>
          <t>Скидка %</t>
        </is>
      </c>
      <c r="E616" s="109" t="n">
        <v>1</v>
      </c>
      <c r="F616" s="109" t="n">
        <v>1</v>
      </c>
      <c r="G616" s="109" t="n">
        <v>1</v>
      </c>
      <c r="H616" s="109" t="n">
        <v>1</v>
      </c>
      <c r="I616" s="109" t="n">
        <v>1</v>
      </c>
      <c r="J616" s="109" t="n">
        <v>1</v>
      </c>
    </row>
    <row r="617" outlineLevel="1" ht="14.65" customHeight="1">
      <c r="C617" s="111" t="inlineStr">
        <is>
          <t>Объем закупок МП</t>
        </is>
      </c>
      <c r="D617" s="112" t="inlineStr">
        <is>
          <t>Скидка %</t>
        </is>
      </c>
      <c r="E617" s="113" t="n">
        <v>7</v>
      </c>
      <c r="F617" s="113" t="n">
        <v>9</v>
      </c>
      <c r="G617" s="113" t="n">
        <v>10</v>
      </c>
      <c r="H617" s="113" t="n">
        <v>11</v>
      </c>
      <c r="I617" s="113" t="n">
        <v>12</v>
      </c>
      <c r="J617" s="113" t="n">
        <v>13</v>
      </c>
    </row>
    <row r="618" outlineLevel="1" ht="14.65" customHeight="1">
      <c r="C618" s="114" t="inlineStr">
        <is>
          <t>ИТОГО</t>
        </is>
      </c>
      <c r="D618" s="115" t="n"/>
      <c r="E618" s="116">
        <f>SUM(E615:E617)</f>
        <v>14</v>
      </c>
      <c r="F618" s="118">
        <f>SUM(F615:F617)</f>
        <v>16</v>
      </c>
      <c r="G618" s="117">
        <f>SUM(G615:G617)</f>
        <v>17</v>
      </c>
      <c r="H618" s="117">
        <f>SUM(H615:H617)</f>
        <v>18</v>
      </c>
      <c r="I618" s="117">
        <f>SUM(I615:I617)</f>
        <v>19</v>
      </c>
      <c r="J618" s="117">
        <f>SUM(J615:J617)</f>
        <v>20</v>
      </c>
    </row>
    <row r="619" outlineLevel="1" ht="14.65" customHeight="1">
      <c r="C619" s="61" t="n"/>
    </row>
    <row r="620" outlineLevel="1" ht="25.9" customHeight="1">
      <c r="C620" s="103" t="inlineStr">
        <is>
          <t>РАСХОДНЫЕ МАТЕРИАЛЫ ОБЪЕМ закупок в тыс. EUR за 3 месяца (квартал)</t>
        </is>
      </c>
      <c r="D620" s="119" t="n"/>
      <c r="E620" s="120" t="inlineStr">
        <is>
          <t>до 24</t>
        </is>
      </c>
      <c r="F620" s="120" t="inlineStr">
        <is>
          <t>25-34</t>
        </is>
      </c>
      <c r="G620" s="120" t="inlineStr">
        <is>
          <t>35-44</t>
        </is>
      </c>
      <c r="H620" s="120" t="inlineStr">
        <is>
          <t>45-54</t>
        </is>
      </c>
      <c r="I620" s="120" t="inlineStr">
        <is>
          <t>55-64</t>
        </is>
      </c>
      <c r="J620" s="120" t="inlineStr">
        <is>
          <t>65 и более</t>
        </is>
      </c>
    </row>
    <row r="621" outlineLevel="1" ht="38.45" customHeight="1">
      <c r="C621" s="111" t="inlineStr">
        <is>
          <t>Объем закупок РМ</t>
        </is>
      </c>
      <c r="D621" s="112" t="inlineStr">
        <is>
          <t>Скидка будущего периода, %</t>
        </is>
      </c>
      <c r="E621" s="113" t="n">
        <v>0</v>
      </c>
      <c r="F621" s="113" t="n">
        <v>1</v>
      </c>
      <c r="G621" s="113" t="n">
        <v>2</v>
      </c>
      <c r="H621" s="113" t="n">
        <v>3</v>
      </c>
      <c r="I621" s="113" t="n">
        <v>4</v>
      </c>
      <c r="J621" s="113" t="n">
        <v>5</v>
      </c>
    </row>
    <row r="622" outlineLevel="1" ht="14.65" customHeight="1">
      <c r="C622" s="61" t="n"/>
    </row>
    <row r="623" outlineLevel="1" ht="14.65" customHeight="1">
      <c r="C623" s="121" t="inlineStr">
        <is>
          <t>ЗАПЧАСТИ Отгрузки за 12 месяцев ФГ</t>
        </is>
      </c>
      <c r="D623" s="122" t="inlineStr">
        <is>
          <t>EUR</t>
        </is>
      </c>
      <c r="E623" s="122" t="inlineStr">
        <is>
          <t>EUR</t>
        </is>
      </c>
      <c r="F623" s="122" t="inlineStr">
        <is>
          <t>% скидки</t>
        </is>
      </c>
    </row>
    <row r="624" outlineLevel="1" ht="14.65" customHeight="1">
      <c r="C624" s="123" t="inlineStr">
        <is>
          <t>отгрузки в диапазоне</t>
        </is>
      </c>
      <c r="D624" s="117" t="n">
        <v>0</v>
      </c>
      <c r="E624" s="124" t="n">
        <v>7000</v>
      </c>
      <c r="F624" s="126" t="n">
        <v>0.1</v>
      </c>
    </row>
    <row r="625" outlineLevel="1" ht="14.65" customHeight="1">
      <c r="C625" s="123" t="inlineStr">
        <is>
          <t>отгрузки в диапазоне</t>
        </is>
      </c>
      <c r="D625" s="117" t="n">
        <v>7001</v>
      </c>
      <c r="E625" s="124" t="n">
        <v>19000</v>
      </c>
      <c r="F625" s="125" t="n">
        <v>0.11</v>
      </c>
    </row>
    <row r="626" outlineLevel="1" ht="14.65" customHeight="1">
      <c r="C626" s="123" t="inlineStr">
        <is>
          <t>отгрузки в диапазоне</t>
        </is>
      </c>
      <c r="D626" s="124" t="n">
        <v>19001</v>
      </c>
      <c r="E626" s="124" t="n">
        <v>24000</v>
      </c>
      <c r="F626" s="125" t="n">
        <v>0.13</v>
      </c>
    </row>
    <row r="627" outlineLevel="1" ht="14.65" customHeight="1">
      <c r="C627" s="123" t="inlineStr">
        <is>
          <t>отгрузки в диапазоне</t>
        </is>
      </c>
      <c r="D627" s="124" t="n">
        <v>24001</v>
      </c>
      <c r="E627" s="124" t="n">
        <v>28000</v>
      </c>
      <c r="F627" s="125" t="n">
        <v>0.14</v>
      </c>
    </row>
    <row r="628" outlineLevel="1" ht="14.65" customHeight="1">
      <c r="C628" s="123" t="inlineStr">
        <is>
          <t>отгрузки в диапазоне</t>
        </is>
      </c>
      <c r="D628" s="124" t="n">
        <v>28001</v>
      </c>
      <c r="E628" s="124" t="n">
        <v>40000</v>
      </c>
      <c r="F628" s="125" t="n">
        <v>0.15</v>
      </c>
    </row>
    <row r="629" outlineLevel="1" ht="14.65" customHeight="1">
      <c r="C629" s="123" t="inlineStr">
        <is>
          <t>отгрузки в диапазоне</t>
        </is>
      </c>
      <c r="D629" s="124" t="n">
        <v>40001</v>
      </c>
      <c r="E629" s="124" t="n">
        <v>48000</v>
      </c>
      <c r="F629" s="125" t="n">
        <v>0.16</v>
      </c>
    </row>
    <row r="630" outlineLevel="1" ht="14.65" customHeight="1">
      <c r="C630" s="123" t="inlineStr">
        <is>
          <t>отгрузки в диапазоне</t>
        </is>
      </c>
      <c r="D630" s="124" t="n">
        <v>48001</v>
      </c>
      <c r="E630" s="124" t="n">
        <v>60000</v>
      </c>
      <c r="F630" s="125" t="n">
        <v>0.17</v>
      </c>
    </row>
    <row r="631" outlineLevel="1" ht="14.65" customHeight="1">
      <c r="C631" s="123" t="inlineStr">
        <is>
          <t>отгрузки в диапазоне</t>
        </is>
      </c>
      <c r="D631" s="127" t="n">
        <v>60001</v>
      </c>
      <c r="E631" s="128" t="n">
        <v>75000</v>
      </c>
      <c r="F631" s="129" t="n">
        <v>0.18</v>
      </c>
    </row>
    <row r="632" outlineLevel="1" ht="14.65" customHeight="1">
      <c r="C632" s="130" t="inlineStr">
        <is>
          <t>отгрузки в диапазоне</t>
        </is>
      </c>
      <c r="D632" s="128" t="n">
        <v>75001</v>
      </c>
      <c r="E632" s="128" t="n">
        <v>90000</v>
      </c>
      <c r="F632" s="131" t="n">
        <v>0.19</v>
      </c>
    </row>
    <row r="633" outlineLevel="1" ht="14.65" customHeight="1">
      <c r="C633" s="130" t="inlineStr">
        <is>
          <t>отгрузки в диапазоне</t>
        </is>
      </c>
      <c r="D633" s="128" t="n">
        <v>90001</v>
      </c>
      <c r="E633" s="127" t="n">
        <v>105000</v>
      </c>
      <c r="F633" s="131" t="n">
        <v>0.2</v>
      </c>
    </row>
    <row r="634" outlineLevel="1" ht="14.65" customHeight="1">
      <c r="C634" s="130" t="inlineStr">
        <is>
          <t>отгрузки в диапазоне</t>
        </is>
      </c>
      <c r="D634" s="128" t="n">
        <v>105001</v>
      </c>
      <c r="E634" s="128" t="n">
        <v>115000</v>
      </c>
      <c r="F634" s="131" t="n">
        <v>0.21</v>
      </c>
    </row>
    <row r="635" outlineLevel="1" ht="14.65" customHeight="1">
      <c r="C635" s="130" t="inlineStr">
        <is>
          <t>отгрузки в диапазоне</t>
        </is>
      </c>
      <c r="D635" s="128" t="n">
        <v>115001</v>
      </c>
      <c r="E635" s="128" t="n">
        <v>0</v>
      </c>
      <c r="F635" s="131" t="n">
        <v>0.22</v>
      </c>
    </row>
    <row r="638" ht="20" customHeight="1">
      <c r="A638" s="9" t="inlineStr">
        <is>
          <t>### ДИЛЕР 17/18 • Flexo Food , Грузия • Заруб (отчётность за полугодие) • вкладка «Flexo Food Ltd, Грузия» • исходные строки 1–35 (A1:J35)</t>
        </is>
      </c>
      <c r="B638" s="31" t="n"/>
      <c r="C638" s="31" t="n"/>
      <c r="D638" s="31" t="n"/>
      <c r="E638" s="31" t="n"/>
      <c r="F638" s="31" t="n"/>
      <c r="G638" s="31" t="n"/>
      <c r="H638" s="31" t="n"/>
      <c r="I638" s="31" t="n"/>
      <c r="J638" s="31" t="n"/>
    </row>
    <row r="639" outlineLevel="1"/>
    <row r="640" outlineLevel="1" ht="14.65" customHeight="1"/>
    <row r="641" outlineLevel="1" ht="39.95" customHeight="1">
      <c r="C641" s="32" t="inlineStr">
        <is>
          <t> </t>
        </is>
      </c>
      <c r="D641" s="33" t="inlineStr">
        <is>
          <t>Выручка 2024</t>
        </is>
      </c>
      <c r="E641" s="33" t="inlineStr">
        <is>
          <t>Выручка 2025</t>
        </is>
      </c>
      <c r="F641" s="33" t="inlineStr">
        <is>
          <t>План 2026</t>
        </is>
      </c>
      <c r="G641" s="34" t="inlineStr">
        <is>
          <t>Прирост П/Ф</t>
        </is>
      </c>
      <c r="H641" s="35" t="inlineStr">
        <is>
          <t>Размер бонуса по итогам 2026 г</t>
        </is>
      </c>
      <c r="I641" s="36" t="inlineStr">
        <is>
          <t>Скидка в 1 кв. 2026 ф.г.*</t>
        </is>
      </c>
    </row>
    <row r="642" outlineLevel="1" ht="24.95" customHeight="1">
      <c r="C642" s="37" t="inlineStr">
        <is>
          <t>Flexo Food , Грузия</t>
        </is>
      </c>
      <c r="D642" s="38">
        <f>D643+D644+D645</f>
        <v>75817</v>
      </c>
      <c r="E642" s="38">
        <f>E643+E644+E645</f>
        <v>43780</v>
      </c>
      <c r="F642" s="38">
        <f>SUM(F643:F645)</f>
        <v>150000</v>
      </c>
      <c r="G642" s="39">
        <f>F642/E642-1</f>
        <v>2.4262220191868433</v>
      </c>
      <c r="H642" s="40" t="n"/>
      <c r="I642" s="41" t="n"/>
    </row>
    <row r="643" outlineLevel="1" ht="24.95" customHeight="1">
      <c r="C643" s="43" t="inlineStr">
        <is>
          <t>Сервис</t>
        </is>
      </c>
      <c r="D643" s="44" t="n">
        <v>3801</v>
      </c>
      <c r="E643" s="44" t="n">
        <v>12823</v>
      </c>
      <c r="F643" s="45" t="n">
        <v>0</v>
      </c>
      <c r="G643" s="46" t="n"/>
      <c r="H643" s="47" t="n">
        <v>0.01</v>
      </c>
      <c r="I643" s="48" t="n">
        <v>0.11</v>
      </c>
    </row>
    <row r="644" outlineLevel="1" ht="24.95" customHeight="1">
      <c r="C644" s="49" t="inlineStr">
        <is>
          <t>Оборудование</t>
        </is>
      </c>
      <c r="D644" s="45" t="n">
        <v>45294</v>
      </c>
      <c r="E644" s="45" t="n">
        <v>23552</v>
      </c>
      <c r="F644" s="44" t="n">
        <v>75000</v>
      </c>
      <c r="G644" s="46" t="n"/>
      <c r="H644" s="47" t="n">
        <v>0.015</v>
      </c>
      <c r="I644" s="50" t="n">
        <v>0.14</v>
      </c>
    </row>
    <row r="645" outlineLevel="1" ht="24.95" customHeight="1">
      <c r="C645" s="51" t="inlineStr">
        <is>
          <t>Расходные материалы</t>
        </is>
      </c>
      <c r="D645" s="52" t="n">
        <v>26722</v>
      </c>
      <c r="E645" s="52" t="n">
        <v>7405</v>
      </c>
      <c r="F645" s="52" t="n">
        <v>75000</v>
      </c>
      <c r="G645" s="53" t="n"/>
      <c r="H645" s="54" t="n">
        <v>0.005</v>
      </c>
      <c r="I645" s="55" t="n"/>
    </row>
    <row r="646" outlineLevel="1" ht="26.65" customHeight="1">
      <c r="C646" s="56" t="inlineStr">
        <is>
          <t>* - скидка согласно правил работы ТПС на 2026 ф.г. Действует с момента подписания плана</t>
        </is>
      </c>
      <c r="D646" s="57" t="n"/>
      <c r="E646" s="57" t="n"/>
      <c r="F646" s="57" t="n"/>
      <c r="G646" s="57" t="n"/>
      <c r="H646" s="58" t="n"/>
    </row>
    <row r="647" outlineLevel="1" ht="48.75" customHeight="1">
      <c r="C647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647" s="60" t="n"/>
      <c r="E647" s="60" t="n"/>
      <c r="F647" s="60" t="n"/>
      <c r="G647" s="60" t="n"/>
      <c r="H647" s="60" t="n"/>
    </row>
    <row r="648" outlineLevel="1"/>
    <row r="649" outlineLevel="1">
      <c r="C649" s="101" t="inlineStr">
        <is>
          <t xml:space="preserve">3.1.1. Система предоставления скидок </t>
        </is>
      </c>
    </row>
    <row r="650" outlineLevel="1" ht="14.65" customHeight="1">
      <c r="C650" s="61" t="n"/>
    </row>
    <row r="651" outlineLevel="1">
      <c r="C651" s="102" t="inlineStr">
        <is>
          <t xml:space="preserve">ОБОРУДОВАНИЕ </t>
        </is>
      </c>
      <c r="D651" s="103" t="n"/>
      <c r="E651" s="104" t="inlineStr">
        <is>
          <t>до 75</t>
        </is>
      </c>
      <c r="F651" s="104" t="inlineStr">
        <is>
          <t>75-114</t>
        </is>
      </c>
      <c r="G651" s="104" t="inlineStr">
        <is>
          <t>115-149</t>
        </is>
      </c>
      <c r="H651" s="104" t="inlineStr">
        <is>
          <t>150-189</t>
        </is>
      </c>
      <c r="I651" s="104" t="inlineStr">
        <is>
          <t>190-224</t>
        </is>
      </c>
      <c r="J651" s="104" t="inlineStr">
        <is>
          <t>225 и более</t>
        </is>
      </c>
    </row>
    <row r="652" outlineLevel="1" ht="14.65" customHeight="1">
      <c r="C652" s="105" t="inlineStr">
        <is>
          <t>ОБЪЕМ закупок в тыс. EUR за 6 месяцев</t>
        </is>
      </c>
      <c r="D652" s="106" t="n"/>
      <c r="E652" s="106" t="n"/>
      <c r="F652" s="106" t="n"/>
      <c r="G652" s="106" t="n"/>
      <c r="H652" s="106" t="n"/>
      <c r="I652" s="106" t="n"/>
      <c r="J652" s="106" t="n"/>
    </row>
    <row r="653" outlineLevel="1" ht="14.65" customHeight="1">
      <c r="C653" s="107" t="inlineStr">
        <is>
          <t>Базовое вознаграждение за Дилерский договор</t>
        </is>
      </c>
      <c r="D653" s="108" t="inlineStr">
        <is>
          <t>Скидка %</t>
        </is>
      </c>
      <c r="E653" s="109" t="n">
        <v>6</v>
      </c>
      <c r="F653" s="109" t="n">
        <v>6</v>
      </c>
      <c r="G653" s="109" t="n">
        <v>6</v>
      </c>
      <c r="H653" s="109" t="n">
        <v>6</v>
      </c>
      <c r="I653" s="109" t="n">
        <v>6</v>
      </c>
      <c r="J653" s="109" t="n">
        <v>6</v>
      </c>
    </row>
    <row r="654" outlineLevel="1" ht="14.65" customHeight="1">
      <c r="C654" s="110" t="inlineStr">
        <is>
          <t>Наличие сервисного центра и гарантийное обслуживание</t>
        </is>
      </c>
      <c r="D654" s="108" t="inlineStr">
        <is>
          <t>Скидка %</t>
        </is>
      </c>
      <c r="E654" s="109" t="n">
        <v>1</v>
      </c>
      <c r="F654" s="109" t="n">
        <v>1</v>
      </c>
      <c r="G654" s="109" t="n">
        <v>1</v>
      </c>
      <c r="H654" s="109" t="n">
        <v>1</v>
      </c>
      <c r="I654" s="109" t="n">
        <v>1</v>
      </c>
      <c r="J654" s="109" t="n">
        <v>1</v>
      </c>
    </row>
    <row r="655" outlineLevel="1" ht="14.65" customHeight="1">
      <c r="C655" s="111" t="inlineStr">
        <is>
          <t>Объем закупок МП</t>
        </is>
      </c>
      <c r="D655" s="112" t="inlineStr">
        <is>
          <t>Скидка %</t>
        </is>
      </c>
      <c r="E655" s="113" t="n">
        <v>7</v>
      </c>
      <c r="F655" s="113" t="n">
        <v>9</v>
      </c>
      <c r="G655" s="113" t="n">
        <v>10</v>
      </c>
      <c r="H655" s="113" t="n">
        <v>11</v>
      </c>
      <c r="I655" s="113" t="n">
        <v>12</v>
      </c>
      <c r="J655" s="113" t="n">
        <v>13</v>
      </c>
    </row>
    <row r="656" outlineLevel="1" ht="14.65" customHeight="1">
      <c r="C656" s="114" t="inlineStr">
        <is>
          <t>ИТОГО</t>
        </is>
      </c>
      <c r="D656" s="115" t="n"/>
      <c r="E656" s="193">
        <f>SUM(E653:E655)</f>
        <v>14</v>
      </c>
      <c r="F656" s="117">
        <f>SUM(F653:F655)</f>
        <v>16</v>
      </c>
      <c r="G656" s="117">
        <f>SUM(G653:G655)</f>
        <v>17</v>
      </c>
      <c r="H656" s="117">
        <f>SUM(H653:H655)</f>
        <v>18</v>
      </c>
      <c r="I656" s="117">
        <f>SUM(I653:I655)</f>
        <v>19</v>
      </c>
      <c r="J656" s="117">
        <f>SUM(J653:J655)</f>
        <v>20</v>
      </c>
    </row>
    <row r="657" outlineLevel="1" ht="14.65" customHeight="1">
      <c r="C657" s="61" t="n"/>
    </row>
    <row r="658" outlineLevel="1" ht="25.9" customHeight="1">
      <c r="C658" s="103" t="inlineStr">
        <is>
          <t>РАСХОДНЫЕ МАТЕРИАЛЫ ОБЪЕМ закупок в тыс. EUR за 3 месяца (квартал)</t>
        </is>
      </c>
      <c r="D658" s="119" t="n"/>
      <c r="E658" s="120" t="inlineStr">
        <is>
          <t>до 24</t>
        </is>
      </c>
      <c r="F658" s="120" t="inlineStr">
        <is>
          <t>25-34</t>
        </is>
      </c>
      <c r="G658" s="120" t="inlineStr">
        <is>
          <t>35-44</t>
        </is>
      </c>
      <c r="H658" s="120" t="inlineStr">
        <is>
          <t>45-54</t>
        </is>
      </c>
      <c r="I658" s="120" t="inlineStr">
        <is>
          <t>55-64</t>
        </is>
      </c>
      <c r="J658" s="120" t="inlineStr">
        <is>
          <t>65 и более</t>
        </is>
      </c>
    </row>
    <row r="659" outlineLevel="1" ht="40.5" customHeight="1">
      <c r="C659" s="111" t="inlineStr">
        <is>
          <t>Объем закупок РМ</t>
        </is>
      </c>
      <c r="D659" s="112" t="inlineStr">
        <is>
          <t>Скидка будущего периода, %</t>
        </is>
      </c>
      <c r="E659" s="113" t="n">
        <v>0</v>
      </c>
      <c r="F659" s="113" t="n">
        <v>1</v>
      </c>
      <c r="G659" s="113" t="n">
        <v>2</v>
      </c>
      <c r="H659" s="113" t="n">
        <v>3</v>
      </c>
      <c r="I659" s="113" t="n">
        <v>4</v>
      </c>
      <c r="J659" s="113" t="n">
        <v>5</v>
      </c>
    </row>
    <row r="660" outlineLevel="1" ht="14.65" customHeight="1">
      <c r="C660" s="61" t="n"/>
    </row>
    <row r="661" outlineLevel="1" ht="14.65" customHeight="1">
      <c r="C661" s="121" t="inlineStr">
        <is>
          <t>ЗАПЧАСТИ Отгрузки за 12 месяцев ФГ</t>
        </is>
      </c>
      <c r="D661" s="122" t="inlineStr">
        <is>
          <t>EUR</t>
        </is>
      </c>
      <c r="E661" s="122" t="inlineStr">
        <is>
          <t>EUR</t>
        </is>
      </c>
      <c r="F661" s="122" t="inlineStr">
        <is>
          <t>% скидки</t>
        </is>
      </c>
    </row>
    <row r="662" outlineLevel="1" ht="14.65" customHeight="1">
      <c r="C662" s="123" t="inlineStr">
        <is>
          <t>отгрузки в диапазоне</t>
        </is>
      </c>
      <c r="D662" s="117" t="n">
        <v>0</v>
      </c>
      <c r="E662" s="124" t="n">
        <v>7000</v>
      </c>
      <c r="F662" s="125" t="n">
        <v>0.1</v>
      </c>
    </row>
    <row r="663" outlineLevel="1" ht="14.65" customHeight="1">
      <c r="C663" s="123" t="inlineStr">
        <is>
          <t>отгрузки в диапазоне</t>
        </is>
      </c>
      <c r="D663" s="117" t="n">
        <v>7001</v>
      </c>
      <c r="E663" s="124" t="n">
        <v>19000</v>
      </c>
      <c r="F663" s="126" t="n">
        <v>0.11</v>
      </c>
    </row>
    <row r="664" outlineLevel="1" ht="14.65" customHeight="1">
      <c r="C664" s="123" t="inlineStr">
        <is>
          <t>отгрузки в диапазоне</t>
        </is>
      </c>
      <c r="D664" s="124" t="n">
        <v>19001</v>
      </c>
      <c r="E664" s="124" t="n">
        <v>24000</v>
      </c>
      <c r="F664" s="125" t="n">
        <v>0.13</v>
      </c>
    </row>
    <row r="665" outlineLevel="1" ht="14.65" customHeight="1">
      <c r="C665" s="123" t="inlineStr">
        <is>
          <t>отгрузки в диапазоне</t>
        </is>
      </c>
      <c r="D665" s="124" t="n">
        <v>24001</v>
      </c>
      <c r="E665" s="124" t="n">
        <v>28000</v>
      </c>
      <c r="F665" s="125" t="n">
        <v>0.14</v>
      </c>
    </row>
    <row r="666" outlineLevel="1" ht="14.65" customHeight="1">
      <c r="C666" s="123" t="inlineStr">
        <is>
          <t>отгрузки в диапазоне</t>
        </is>
      </c>
      <c r="D666" s="124" t="n">
        <v>28001</v>
      </c>
      <c r="E666" s="124" t="n">
        <v>40000</v>
      </c>
      <c r="F666" s="125" t="n">
        <v>0.15</v>
      </c>
    </row>
    <row r="667" outlineLevel="1" ht="14.65" customHeight="1">
      <c r="C667" s="123" t="inlineStr">
        <is>
          <t>отгрузки в диапазоне</t>
        </is>
      </c>
      <c r="D667" s="124" t="n">
        <v>40001</v>
      </c>
      <c r="E667" s="124" t="n">
        <v>48000</v>
      </c>
      <c r="F667" s="125" t="n">
        <v>0.16</v>
      </c>
    </row>
    <row r="668" outlineLevel="1" ht="14.65" customHeight="1">
      <c r="C668" s="123" t="inlineStr">
        <is>
          <t>отгрузки в диапазоне</t>
        </is>
      </c>
      <c r="D668" s="124" t="n">
        <v>48001</v>
      </c>
      <c r="E668" s="124" t="n">
        <v>60000</v>
      </c>
      <c r="F668" s="125" t="n">
        <v>0.17</v>
      </c>
    </row>
    <row r="669" outlineLevel="1" ht="14.65" customHeight="1">
      <c r="C669" s="123" t="inlineStr">
        <is>
          <t>отгрузки в диапазоне</t>
        </is>
      </c>
      <c r="D669" s="127" t="n">
        <v>60001</v>
      </c>
      <c r="E669" s="128" t="n">
        <v>75000</v>
      </c>
      <c r="F669" s="129" t="n">
        <v>0.18</v>
      </c>
    </row>
    <row r="670" outlineLevel="1" ht="14.65" customHeight="1">
      <c r="C670" s="130" t="inlineStr">
        <is>
          <t>отгрузки в диапазоне</t>
        </is>
      </c>
      <c r="D670" s="128" t="n">
        <v>75001</v>
      </c>
      <c r="E670" s="128" t="n">
        <v>90000</v>
      </c>
      <c r="F670" s="131" t="n">
        <v>0.19</v>
      </c>
    </row>
    <row r="671" outlineLevel="1" ht="14.65" customHeight="1">
      <c r="C671" s="130" t="inlineStr">
        <is>
          <t>отгрузки в диапазоне</t>
        </is>
      </c>
      <c r="D671" s="128" t="n">
        <v>90001</v>
      </c>
      <c r="E671" s="127" t="n">
        <v>105000</v>
      </c>
      <c r="F671" s="131" t="n">
        <v>0.2</v>
      </c>
    </row>
    <row r="672" outlineLevel="1" ht="14.65" customHeight="1">
      <c r="C672" s="130" t="inlineStr">
        <is>
          <t>отгрузки в диапазоне</t>
        </is>
      </c>
      <c r="D672" s="128" t="n">
        <v>105001</v>
      </c>
      <c r="E672" s="128" t="n">
        <v>115000</v>
      </c>
      <c r="F672" s="131" t="n">
        <v>0.21</v>
      </c>
    </row>
    <row r="673" outlineLevel="1" ht="14.65" customHeight="1">
      <c r="C673" s="130" t="inlineStr">
        <is>
          <t>отгрузки в диапазоне</t>
        </is>
      </c>
      <c r="D673" s="128" t="n">
        <v>115001</v>
      </c>
      <c r="E673" s="128" t="n">
        <v>0</v>
      </c>
      <c r="F673" s="131" t="n">
        <v>0.22</v>
      </c>
    </row>
    <row r="676" ht="20" customHeight="1">
      <c r="A676" s="9" t="inlineStr">
        <is>
          <t>### ДИЛЕР 18/18 • Гинап, Армения • Заруб (отчётность за полугодие) • вкладка «ГИНАП, Армения» • исходные строки 1–34 (A1:M34)</t>
        </is>
      </c>
      <c r="B676" s="31" t="n"/>
      <c r="C676" s="31" t="n"/>
      <c r="D676" s="31" t="n"/>
      <c r="E676" s="31" t="n"/>
      <c r="F676" s="31" t="n"/>
      <c r="G676" s="31" t="n"/>
      <c r="H676" s="31" t="n"/>
      <c r="I676" s="31" t="n"/>
      <c r="J676" s="31" t="n"/>
      <c r="K676" s="31" t="n"/>
      <c r="L676" s="31" t="n"/>
      <c r="M676" s="31" t="n"/>
    </row>
    <row r="677" outlineLevel="1"/>
    <row r="678" outlineLevel="1" ht="14.65" customHeight="1"/>
    <row r="679" outlineLevel="1" ht="39" customHeight="1">
      <c r="C679" s="32" t="inlineStr">
        <is>
          <t> </t>
        </is>
      </c>
      <c r="D679" s="33" t="inlineStr">
        <is>
          <t>Выручка 2024</t>
        </is>
      </c>
      <c r="E679" s="33" t="inlineStr">
        <is>
          <t>Выручка 2025</t>
        </is>
      </c>
      <c r="F679" s="33" t="inlineStr">
        <is>
          <t>План 2026</t>
        </is>
      </c>
      <c r="G679" s="34" t="inlineStr">
        <is>
          <t>Прирост П/Ф</t>
        </is>
      </c>
      <c r="H679" s="35" t="inlineStr">
        <is>
          <t>Размер бонуса по итогам 2026 г</t>
        </is>
      </c>
      <c r="I679" s="36" t="inlineStr">
        <is>
          <t>Скидка в 1 кв. 2026 ф.г.*</t>
        </is>
      </c>
    </row>
    <row r="680" outlineLevel="1" ht="24.95" customHeight="1">
      <c r="C680" s="37" t="inlineStr">
        <is>
          <t>Гинап, Армения</t>
        </is>
      </c>
      <c r="D680" s="38">
        <f>D681+D682+D683</f>
        <v>85433</v>
      </c>
      <c r="E680" s="38">
        <f>E681+E682+E683</f>
        <v>27404</v>
      </c>
      <c r="F680" s="38">
        <f>SUM(F681:F683)</f>
        <v>175000</v>
      </c>
      <c r="G680" s="39">
        <f>F680/E680-1</f>
        <v>5.3859290614508835</v>
      </c>
      <c r="H680" s="40" t="n"/>
      <c r="I680" s="41" t="n"/>
    </row>
    <row r="681" outlineLevel="1" ht="24.95" customHeight="1">
      <c r="C681" s="43" t="inlineStr">
        <is>
          <t>Сервис</t>
        </is>
      </c>
      <c r="D681" s="44" t="n">
        <v>23538</v>
      </c>
      <c r="E681" s="44" t="n">
        <v>7079</v>
      </c>
      <c r="F681" s="45" t="n">
        <v>25000</v>
      </c>
      <c r="G681" s="46" t="n"/>
      <c r="H681" s="47" t="n">
        <v>0.01</v>
      </c>
      <c r="I681" s="48" t="n">
        <v>0.11</v>
      </c>
      <c r="M681" s="144" t="n"/>
    </row>
    <row r="682" outlineLevel="1" ht="24.95" customHeight="1">
      <c r="C682" s="49" t="inlineStr">
        <is>
          <t>Оборудование</t>
        </is>
      </c>
      <c r="D682" s="45" t="n">
        <v>44599</v>
      </c>
      <c r="E682" s="45" t="n"/>
      <c r="F682" s="44" t="n">
        <v>75000</v>
      </c>
      <c r="G682" s="46" t="n"/>
      <c r="H682" s="47" t="n">
        <v>0.015</v>
      </c>
      <c r="I682" s="50" t="n">
        <v>0.14</v>
      </c>
    </row>
    <row r="683" outlineLevel="1" ht="24.95" customHeight="1">
      <c r="C683" s="51" t="inlineStr">
        <is>
          <t>Расходные материалы</t>
        </is>
      </c>
      <c r="D683" s="52" t="n">
        <v>17296</v>
      </c>
      <c r="E683" s="52" t="n">
        <v>20325</v>
      </c>
      <c r="F683" s="52" t="n">
        <v>75000</v>
      </c>
      <c r="G683" s="53" t="n"/>
      <c r="H683" s="54" t="n">
        <v>0.005</v>
      </c>
      <c r="I683" s="55" t="n"/>
    </row>
    <row r="684" outlineLevel="1" ht="26.65" customHeight="1">
      <c r="C684" s="56" t="inlineStr">
        <is>
          <t>* - скидка согласно правил работы ТПС на 2026 ф.г. Действует с момента подписания плана</t>
        </is>
      </c>
      <c r="D684" s="57" t="n"/>
      <c r="E684" s="57" t="n"/>
      <c r="F684" s="57" t="n"/>
      <c r="G684" s="57" t="n"/>
      <c r="H684" s="58" t="n"/>
    </row>
    <row r="685" outlineLevel="1" ht="50.25" customHeight="1">
      <c r="C685" s="59" t="inlineStr">
        <is>
          <t>Ретробонус насчитывается и выплачивается по каждому направлению отдельно при выполнении плана 100% и более. Каждое направление имеет свой % бонусирования. Бонусирование вступает в силу к расчету только при условии выполнения плана ИТОГО на 95%. При отсутствии просроченной Дебиторской Задолженности бонус выплачивается в полном размере.</t>
        </is>
      </c>
      <c r="D685" s="60" t="n"/>
      <c r="E685" s="60" t="n"/>
      <c r="F685" s="60" t="n"/>
      <c r="G685" s="60" t="n"/>
      <c r="H685" s="60" t="n"/>
    </row>
    <row r="686" outlineLevel="1">
      <c r="C686" s="101" t="inlineStr">
        <is>
          <t xml:space="preserve">3.1.1. Система предоставления скидок </t>
        </is>
      </c>
    </row>
    <row r="687" outlineLevel="1" ht="14.65" customHeight="1">
      <c r="C687" s="61" t="n"/>
    </row>
    <row r="688" outlineLevel="1">
      <c r="C688" s="102" t="inlineStr">
        <is>
          <t xml:space="preserve">ОБОРУДОВАНИЕ </t>
        </is>
      </c>
      <c r="D688" s="103" t="n"/>
      <c r="E688" s="104" t="inlineStr">
        <is>
          <t>до 75</t>
        </is>
      </c>
      <c r="F688" s="104" t="inlineStr">
        <is>
          <t>75-114</t>
        </is>
      </c>
      <c r="G688" s="104" t="inlineStr">
        <is>
          <t>115-149</t>
        </is>
      </c>
      <c r="H688" s="104" t="inlineStr">
        <is>
          <t>150-189</t>
        </is>
      </c>
      <c r="I688" s="104" t="inlineStr">
        <is>
          <t>190-224</t>
        </is>
      </c>
      <c r="J688" s="104" t="inlineStr">
        <is>
          <t>225 и более</t>
        </is>
      </c>
    </row>
    <row r="689" outlineLevel="1" ht="14.65" customHeight="1">
      <c r="C689" s="105" t="inlineStr">
        <is>
          <t>ОБЪЕМ закупок в тыс. EUR за 6 месяцев</t>
        </is>
      </c>
      <c r="D689" s="106" t="n"/>
      <c r="E689" s="106" t="n"/>
      <c r="F689" s="106" t="n"/>
      <c r="G689" s="106" t="n"/>
      <c r="H689" s="106" t="n"/>
      <c r="I689" s="106" t="n"/>
      <c r="J689" s="106" t="n"/>
    </row>
    <row r="690" outlineLevel="1" ht="14.65" customHeight="1">
      <c r="C690" s="107" t="inlineStr">
        <is>
          <t>Базовое вознаграждение за Дилерский договор</t>
        </is>
      </c>
      <c r="D690" s="108" t="inlineStr">
        <is>
          <t>Скидка %</t>
        </is>
      </c>
      <c r="E690" s="109" t="n">
        <v>6</v>
      </c>
      <c r="F690" s="109" t="n">
        <v>6</v>
      </c>
      <c r="G690" s="109" t="n">
        <v>6</v>
      </c>
      <c r="H690" s="109" t="n">
        <v>6</v>
      </c>
      <c r="I690" s="109" t="n">
        <v>6</v>
      </c>
      <c r="J690" s="109" t="n">
        <v>6</v>
      </c>
    </row>
    <row r="691" outlineLevel="1" ht="14.65" customHeight="1">
      <c r="C691" s="110" t="inlineStr">
        <is>
          <t>Наличие сервисного центра и гарантийное обслуживание</t>
        </is>
      </c>
      <c r="D691" s="108" t="inlineStr">
        <is>
          <t>Скидка %</t>
        </is>
      </c>
      <c r="E691" s="109" t="n">
        <v>1</v>
      </c>
      <c r="F691" s="109" t="n">
        <v>1</v>
      </c>
      <c r="G691" s="109" t="n">
        <v>1</v>
      </c>
      <c r="H691" s="109" t="n">
        <v>1</v>
      </c>
      <c r="I691" s="109" t="n">
        <v>1</v>
      </c>
      <c r="J691" s="109" t="n">
        <v>1</v>
      </c>
    </row>
    <row r="692" outlineLevel="1" ht="14.65" customHeight="1">
      <c r="C692" s="111" t="inlineStr">
        <is>
          <t>Объем закупок МП</t>
        </is>
      </c>
      <c r="D692" s="112" t="inlineStr">
        <is>
          <t>Скидка %</t>
        </is>
      </c>
      <c r="E692" s="113" t="n">
        <v>7</v>
      </c>
      <c r="F692" s="113" t="n">
        <v>9</v>
      </c>
      <c r="G692" s="113" t="n">
        <v>10</v>
      </c>
      <c r="H692" s="113" t="n">
        <v>11</v>
      </c>
      <c r="I692" s="113" t="n">
        <v>12</v>
      </c>
      <c r="J692" s="113" t="n">
        <v>13</v>
      </c>
    </row>
    <row r="693" outlineLevel="1" ht="14.65" customHeight="1">
      <c r="C693" s="114" t="inlineStr">
        <is>
          <t>ИТОГО</t>
        </is>
      </c>
      <c r="D693" s="115" t="n"/>
      <c r="E693" s="193">
        <f>SUM(E690:E692)</f>
        <v>14</v>
      </c>
      <c r="F693" s="117">
        <f>SUM(F690:F692)</f>
        <v>16</v>
      </c>
      <c r="G693" s="117">
        <f>SUM(G690:G692)</f>
        <v>17</v>
      </c>
      <c r="H693" s="117">
        <f>SUM(H690:H692)</f>
        <v>18</v>
      </c>
      <c r="I693" s="117">
        <f>SUM(I690:I692)</f>
        <v>19</v>
      </c>
      <c r="J693" s="117">
        <f>SUM(J690:J692)</f>
        <v>20</v>
      </c>
    </row>
    <row r="694" outlineLevel="1" ht="14.65" customHeight="1">
      <c r="C694" s="61" t="n"/>
    </row>
    <row r="695" outlineLevel="1" ht="25.9" customHeight="1">
      <c r="C695" s="103" t="inlineStr">
        <is>
          <t>РАСХОДНЫЕ МАТЕРИАЛЫ ОБЪЕМ закупок в тыс. EUR за 3 месяца (квартал)</t>
        </is>
      </c>
      <c r="D695" s="119" t="n"/>
      <c r="E695" s="120" t="inlineStr">
        <is>
          <t>до 24</t>
        </is>
      </c>
      <c r="F695" s="120" t="inlineStr">
        <is>
          <t>25-34</t>
        </is>
      </c>
      <c r="G695" s="120" t="inlineStr">
        <is>
          <t>35-44</t>
        </is>
      </c>
      <c r="H695" s="120" t="inlineStr">
        <is>
          <t>45-54</t>
        </is>
      </c>
      <c r="I695" s="120" t="inlineStr">
        <is>
          <t>55-64</t>
        </is>
      </c>
      <c r="J695" s="120" t="inlineStr">
        <is>
          <t>65 и более</t>
        </is>
      </c>
    </row>
    <row r="696" outlineLevel="1" ht="37.5" customHeight="1">
      <c r="C696" s="111" t="inlineStr">
        <is>
          <t>Объем закупок РМ</t>
        </is>
      </c>
      <c r="D696" s="112" t="inlineStr">
        <is>
          <t>Скидка будущего периода, %</t>
        </is>
      </c>
      <c r="E696" s="113" t="n">
        <v>0</v>
      </c>
      <c r="F696" s="113" t="n">
        <v>1</v>
      </c>
      <c r="G696" s="113" t="n">
        <v>2</v>
      </c>
      <c r="H696" s="113" t="n">
        <v>3</v>
      </c>
      <c r="I696" s="113" t="n">
        <v>4</v>
      </c>
      <c r="J696" s="113" t="n">
        <v>5</v>
      </c>
    </row>
    <row r="697" outlineLevel="1" ht="14.65" customHeight="1">
      <c r="C697" s="61" t="n"/>
    </row>
    <row r="698" outlineLevel="1" ht="14.65" customHeight="1">
      <c r="C698" s="121" t="inlineStr">
        <is>
          <t>ЗАПЧАСТИ Отгрузки за 12 месяцев ФГ</t>
        </is>
      </c>
      <c r="D698" s="122" t="inlineStr">
        <is>
          <t>EUR</t>
        </is>
      </c>
      <c r="E698" s="122" t="inlineStr">
        <is>
          <t>EUR</t>
        </is>
      </c>
      <c r="F698" s="122" t="inlineStr">
        <is>
          <t>% скидки</t>
        </is>
      </c>
    </row>
    <row r="699" outlineLevel="1" ht="14.65" customHeight="1">
      <c r="C699" s="123" t="inlineStr">
        <is>
          <t>отгрузки в диапазоне</t>
        </is>
      </c>
      <c r="D699" s="117" t="n">
        <v>0</v>
      </c>
      <c r="E699" s="124" t="n">
        <v>7000</v>
      </c>
      <c r="F699" s="125" t="n">
        <v>0.1</v>
      </c>
    </row>
    <row r="700" outlineLevel="1" ht="14.65" customHeight="1">
      <c r="C700" s="123" t="inlineStr">
        <is>
          <t>отгрузки в диапазоне</t>
        </is>
      </c>
      <c r="D700" s="117" t="n">
        <v>7001</v>
      </c>
      <c r="E700" s="124" t="n">
        <v>19000</v>
      </c>
      <c r="F700" s="126" t="n">
        <v>0.11</v>
      </c>
    </row>
    <row r="701" outlineLevel="1" ht="14.65" customHeight="1">
      <c r="C701" s="123" t="inlineStr">
        <is>
          <t>отгрузки в диапазоне</t>
        </is>
      </c>
      <c r="D701" s="124" t="n">
        <v>19001</v>
      </c>
      <c r="E701" s="124" t="n">
        <v>24000</v>
      </c>
      <c r="F701" s="125" t="n">
        <v>0.13</v>
      </c>
    </row>
    <row r="702" outlineLevel="1" ht="14.65" customHeight="1">
      <c r="C702" s="123" t="inlineStr">
        <is>
          <t>отгрузки в диапазоне</t>
        </is>
      </c>
      <c r="D702" s="124" t="n">
        <v>24001</v>
      </c>
      <c r="E702" s="124" t="n">
        <v>28000</v>
      </c>
      <c r="F702" s="125" t="n">
        <v>0.14</v>
      </c>
    </row>
    <row r="703" outlineLevel="1" ht="14.65" customHeight="1">
      <c r="C703" s="123" t="inlineStr">
        <is>
          <t>отгрузки в диапазоне</t>
        </is>
      </c>
      <c r="D703" s="124" t="n">
        <v>28001</v>
      </c>
      <c r="E703" s="124" t="n">
        <v>40000</v>
      </c>
      <c r="F703" s="125" t="n">
        <v>0.15</v>
      </c>
    </row>
    <row r="704" outlineLevel="1" ht="14.65" customHeight="1">
      <c r="C704" s="123" t="inlineStr">
        <is>
          <t>отгрузки в диапазоне</t>
        </is>
      </c>
      <c r="D704" s="124" t="n">
        <v>40001</v>
      </c>
      <c r="E704" s="124" t="n">
        <v>48000</v>
      </c>
      <c r="F704" s="125" t="n">
        <v>0.16</v>
      </c>
    </row>
    <row r="705" outlineLevel="1" ht="14.65" customHeight="1">
      <c r="C705" s="123" t="inlineStr">
        <is>
          <t>отгрузки в диапазоне</t>
        </is>
      </c>
      <c r="D705" s="124" t="n">
        <v>48001</v>
      </c>
      <c r="E705" s="124" t="n">
        <v>60000</v>
      </c>
      <c r="F705" s="125" t="n">
        <v>0.17</v>
      </c>
    </row>
    <row r="706" outlineLevel="1" ht="14.65" customHeight="1">
      <c r="C706" s="123" t="inlineStr">
        <is>
          <t>отгрузки в диапазоне</t>
        </is>
      </c>
      <c r="D706" s="127" t="n">
        <v>60001</v>
      </c>
      <c r="E706" s="128" t="n">
        <v>75000</v>
      </c>
      <c r="F706" s="129" t="n">
        <v>0.18</v>
      </c>
    </row>
    <row r="707" outlineLevel="1" ht="14.65" customHeight="1">
      <c r="C707" s="130" t="inlineStr">
        <is>
          <t>отгрузки в диапазоне</t>
        </is>
      </c>
      <c r="D707" s="128" t="n">
        <v>75001</v>
      </c>
      <c r="E707" s="128" t="n">
        <v>90000</v>
      </c>
      <c r="F707" s="131" t="n">
        <v>0.19</v>
      </c>
    </row>
    <row r="708" outlineLevel="1" ht="14.65" customHeight="1">
      <c r="C708" s="130" t="inlineStr">
        <is>
          <t>отгрузки в диапазоне</t>
        </is>
      </c>
      <c r="D708" s="128" t="n">
        <v>90001</v>
      </c>
      <c r="E708" s="127" t="n">
        <v>105000</v>
      </c>
      <c r="F708" s="131" t="n">
        <v>0.2</v>
      </c>
    </row>
    <row r="709" outlineLevel="1" ht="14.65" customHeight="1">
      <c r="C709" s="130" t="inlineStr">
        <is>
          <t>отгрузки в диапазоне</t>
        </is>
      </c>
      <c r="D709" s="128" t="n">
        <v>105001</v>
      </c>
      <c r="E709" s="128" t="n">
        <v>115000</v>
      </c>
      <c r="F709" s="131" t="n">
        <v>0.21</v>
      </c>
    </row>
    <row r="710" outlineLevel="1" ht="14.65" customHeight="1">
      <c r="C710" s="130" t="inlineStr">
        <is>
          <t>отгрузки в диапазоне</t>
        </is>
      </c>
      <c r="D710" s="128" t="n">
        <v>115001</v>
      </c>
      <c r="E710" s="128" t="n">
        <v>0</v>
      </c>
      <c r="F710" s="131" t="n">
        <v>0.22</v>
      </c>
    </row>
  </sheetData>
  <mergeCells count="144">
    <mergeCell ref="C392:H392"/>
    <mergeCell ref="G396:G397"/>
    <mergeCell ref="G425:G428"/>
    <mergeCell ref="I396:I397"/>
    <mergeCell ref="G501:G503"/>
    <mergeCell ref="J358:J359"/>
    <mergeCell ref="E613:E614"/>
    <mergeCell ref="I209:I210"/>
    <mergeCell ref="C609:H609"/>
    <mergeCell ref="G387:G390"/>
    <mergeCell ref="E544:E545"/>
    <mergeCell ref="D321:D322"/>
    <mergeCell ref="J396:J397"/>
    <mergeCell ref="G544:G545"/>
    <mergeCell ref="F321:F322"/>
    <mergeCell ref="F434:F435"/>
    <mergeCell ref="G283:G284"/>
    <mergeCell ref="I509:I510"/>
    <mergeCell ref="D283:D284"/>
    <mergeCell ref="C430:H430"/>
    <mergeCell ref="H321:H322"/>
    <mergeCell ref="J321:J322"/>
    <mergeCell ref="G74:G77"/>
    <mergeCell ref="G201:G204"/>
    <mergeCell ref="H434:H435"/>
    <mergeCell ref="G535:G538"/>
    <mergeCell ref="I358:I359"/>
    <mergeCell ref="E578:E579"/>
    <mergeCell ref="C93:F93"/>
    <mergeCell ref="C574:H574"/>
    <mergeCell ref="G463:G466"/>
    <mergeCell ref="G246:G247"/>
    <mergeCell ref="D688:D689"/>
    <mergeCell ref="E472:E473"/>
    <mergeCell ref="F688:F689"/>
    <mergeCell ref="D544:D545"/>
    <mergeCell ref="C79:H79"/>
    <mergeCell ref="H613:H614"/>
    <mergeCell ref="F578:F579"/>
    <mergeCell ref="J613:J614"/>
    <mergeCell ref="F283:F284"/>
    <mergeCell ref="C121:H121"/>
    <mergeCell ref="H544:H545"/>
    <mergeCell ref="G434:G435"/>
    <mergeCell ref="J544:J545"/>
    <mergeCell ref="I321:I322"/>
    <mergeCell ref="I434:I435"/>
    <mergeCell ref="G350:G353"/>
    <mergeCell ref="C135:F135"/>
    <mergeCell ref="D509:D510"/>
    <mergeCell ref="G570:G572"/>
    <mergeCell ref="E651:E652"/>
    <mergeCell ref="G209:G210"/>
    <mergeCell ref="G651:G652"/>
    <mergeCell ref="C281:D281"/>
    <mergeCell ref="G116:G119"/>
    <mergeCell ref="I283:I284"/>
    <mergeCell ref="G312:G315"/>
    <mergeCell ref="E509:E510"/>
    <mergeCell ref="J277:L277"/>
    <mergeCell ref="G509:G510"/>
    <mergeCell ref="G472:G473"/>
    <mergeCell ref="D179:E179"/>
    <mergeCell ref="H246:H247"/>
    <mergeCell ref="J246:J247"/>
    <mergeCell ref="E396:E397"/>
    <mergeCell ref="G688:G689"/>
    <mergeCell ref="C37:H37"/>
    <mergeCell ref="I688:I689"/>
    <mergeCell ref="G275:G278"/>
    <mergeCell ref="J472:J473"/>
    <mergeCell ref="C540:H540"/>
    <mergeCell ref="D651:D652"/>
    <mergeCell ref="F396:F397"/>
    <mergeCell ref="H396:H397"/>
    <mergeCell ref="C685:H685"/>
    <mergeCell ref="D613:D614"/>
    <mergeCell ref="H209:H210"/>
    <mergeCell ref="H651:H652"/>
    <mergeCell ref="J209:J210"/>
    <mergeCell ref="J651:J652"/>
    <mergeCell ref="C280:H280"/>
    <mergeCell ref="G238:G241"/>
    <mergeCell ref="G680:G683"/>
    <mergeCell ref="J509:J510"/>
    <mergeCell ref="C164:H164"/>
    <mergeCell ref="E358:E359"/>
    <mergeCell ref="D52:E52"/>
    <mergeCell ref="H358:H359"/>
    <mergeCell ref="F613:F614"/>
    <mergeCell ref="D578:D579"/>
    <mergeCell ref="F544:F545"/>
    <mergeCell ref="C355:H355"/>
    <mergeCell ref="H283:H284"/>
    <mergeCell ref="H578:H579"/>
    <mergeCell ref="F651:F652"/>
    <mergeCell ref="C317:H317"/>
    <mergeCell ref="G613:G614"/>
    <mergeCell ref="I613:I614"/>
    <mergeCell ref="E283:E284"/>
    <mergeCell ref="G32:G35"/>
    <mergeCell ref="G159:G162"/>
    <mergeCell ref="I544:I545"/>
    <mergeCell ref="J434:J435"/>
    <mergeCell ref="C505:H505"/>
    <mergeCell ref="C51:F51"/>
    <mergeCell ref="D94:E94"/>
    <mergeCell ref="C178:F178"/>
    <mergeCell ref="D246:D247"/>
    <mergeCell ref="F246:F247"/>
    <mergeCell ref="J578:J579"/>
    <mergeCell ref="D472:D473"/>
    <mergeCell ref="E688:E689"/>
    <mergeCell ref="F472:F473"/>
    <mergeCell ref="D434:D435"/>
    <mergeCell ref="G578:G579"/>
    <mergeCell ref="I578:I579"/>
    <mergeCell ref="D396:D397"/>
    <mergeCell ref="G358:G359"/>
    <mergeCell ref="H688:H689"/>
    <mergeCell ref="J688:J689"/>
    <mergeCell ref="D136:E136"/>
    <mergeCell ref="D209:D210"/>
    <mergeCell ref="F209:F210"/>
    <mergeCell ref="J283:J284"/>
    <mergeCell ref="G642:G645"/>
    <mergeCell ref="C243:H243"/>
    <mergeCell ref="C647:H647"/>
    <mergeCell ref="C468:H468"/>
    <mergeCell ref="F509:F510"/>
    <mergeCell ref="E246:E247"/>
    <mergeCell ref="H509:H510"/>
    <mergeCell ref="I651:I652"/>
    <mergeCell ref="E321:E322"/>
    <mergeCell ref="G321:G322"/>
    <mergeCell ref="I246:I247"/>
    <mergeCell ref="G604:G607"/>
    <mergeCell ref="E434:E435"/>
    <mergeCell ref="I472:I473"/>
    <mergeCell ref="D358:D359"/>
    <mergeCell ref="F358:F359"/>
    <mergeCell ref="C206:H206"/>
    <mergeCell ref="E209:E210"/>
    <mergeCell ref="H472:H473"/>
  </mergeCells>
  <hyperlinks>
    <hyperlink ref="A8" location="'Блоки'!A28" display="1 • КОМПО Технолоджис • РФ • вкладка «КТ» • блок в строке 28"/>
    <hyperlink ref="A9" location="'Блоки'!A70" display="2 • НоваПак • РФ • вкладка «НоваПак» • блок в строке 70"/>
    <hyperlink ref="A10" location="'Блоки'!A112" display="3 • КСП (КОМПО-СП) • РФ • вкладка «КСП» • блок в строке 112"/>
    <hyperlink ref="A11" location="'Блоки'!A155" display="4 • Богатовъ Торговый Дом, Челябинск • РФ • вкладка «Богатовъ Торговый Дом, Челябинс» • блок в строке 155"/>
    <hyperlink ref="A12" location="'Блоки'!A197" display="5 • ASIAN BUSINESS SOLUTIONS, Узбекистан • Заруб • вкладка «ABS» • блок в строке 197"/>
    <hyperlink ref="A13" location="'Блоки'!A234" display="6 • Deling food • Заруб • вкладка «Deling fod» • блок в строке 234"/>
    <hyperlink ref="A14" location="'Блоки'!A271" display="7 • VitLine, Казахстан • Заруб • вкладка «VitLine» • блок в строке 271"/>
    <hyperlink ref="A15" location="'Блоки'!A308" display="8 • UNIVERSAL MEAT • Заруб • вкладка «Universal meat» • блок в строке 308"/>
    <hyperlink ref="A16" location="'Блоки'!A346" display="9 • КОМПО North America Inc • Заруб • вкладка «KNA» • блок в строке 346"/>
    <hyperlink ref="A17" location="'Блоки'!A383" display="10 • LUCKY &amp; S CO, Сербия • Заруб • вкладка «LUCKY &amp; S CO» • блок в строке 383"/>
    <hyperlink ref="A18" location="'Блоки'!A421" display="11 • Сейитлиев Мердан Иламанович, Туркменистан • Заруб • вкладка «Сейитлиев» • блок в строке 421"/>
    <hyperlink ref="A19" location="'Блоки'!A459" display="12 • Ingreda, Молдова • Заруб • вкладка «Ingreda» • блок в строке 459"/>
    <hyperlink ref="A20" location="'Блоки'!A497" display="13 • CLIPSOMAC, Алжир • Заруб • вкладка «CLIPSOMAC» • блок в строке 497"/>
    <hyperlink ref="A21" location="'Блоки'!A531" display="14 • Tida Tech, Таиланд • Заруб • вкладка «Tida Tech» • блок в строке 531"/>
    <hyperlink ref="A22" location="'Блоки'!A566" display="15 • Ari Makina, Турция • Заруб • вкладка «Ari Makina» • блок в строке 566"/>
    <hyperlink ref="A23" location="'Блоки'!A600" display="16 • Кабири Хучанд ООО, Таджикистан • Заруб • вкладка «Кабири Хучанд ООО» • блок в строке 600"/>
    <hyperlink ref="A24" location="'Блоки'!A638" display="17 • Flexo Food , Грузия • Заруб • вкладка «Flexo Food Ltd, Грузия» • блок в строке 638"/>
    <hyperlink ref="A25" location="'Блоки'!A676" display="18 • Гинап, Армения • Заруб • вкладка «ГИНАП, Армения» • блок в строке 676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2026-10-02T10:28:13Z</dcterms:created>
  <dcterms:modified xsi:type="dcterms:W3CDTF">2026-10-02T10:28:14Z</dcterms:modified>
</cp:coreProperties>
</file>